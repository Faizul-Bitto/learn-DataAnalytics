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ul Bitto\Downloads\"/>
    </mc:Choice>
  </mc:AlternateContent>
  <xr:revisionPtr revIDLastSave="0" documentId="13_ncr:1_{2AEFD1A2-857C-41B9-8F8E-6664FAE5332D}" xr6:coauthVersionLast="47" xr6:coauthVersionMax="47" xr10:uidLastSave="{00000000-0000-0000-0000-000000000000}"/>
  <bookViews>
    <workbookView xWindow="-120" yWindow="-120" windowWidth="29040" windowHeight="15720" xr2:uid="{B6AFCDDF-92D8-4C50-B260-F4756A91D0A5}"/>
  </bookViews>
  <sheets>
    <sheet name="Sheet1" sheetId="1" r:id="rId1"/>
    <sheet name="High Value Sales" sheetId="4" r:id="rId2"/>
    <sheet name="Product Price Lis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" l="1"/>
  <c r="L2" i="1" a="1"/>
  <c r="L2" i="1" s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K13" i="1"/>
  <c r="K3" i="1"/>
  <c r="K2" i="1"/>
  <c r="K4" i="1"/>
  <c r="K5" i="1"/>
  <c r="K6" i="1"/>
  <c r="K7" i="1"/>
  <c r="K8" i="1"/>
  <c r="K9" i="1"/>
  <c r="K10" i="1"/>
  <c r="K11" i="1"/>
  <c r="K12" i="1"/>
  <c r="K14" i="1"/>
  <c r="K15" i="1"/>
  <c r="K16" i="1"/>
  <c r="B15" i="5"/>
  <c r="B24" i="1"/>
  <c r="B23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G2" i="1"/>
  <c r="H2" i="1" s="1"/>
  <c r="J2" i="1" s="1"/>
  <c r="G4" i="1"/>
  <c r="H4" i="1" s="1"/>
  <c r="G3" i="1"/>
  <c r="H3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J14" i="1" s="1"/>
  <c r="G15" i="1"/>
  <c r="H15" i="1" s="1"/>
  <c r="G16" i="1"/>
  <c r="H16" i="1" s="1"/>
  <c r="J9" i="1" l="1"/>
  <c r="J11" i="1"/>
  <c r="J5" i="1"/>
  <c r="J6" i="1"/>
  <c r="J16" i="1"/>
  <c r="J3" i="1"/>
  <c r="A2" i="4" s="1" a="1"/>
  <c r="A2" i="4" s="1"/>
  <c r="J13" i="1"/>
  <c r="J8" i="1"/>
  <c r="J7" i="1"/>
  <c r="J10" i="1"/>
  <c r="J15" i="1"/>
  <c r="J4" i="1"/>
  <c r="J12" i="1"/>
  <c r="B22" i="1"/>
  <c r="B25" i="1"/>
  <c r="B28" i="1"/>
  <c r="B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<sst xmlns="http://schemas.openxmlformats.org/spreadsheetml/2006/main" count="93" uniqueCount="62">
  <si>
    <t>Order ID</t>
  </si>
  <si>
    <t>Salesperson</t>
  </si>
  <si>
    <t>Region</t>
  </si>
  <si>
    <t>Product</t>
  </si>
  <si>
    <t>Quantity</t>
  </si>
  <si>
    <t>ORD001</t>
  </si>
  <si>
    <t>Alice</t>
  </si>
  <si>
    <t>North</t>
  </si>
  <si>
    <t>Laptop</t>
  </si>
  <si>
    <t>ORD002</t>
  </si>
  <si>
    <t>Bob</t>
  </si>
  <si>
    <t>South</t>
  </si>
  <si>
    <t>Mobile</t>
  </si>
  <si>
    <t>ORD003</t>
  </si>
  <si>
    <t>Charlie</t>
  </si>
  <si>
    <t>East</t>
  </si>
  <si>
    <t>Tablet</t>
  </si>
  <si>
    <t>ORD004</t>
  </si>
  <si>
    <t>David</t>
  </si>
  <si>
    <t>West</t>
  </si>
  <si>
    <t>Monitor</t>
  </si>
  <si>
    <t>ORD005</t>
  </si>
  <si>
    <t>Emma</t>
  </si>
  <si>
    <t>ORD006</t>
  </si>
  <si>
    <t>Frank</t>
  </si>
  <si>
    <t>ORD007</t>
  </si>
  <si>
    <t>Grace</t>
  </si>
  <si>
    <t>ORD008</t>
  </si>
  <si>
    <t>Henry</t>
  </si>
  <si>
    <t>ORD009</t>
  </si>
  <si>
    <t>Isabella</t>
  </si>
  <si>
    <t>ORD010</t>
  </si>
  <si>
    <t>Jack</t>
  </si>
  <si>
    <t>ORD011</t>
  </si>
  <si>
    <t>Kevin</t>
  </si>
  <si>
    <t>ORD012</t>
  </si>
  <si>
    <t>Lily</t>
  </si>
  <si>
    <t>ORD013</t>
  </si>
  <si>
    <t>Mason</t>
  </si>
  <si>
    <t>ORD014</t>
  </si>
  <si>
    <t>Noah</t>
  </si>
  <si>
    <t>ORD015</t>
  </si>
  <si>
    <t>Olivia</t>
  </si>
  <si>
    <t>Unit Price</t>
  </si>
  <si>
    <t>Total Sales</t>
  </si>
  <si>
    <t>Status</t>
  </si>
  <si>
    <t>Performance</t>
  </si>
  <si>
    <t>High / Low Quantity</t>
  </si>
  <si>
    <t>Total Sales for Laptop</t>
  </si>
  <si>
    <t xml:space="preserve"> Total orders in North region</t>
  </si>
  <si>
    <t>Total Sales for Mobile in South region</t>
  </si>
  <si>
    <t>Orders where East region sales are above 1000</t>
  </si>
  <si>
    <t>Average Total Sales for Tablet</t>
  </si>
  <si>
    <t>Average Total Sales for North region where Quantity is greater than 2</t>
  </si>
  <si>
    <t>Standard Price</t>
  </si>
  <si>
    <t>Keyboard</t>
  </si>
  <si>
    <t>Mouse</t>
  </si>
  <si>
    <t>Printer</t>
  </si>
  <si>
    <t>Headphones</t>
  </si>
  <si>
    <t>Product Price</t>
  </si>
  <si>
    <t>Sales Info</t>
  </si>
  <si>
    <t>INDEX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</si>
</sst>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3" borderId="2" xfId="0" applyFont="1" applyFill="1" applyBorder="1" applyAlignment="1">
      <alignment horizontal="right"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5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CE536-EADE-455C-8CCC-CA26BA893046}" name="Table1" displayName="Table1" ref="A1:K16" totalsRowShown="0" headerRowDxfId="12" dataDxfId="11">
  <autoFilter ref="A1:K16" xr:uid="{2E9CE536-EADE-455C-8CCC-CA26BA893046}"/>
  <tableColumns count="11">
    <tableColumn id="1" xr3:uid="{E5E305EC-CB2A-435C-A74B-18DC107A4235}" name="Order ID" dataDxfId="10"/>
    <tableColumn id="2" xr3:uid="{CEB7A3DB-FA50-4A5C-A455-062E4BB35CFC}" name="Salesperson" dataDxfId="9"/>
    <tableColumn id="3" xr3:uid="{B6C2AF56-51AB-4079-B8B7-D0C4B4F2776A}" name="Region" dataDxfId="8"/>
    <tableColumn id="4" xr3:uid="{603B7983-5B74-403A-97DE-E146E59FAB06}" name="Product" dataDxfId="7"/>
    <tableColumn id="5" xr3:uid="{6C34E2F6-BA5E-49A2-8A0E-FB9AC01103E9}" name="Quantity" dataDxfId="6"/>
    <tableColumn id="6" xr3:uid="{B9A13A19-4518-4A39-98CE-6DA3683C27F4}" name="Unit Price" dataDxfId="5"/>
    <tableColumn id="7" xr3:uid="{DBEE43B0-CD07-4F3F-B2CD-23812F5EFDAE}" name="Total Sales" dataDxfId="4">
      <calculatedColumnFormula>E2*F2</calculatedColumnFormula>
    </tableColumn>
    <tableColumn id="8" xr3:uid="{42951AD4-1F4B-4F50-9485-0742277CFE84}" name="Status" dataDxfId="3">
      <calculatedColumnFormula>IF(Table1[[#This Row],[Total Sales]]&gt;=1500,"High Sale","Low Sale")</calculatedColumnFormula>
    </tableColumn>
    <tableColumn id="9" xr3:uid="{EECAF832-332D-4BB8-8788-B70F782596DB}" name="High / Low Quantity" dataDxfId="2">
      <calculatedColumnFormula>IF(Table1[[#This Row],[Quantity]]&gt;=5,"High Quantity","Low Quantity")</calculatedColumnFormula>
    </tableColumn>
    <tableColumn id="10" xr3:uid="{6FC25119-7355-4348-867A-4AEADEC6CC84}" name="Performance" dataDxfId="1">
      <calculatedColumnFormula>IF(AND(Table1[[#This Row],[Status]]="High Sale",Table1[[#This Row],[High / Low Quantity]]="High Quantity"),"Excellent",IF(OR(Table1[[#This Row],[Status]]="High Sale",Table1[[#This Row],[High / Low Quantity]]="High Quantity"),"Good","Average"))</calculatedColumnFormula>
    </tableColumn>
    <tableColumn id="11" xr3:uid="{2C90E046-A10A-4290-945C-45B6F608C1FE}" name="Sales Info" dataDxfId="0">
      <calculatedColumnFormula>_xlfn.TEXTJOIN(" ",,Table1[[#This Row],[Salesperson]],Table1[[#This Row],[Product]],Table1[[#This Row],[Region]])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3A11DE-F144-47A8-A4DF-A39E4BE341AD}" name="Table4" displayName="Table4" ref="A1:B9" totalsRowShown="0">
  <autoFilter ref="A1:B9" xr:uid="{363A11DE-F144-47A8-A4DF-A39E4BE341AD}"/>
  <tableColumns count="2">
    <tableColumn id="1" xr3:uid="{104EB4EE-FFC8-464E-846F-3C3C315AEC73}" name="Product" dataDxfId="14"/>
    <tableColumn id="2" xr3:uid="{CBC6E2A9-38C6-4A75-BFBB-156575BD7C47}" name="Standard Price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DE2D-1E76-4445-B413-09E932983BE0}">
  <dimension ref="A1:N29"/>
  <sheetViews>
    <sheetView tabSelected="1" zoomScaleNormal="100" workbookViewId="0">
      <selection activeCell="H25" sqref="H25"/>
    </sheetView>
  </sheetViews>
  <sheetFormatPr defaultRowHeight="15" x14ac:dyDescent="0.25"/>
  <cols>
    <col min="1" max="1" width="61.85546875" bestFit="1" customWidth="1"/>
    <col min="2" max="2" width="16.7109375" bestFit="1" customWidth="1"/>
    <col min="3" max="3" width="11.85546875" bestFit="1" customWidth="1"/>
    <col min="4" max="4" width="12.5703125" bestFit="1" customWidth="1"/>
    <col min="5" max="5" width="13.28515625" bestFit="1" customWidth="1"/>
    <col min="6" max="6" width="14.28515625" bestFit="1" customWidth="1"/>
    <col min="7" max="7" width="15.28515625" bestFit="1" customWidth="1"/>
    <col min="8" max="8" width="12.7109375" bestFit="1" customWidth="1"/>
    <col min="9" max="9" width="14.85546875" bestFit="1" customWidth="1"/>
    <col min="10" max="10" width="17.140625" bestFit="1" customWidth="1"/>
    <col min="11" max="11" width="20.28515625" bestFit="1" customWidth="1"/>
    <col min="12" max="12" width="8.140625" bestFit="1" customWidth="1"/>
    <col min="13" max="13" width="7.85546875" bestFit="1" customWidth="1"/>
    <col min="14" max="14" width="6" bestFit="1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  <c r="G1" s="1" t="s">
        <v>44</v>
      </c>
      <c r="H1" s="1" t="s">
        <v>45</v>
      </c>
      <c r="I1" s="1" t="s">
        <v>47</v>
      </c>
      <c r="J1" s="1" t="s">
        <v>46</v>
      </c>
      <c r="K1" s="1" t="s">
        <v>60</v>
      </c>
    </row>
    <row r="2" spans="1:14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2</v>
      </c>
      <c r="F2" s="2">
        <v>850</v>
      </c>
      <c r="G2" s="2">
        <f>E2*F2</f>
        <v>1700</v>
      </c>
      <c r="H2" s="2" t="str">
        <f>IF(Table1[[#This Row],[Total Sales]]&gt;=1500,"High Sale","Low Sale")</f>
        <v>High Sale</v>
      </c>
      <c r="I2" s="2" t="str">
        <f>IF(Table1[[#This Row],[Quantity]]&gt;=5,"High Quantity","Low Quantity")</f>
        <v>Low Quantity</v>
      </c>
      <c r="J2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Good</v>
      </c>
      <c r="K2" s="8" t="str">
        <f>_xlfn.TEXTJOIN(" ",,Table1[[#This Row],[Salesperson]],Table1[[#This Row],[Product]],Table1[[#This Row],[Region]])</f>
        <v>Alice Laptop North</v>
      </c>
      <c r="L2" t="str" cm="1">
        <f t="array" ref="L2:N2">_xlfn.TEXTSPLIT(Table1[[#This Row],[Sales Info]]," ")</f>
        <v>Alice</v>
      </c>
      <c r="M2" t="str">
        <v>Laptop</v>
      </c>
      <c r="N2" t="str">
        <v>North</v>
      </c>
    </row>
    <row r="3" spans="1:14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5</v>
      </c>
      <c r="F3" s="2">
        <v>550</v>
      </c>
      <c r="G3" s="2">
        <f>E3*F3</f>
        <v>2750</v>
      </c>
      <c r="H3" s="2" t="str">
        <f>IF(Table1[[#This Row],[Total Sales]]&gt;=1500,"High Sale","Low Sale")</f>
        <v>High Sale</v>
      </c>
      <c r="I3" s="2" t="str">
        <f>IF(Table1[[#This Row],[Quantity]]&gt;=5,"High Quantity","Low Quantity")</f>
        <v>High Quantity</v>
      </c>
      <c r="J3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3" s="8" t="str">
        <f>_xlfn.TEXTJOIN(" ",,Table1[[#This Row],[Salesperson]],Table1[[#This Row],[Product]],Table1[[#This Row],[Region]])</f>
        <v>Bob Mobile South</v>
      </c>
      <c r="L3" t="str" cm="1">
        <f t="array" ref="L3:N3">_xlfn.TEXTSPLIT(Table1[[#This Row],[Sales Info]]," ")</f>
        <v>Bob</v>
      </c>
      <c r="M3" t="str">
        <v>Mobile</v>
      </c>
      <c r="N3" t="str">
        <v>South</v>
      </c>
    </row>
    <row r="4" spans="1:14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3</v>
      </c>
      <c r="F4" s="2">
        <v>400</v>
      </c>
      <c r="G4" s="2">
        <f>E4*F4</f>
        <v>1200</v>
      </c>
      <c r="H4" s="2" t="str">
        <f>IF(Table1[[#This Row],[Total Sales]]&gt;=1500,"High Sale","Low Sale")</f>
        <v>Low Sale</v>
      </c>
      <c r="I4" s="2" t="str">
        <f>IF(Table1[[#This Row],[Quantity]]&gt;=5,"High Quantity","Low Quantity")</f>
        <v>Low Quantity</v>
      </c>
      <c r="J4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Average</v>
      </c>
      <c r="K4" s="8" t="str">
        <f>_xlfn.TEXTJOIN(" ",,Table1[[#This Row],[Salesperson]],Table1[[#This Row],[Product]],Table1[[#This Row],[Region]])</f>
        <v>Charlie Tablet East</v>
      </c>
      <c r="L4" t="str" cm="1">
        <f t="array" ref="L4:N4">_xlfn.TEXTSPLIT(Table1[[#This Row],[Sales Info]]," ")</f>
        <v>Charlie</v>
      </c>
      <c r="M4" t="str">
        <v>Tablet</v>
      </c>
      <c r="N4" t="str">
        <v>East</v>
      </c>
    </row>
    <row r="5" spans="1:14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4</v>
      </c>
      <c r="F5" s="2">
        <v>300</v>
      </c>
      <c r="G5" s="2">
        <f t="shared" ref="G2:G16" si="0">E5*F5</f>
        <v>1200</v>
      </c>
      <c r="H5" s="2" t="str">
        <f>IF(Table1[[#This Row],[Total Sales]]&gt;=1500,"High Sale","Low Sale")</f>
        <v>Low Sale</v>
      </c>
      <c r="I5" s="2" t="str">
        <f>IF(Table1[[#This Row],[Quantity]]&gt;=5,"High Quantity","Low Quantity")</f>
        <v>Low Quantity</v>
      </c>
      <c r="J5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Average</v>
      </c>
      <c r="K5" s="8" t="str">
        <f>_xlfn.TEXTJOIN(" ",,Table1[[#This Row],[Salesperson]],Table1[[#This Row],[Product]],Table1[[#This Row],[Region]])</f>
        <v>David Monitor West</v>
      </c>
      <c r="L5" t="str" cm="1">
        <f t="array" ref="L5:N5">_xlfn.TEXTSPLIT(Table1[[#This Row],[Sales Info]]," ")</f>
        <v>David</v>
      </c>
      <c r="M5" t="str">
        <v>Monitor</v>
      </c>
      <c r="N5" t="str">
        <v>West</v>
      </c>
    </row>
    <row r="6" spans="1:14" x14ac:dyDescent="0.25">
      <c r="A6" s="2" t="s">
        <v>21</v>
      </c>
      <c r="B6" s="2" t="s">
        <v>22</v>
      </c>
      <c r="C6" s="2" t="s">
        <v>7</v>
      </c>
      <c r="D6" s="2" t="s">
        <v>12</v>
      </c>
      <c r="E6" s="2">
        <v>6</v>
      </c>
      <c r="F6" s="2">
        <v>550</v>
      </c>
      <c r="G6" s="2">
        <f t="shared" si="0"/>
        <v>3300</v>
      </c>
      <c r="H6" s="2" t="str">
        <f>IF(Table1[[#This Row],[Total Sales]]&gt;=1500,"High Sale","Low Sale")</f>
        <v>High Sale</v>
      </c>
      <c r="I6" s="2" t="str">
        <f>IF(Table1[[#This Row],[Quantity]]&gt;=5,"High Quantity","Low Quantity")</f>
        <v>High Quantity</v>
      </c>
      <c r="J6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6" s="8" t="str">
        <f>_xlfn.TEXTJOIN(" ",,Table1[[#This Row],[Salesperson]],Table1[[#This Row],[Product]],Table1[[#This Row],[Region]])</f>
        <v>Emma Mobile North</v>
      </c>
      <c r="L6" t="str" cm="1">
        <f t="array" ref="L6:N6">_xlfn.TEXTSPLIT(Table1[[#This Row],[Sales Info]]," ")</f>
        <v>Emma</v>
      </c>
      <c r="M6" t="str">
        <v>Mobile</v>
      </c>
      <c r="N6" t="str">
        <v>North</v>
      </c>
    </row>
    <row r="7" spans="1:14" x14ac:dyDescent="0.25">
      <c r="A7" s="2" t="s">
        <v>23</v>
      </c>
      <c r="B7" s="2" t="s">
        <v>24</v>
      </c>
      <c r="C7" s="2" t="s">
        <v>11</v>
      </c>
      <c r="D7" s="2" t="s">
        <v>8</v>
      </c>
      <c r="E7" s="2">
        <v>1</v>
      </c>
      <c r="F7" s="2">
        <v>850</v>
      </c>
      <c r="G7" s="2">
        <f t="shared" si="0"/>
        <v>850</v>
      </c>
      <c r="H7" s="2" t="str">
        <f>IF(Table1[[#This Row],[Total Sales]]&gt;=1500,"High Sale","Low Sale")</f>
        <v>Low Sale</v>
      </c>
      <c r="I7" s="2" t="str">
        <f>IF(Table1[[#This Row],[Quantity]]&gt;=5,"High Quantity","Low Quantity")</f>
        <v>Low Quantity</v>
      </c>
      <c r="J7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Average</v>
      </c>
      <c r="K7" s="8" t="str">
        <f>_xlfn.TEXTJOIN(" ",,Table1[[#This Row],[Salesperson]],Table1[[#This Row],[Product]],Table1[[#This Row],[Region]])</f>
        <v>Frank Laptop South</v>
      </c>
      <c r="L7" t="str" cm="1">
        <f t="array" ref="L7:N7">_xlfn.TEXTSPLIT(Table1[[#This Row],[Sales Info]]," ")</f>
        <v>Frank</v>
      </c>
      <c r="M7" t="str">
        <v>Laptop</v>
      </c>
      <c r="N7" t="str">
        <v>South</v>
      </c>
    </row>
    <row r="8" spans="1:14" x14ac:dyDescent="0.25">
      <c r="A8" s="2" t="s">
        <v>25</v>
      </c>
      <c r="B8" s="2" t="s">
        <v>26</v>
      </c>
      <c r="C8" s="2" t="s">
        <v>15</v>
      </c>
      <c r="D8" s="2" t="s">
        <v>20</v>
      </c>
      <c r="E8" s="2">
        <v>8</v>
      </c>
      <c r="F8" s="2">
        <v>300</v>
      </c>
      <c r="G8" s="2">
        <f t="shared" si="0"/>
        <v>2400</v>
      </c>
      <c r="H8" s="2" t="str">
        <f>IF(Table1[[#This Row],[Total Sales]]&gt;=1500,"High Sale","Low Sale")</f>
        <v>High Sale</v>
      </c>
      <c r="I8" s="2" t="str">
        <f>IF(Table1[[#This Row],[Quantity]]&gt;=5,"High Quantity","Low Quantity")</f>
        <v>High Quantity</v>
      </c>
      <c r="J8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8" s="8" t="str">
        <f>_xlfn.TEXTJOIN(" ",,Table1[[#This Row],[Salesperson]],Table1[[#This Row],[Product]],Table1[[#This Row],[Region]])</f>
        <v>Grace Monitor East</v>
      </c>
      <c r="L8" t="str" cm="1">
        <f t="array" ref="L8:N8">_xlfn.TEXTSPLIT(Table1[[#This Row],[Sales Info]]," ")</f>
        <v>Grace</v>
      </c>
      <c r="M8" t="str">
        <v>Monitor</v>
      </c>
      <c r="N8" t="str">
        <v>East</v>
      </c>
    </row>
    <row r="9" spans="1:14" x14ac:dyDescent="0.25">
      <c r="A9" s="2" t="s">
        <v>27</v>
      </c>
      <c r="B9" s="2" t="s">
        <v>28</v>
      </c>
      <c r="C9" s="2" t="s">
        <v>19</v>
      </c>
      <c r="D9" s="2" t="s">
        <v>16</v>
      </c>
      <c r="E9" s="2">
        <v>2</v>
      </c>
      <c r="F9" s="2">
        <v>400</v>
      </c>
      <c r="G9" s="2">
        <f t="shared" si="0"/>
        <v>800</v>
      </c>
      <c r="H9" s="2" t="str">
        <f>IF(Table1[[#This Row],[Total Sales]]&gt;=1500,"High Sale","Low Sale")</f>
        <v>Low Sale</v>
      </c>
      <c r="I9" s="2" t="str">
        <f>IF(Table1[[#This Row],[Quantity]]&gt;=5,"High Quantity","Low Quantity")</f>
        <v>Low Quantity</v>
      </c>
      <c r="J9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Average</v>
      </c>
      <c r="K9" s="8" t="str">
        <f>_xlfn.TEXTJOIN(" ",,Table1[[#This Row],[Salesperson]],Table1[[#This Row],[Product]],Table1[[#This Row],[Region]])</f>
        <v>Henry Tablet West</v>
      </c>
      <c r="L9" t="str" cm="1">
        <f t="array" ref="L9:N9">_xlfn.TEXTSPLIT(Table1[[#This Row],[Sales Info]]," ")</f>
        <v>Henry</v>
      </c>
      <c r="M9" t="str">
        <v>Tablet</v>
      </c>
      <c r="N9" t="str">
        <v>West</v>
      </c>
    </row>
    <row r="10" spans="1:14" x14ac:dyDescent="0.25">
      <c r="A10" s="2" t="s">
        <v>29</v>
      </c>
      <c r="B10" s="2" t="s">
        <v>30</v>
      </c>
      <c r="C10" s="2" t="s">
        <v>7</v>
      </c>
      <c r="D10" s="2" t="s">
        <v>8</v>
      </c>
      <c r="E10" s="2">
        <v>4</v>
      </c>
      <c r="F10" s="2">
        <v>850</v>
      </c>
      <c r="G10" s="2">
        <f t="shared" si="0"/>
        <v>3400</v>
      </c>
      <c r="H10" s="2" t="str">
        <f>IF(Table1[[#This Row],[Total Sales]]&gt;=1500,"High Sale","Low Sale")</f>
        <v>High Sale</v>
      </c>
      <c r="I10" s="2" t="str">
        <f>IF(Table1[[#This Row],[Quantity]]&gt;=5,"High Quantity","Low Quantity")</f>
        <v>Low Quantity</v>
      </c>
      <c r="J10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Good</v>
      </c>
      <c r="K10" s="8" t="str">
        <f>_xlfn.TEXTJOIN(" ",,Table1[[#This Row],[Salesperson]],Table1[[#This Row],[Product]],Table1[[#This Row],[Region]])</f>
        <v>Isabella Laptop North</v>
      </c>
      <c r="L10" t="str" cm="1">
        <f t="array" ref="L10:N10">_xlfn.TEXTSPLIT(Table1[[#This Row],[Sales Info]]," ")</f>
        <v>Isabella</v>
      </c>
      <c r="M10" t="str">
        <v>Laptop</v>
      </c>
      <c r="N10" t="str">
        <v>North</v>
      </c>
    </row>
    <row r="11" spans="1:14" x14ac:dyDescent="0.25">
      <c r="A11" s="2" t="s">
        <v>31</v>
      </c>
      <c r="B11" s="2" t="s">
        <v>32</v>
      </c>
      <c r="C11" s="2" t="s">
        <v>11</v>
      </c>
      <c r="D11" s="2" t="s">
        <v>12</v>
      </c>
      <c r="E11" s="2">
        <v>7</v>
      </c>
      <c r="F11" s="2">
        <v>550</v>
      </c>
      <c r="G11" s="2">
        <f t="shared" si="0"/>
        <v>3850</v>
      </c>
      <c r="H11" s="2" t="str">
        <f>IF(Table1[[#This Row],[Total Sales]]&gt;=1500,"High Sale","Low Sale")</f>
        <v>High Sale</v>
      </c>
      <c r="I11" s="2" t="str">
        <f>IF(Table1[[#This Row],[Quantity]]&gt;=5,"High Quantity","Low Quantity")</f>
        <v>High Quantity</v>
      </c>
      <c r="J11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11" s="8" t="str">
        <f>_xlfn.TEXTJOIN(" ",,Table1[[#This Row],[Salesperson]],Table1[[#This Row],[Product]],Table1[[#This Row],[Region]])</f>
        <v>Jack Mobile South</v>
      </c>
      <c r="L11" t="str" cm="1">
        <f t="array" ref="L11:N11">_xlfn.TEXTSPLIT(Table1[[#This Row],[Sales Info]]," ")</f>
        <v>Jack</v>
      </c>
      <c r="M11" t="str">
        <v>Mobile</v>
      </c>
      <c r="N11" t="str">
        <v>South</v>
      </c>
    </row>
    <row r="12" spans="1:14" x14ac:dyDescent="0.25">
      <c r="A12" s="2" t="s">
        <v>33</v>
      </c>
      <c r="B12" s="2" t="s">
        <v>34</v>
      </c>
      <c r="C12" s="2" t="s">
        <v>15</v>
      </c>
      <c r="D12" s="2" t="s">
        <v>16</v>
      </c>
      <c r="E12" s="2">
        <v>5</v>
      </c>
      <c r="F12" s="2">
        <v>400</v>
      </c>
      <c r="G12" s="2">
        <f t="shared" si="0"/>
        <v>2000</v>
      </c>
      <c r="H12" s="2" t="str">
        <f>IF(Table1[[#This Row],[Total Sales]]&gt;=1500,"High Sale","Low Sale")</f>
        <v>High Sale</v>
      </c>
      <c r="I12" s="2" t="str">
        <f>IF(Table1[[#This Row],[Quantity]]&gt;=5,"High Quantity","Low Quantity")</f>
        <v>High Quantity</v>
      </c>
      <c r="J12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12" s="8" t="str">
        <f>_xlfn.TEXTJOIN(" ",,Table1[[#This Row],[Salesperson]],Table1[[#This Row],[Product]],Table1[[#This Row],[Region]])</f>
        <v>Kevin Tablet East</v>
      </c>
      <c r="L12" t="str" cm="1">
        <f t="array" ref="L12:N12">_xlfn.TEXTSPLIT(Table1[[#This Row],[Sales Info]]," ")</f>
        <v>Kevin</v>
      </c>
      <c r="M12" t="str">
        <v>Tablet</v>
      </c>
      <c r="N12" t="str">
        <v>East</v>
      </c>
    </row>
    <row r="13" spans="1:14" x14ac:dyDescent="0.25">
      <c r="A13" s="2" t="s">
        <v>35</v>
      </c>
      <c r="B13" s="2" t="s">
        <v>36</v>
      </c>
      <c r="C13" s="2" t="s">
        <v>19</v>
      </c>
      <c r="D13" s="2" t="s">
        <v>8</v>
      </c>
      <c r="E13" s="2">
        <v>3</v>
      </c>
      <c r="F13" s="2">
        <v>850</v>
      </c>
      <c r="G13" s="2">
        <f t="shared" si="0"/>
        <v>2550</v>
      </c>
      <c r="H13" s="2" t="str">
        <f>IF(Table1[[#This Row],[Total Sales]]&gt;=1500,"High Sale","Low Sale")</f>
        <v>High Sale</v>
      </c>
      <c r="I13" s="2" t="str">
        <f>IF(Table1[[#This Row],[Quantity]]&gt;=5,"High Quantity","Low Quantity")</f>
        <v>Low Quantity</v>
      </c>
      <c r="J13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Good</v>
      </c>
      <c r="K13" s="8" t="str">
        <f>_xlfn.TEXTJOIN(" ",,Table1[[#This Row],[Salesperson]],Table1[[#This Row],[Product]],Table1[[#This Row],[Region]])</f>
        <v>Lily Laptop West</v>
      </c>
      <c r="L13" t="str" cm="1">
        <f t="array" ref="L13:N13">_xlfn.TEXTSPLIT(Table1[[#This Row],[Sales Info]]," ")</f>
        <v>Lily</v>
      </c>
      <c r="M13" t="str">
        <v>Laptop</v>
      </c>
      <c r="N13" t="str">
        <v>West</v>
      </c>
    </row>
    <row r="14" spans="1:14" x14ac:dyDescent="0.25">
      <c r="A14" s="2" t="s">
        <v>37</v>
      </c>
      <c r="B14" s="2" t="s">
        <v>38</v>
      </c>
      <c r="C14" s="2" t="s">
        <v>7</v>
      </c>
      <c r="D14" s="2" t="s">
        <v>20</v>
      </c>
      <c r="E14" s="2">
        <v>9</v>
      </c>
      <c r="F14" s="2">
        <v>300</v>
      </c>
      <c r="G14" s="2">
        <f t="shared" si="0"/>
        <v>2700</v>
      </c>
      <c r="H14" s="2" t="str">
        <f>IF(Table1[[#This Row],[Total Sales]]&gt;=1500,"High Sale","Low Sale")</f>
        <v>High Sale</v>
      </c>
      <c r="I14" s="2" t="str">
        <f>IF(Table1[[#This Row],[Quantity]]&gt;=5,"High Quantity","Low Quantity")</f>
        <v>High Quantity</v>
      </c>
      <c r="J14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14" s="8" t="str">
        <f>_xlfn.TEXTJOIN(" ",,Table1[[#This Row],[Salesperson]],Table1[[#This Row],[Product]],Table1[[#This Row],[Region]])</f>
        <v>Mason Monitor North</v>
      </c>
      <c r="L14" t="str" cm="1">
        <f t="array" ref="L14:N14">_xlfn.TEXTSPLIT(Table1[[#This Row],[Sales Info]]," ")</f>
        <v>Mason</v>
      </c>
      <c r="M14" t="str">
        <v>Monitor</v>
      </c>
      <c r="N14" t="str">
        <v>North</v>
      </c>
    </row>
    <row r="15" spans="1:14" x14ac:dyDescent="0.25">
      <c r="A15" s="2" t="s">
        <v>39</v>
      </c>
      <c r="B15" s="2" t="s">
        <v>40</v>
      </c>
      <c r="C15" s="2" t="s">
        <v>11</v>
      </c>
      <c r="D15" s="2" t="s">
        <v>16</v>
      </c>
      <c r="E15" s="2">
        <v>4</v>
      </c>
      <c r="F15" s="2">
        <v>400</v>
      </c>
      <c r="G15" s="2">
        <f t="shared" si="0"/>
        <v>1600</v>
      </c>
      <c r="H15" s="2" t="str">
        <f>IF(Table1[[#This Row],[Total Sales]]&gt;=1500,"High Sale","Low Sale")</f>
        <v>High Sale</v>
      </c>
      <c r="I15" s="2" t="str">
        <f>IF(Table1[[#This Row],[Quantity]]&gt;=5,"High Quantity","Low Quantity")</f>
        <v>Low Quantity</v>
      </c>
      <c r="J15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Good</v>
      </c>
      <c r="K15" s="8" t="str">
        <f>_xlfn.TEXTJOIN(" ",,Table1[[#This Row],[Salesperson]],Table1[[#This Row],[Product]],Table1[[#This Row],[Region]])</f>
        <v>Noah Tablet South</v>
      </c>
      <c r="L15" t="str" cm="1">
        <f t="array" ref="L15:N15">_xlfn.TEXTSPLIT(Table1[[#This Row],[Sales Info]]," ")</f>
        <v>Noah</v>
      </c>
      <c r="M15" t="str">
        <v>Tablet</v>
      </c>
      <c r="N15" t="str">
        <v>South</v>
      </c>
    </row>
    <row r="16" spans="1:14" x14ac:dyDescent="0.25">
      <c r="A16" s="2" t="s">
        <v>41</v>
      </c>
      <c r="B16" s="2" t="s">
        <v>42</v>
      </c>
      <c r="C16" s="2" t="s">
        <v>15</v>
      </c>
      <c r="D16" s="2" t="s">
        <v>12</v>
      </c>
      <c r="E16" s="2">
        <v>6</v>
      </c>
      <c r="F16" s="2">
        <v>550</v>
      </c>
      <c r="G16" s="2">
        <f t="shared" si="0"/>
        <v>3300</v>
      </c>
      <c r="H16" s="2" t="str">
        <f>IF(Table1[[#This Row],[Total Sales]]&gt;=1500,"High Sale","Low Sale")</f>
        <v>High Sale</v>
      </c>
      <c r="I16" s="2" t="str">
        <f>IF(Table1[[#This Row],[Quantity]]&gt;=5,"High Quantity","Low Quantity")</f>
        <v>High Quantity</v>
      </c>
      <c r="J16" s="2" t="str">
        <f>IF(AND(Table1[[#This Row],[Status]]="High Sale",Table1[[#This Row],[High / Low Quantity]]="High Quantity"),"Excellent",IF(OR(Table1[[#This Row],[Status]]="High Sale",Table1[[#This Row],[High / Low Quantity]]="High Quantity"),"Good","Average"))</f>
        <v>Excellent</v>
      </c>
      <c r="K16" s="8" t="str">
        <f>_xlfn.TEXTJOIN(" ",,Table1[[#This Row],[Salesperson]],Table1[[#This Row],[Product]],Table1[[#This Row],[Region]])</f>
        <v>Olivia Mobile East</v>
      </c>
      <c r="L16" t="str" cm="1">
        <f t="array" ref="L16:N16">_xlfn.TEXTSPLIT(Table1[[#This Row],[Sales Info]]," ")</f>
        <v>Olivia</v>
      </c>
      <c r="M16" t="str">
        <v>Mobile</v>
      </c>
      <c r="N16" t="str">
        <v>East</v>
      </c>
    </row>
    <row r="22" spans="1:8" x14ac:dyDescent="0.25">
      <c r="A22" t="s">
        <v>48</v>
      </c>
      <c r="B22">
        <f>SUMIF(Table1[Product],"Laptop",Table1[Total Sales])</f>
        <v>8500</v>
      </c>
      <c r="F22" s="9"/>
      <c r="G22" s="9"/>
    </row>
    <row r="23" spans="1:8" x14ac:dyDescent="0.25">
      <c r="A23" t="s">
        <v>49</v>
      </c>
      <c r="B23">
        <f>COUNTIF(Table1[Region],"North")</f>
        <v>4</v>
      </c>
    </row>
    <row r="24" spans="1:8" x14ac:dyDescent="0.25">
      <c r="A24" t="s">
        <v>50</v>
      </c>
      <c r="B24">
        <f>SUMIFS(Table1[[#All],[Total Sales]],Table1[[#All],[Product]],"Mobile",Table1[[#All],[Region]],"South")</f>
        <v>6600</v>
      </c>
      <c r="F24" t="s">
        <v>61</v>
      </c>
      <c r="G24" t="s">
        <v>0</v>
      </c>
      <c r="H24" t="s">
        <v>59</v>
      </c>
    </row>
    <row r="25" spans="1:8" ht="15.75" x14ac:dyDescent="0.25">
      <c r="A25" s="6" t="s">
        <v>51</v>
      </c>
      <c r="B25">
        <f>COUNTIFS(Table1[[#All],[Region]],"East",Table1[[#All],[Total Sales]],"&gt;1000")</f>
        <v>4</v>
      </c>
      <c r="G25" t="s">
        <v>25</v>
      </c>
      <c r="H25">
        <f>INDEX(Table1[Unit Price],MATCH(G25,Table1[Order ID],0))</f>
        <v>300</v>
      </c>
    </row>
    <row r="28" spans="1:8" x14ac:dyDescent="0.25">
      <c r="A28" t="s">
        <v>52</v>
      </c>
      <c r="B28">
        <f ca="1">AVERAGEIF(Table1[[#All],[Product]],"Tablet",Table1[Total Sales])</f>
        <v>2612.5</v>
      </c>
    </row>
    <row r="29" spans="1:8" x14ac:dyDescent="0.25">
      <c r="A29" t="s">
        <v>53</v>
      </c>
      <c r="B29">
        <f>AVERAGEIFS(Table1[[#All],[Total Sales]],Table1[[#All],[Region]],"North",Table1[[#All],[Quantity]],"&gt;2")</f>
        <v>3133.3333333333335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1D61-6E17-4E52-B825-85A5EA9967B2}">
  <dimension ref="A2:K9"/>
  <sheetViews>
    <sheetView zoomScale="175" zoomScaleNormal="175" workbookViewId="0">
      <selection activeCell="A2" sqref="A2"/>
    </sheetView>
  </sheetViews>
  <sheetFormatPr defaultRowHeight="15" x14ac:dyDescent="0.25"/>
  <sheetData>
    <row r="2" spans="1:11" x14ac:dyDescent="0.25">
      <c r="A2" t="str" cm="1">
        <f t="array" ref="A2:K9">_xlfn._xlws.FILTER(Table1[],Table1[Total Sales]&gt;2000)</f>
        <v>ORD002</v>
      </c>
      <c r="B2" t="str">
        <v>Bob</v>
      </c>
      <c r="C2" t="str">
        <v>South</v>
      </c>
      <c r="D2" t="str">
        <v>Mobile</v>
      </c>
      <c r="E2">
        <v>5</v>
      </c>
      <c r="F2">
        <v>550</v>
      </c>
      <c r="G2">
        <v>2750</v>
      </c>
      <c r="H2" t="str">
        <v>High Sale</v>
      </c>
      <c r="I2" t="str">
        <v>High Quantity</v>
      </c>
      <c r="J2" t="str">
        <v>Excellent</v>
      </c>
      <c r="K2" t="str">
        <v>Bob Mobile South</v>
      </c>
    </row>
    <row r="3" spans="1:11" x14ac:dyDescent="0.25">
      <c r="A3" t="str">
        <v>ORD005</v>
      </c>
      <c r="B3" t="str">
        <v>Emma</v>
      </c>
      <c r="C3" t="str">
        <v>North</v>
      </c>
      <c r="D3" t="str">
        <v>Mobile</v>
      </c>
      <c r="E3">
        <v>6</v>
      </c>
      <c r="F3">
        <v>550</v>
      </c>
      <c r="G3">
        <v>3300</v>
      </c>
      <c r="H3" t="str">
        <v>High Sale</v>
      </c>
      <c r="I3" t="str">
        <v>High Quantity</v>
      </c>
      <c r="J3" t="str">
        <v>Excellent</v>
      </c>
      <c r="K3" t="str">
        <v>Emma Mobile North</v>
      </c>
    </row>
    <row r="4" spans="1:11" x14ac:dyDescent="0.25">
      <c r="A4" t="str">
        <v>ORD007</v>
      </c>
      <c r="B4" t="str">
        <v>Grace</v>
      </c>
      <c r="C4" t="str">
        <v>East</v>
      </c>
      <c r="D4" t="str">
        <v>Monitor</v>
      </c>
      <c r="E4">
        <v>8</v>
      </c>
      <c r="F4">
        <v>300</v>
      </c>
      <c r="G4">
        <v>2400</v>
      </c>
      <c r="H4" t="str">
        <v>High Sale</v>
      </c>
      <c r="I4" t="str">
        <v>High Quantity</v>
      </c>
      <c r="J4" t="str">
        <v>Excellent</v>
      </c>
      <c r="K4" t="str">
        <v>Grace Monitor East</v>
      </c>
    </row>
    <row r="5" spans="1:11" x14ac:dyDescent="0.25">
      <c r="A5" t="str">
        <v>ORD009</v>
      </c>
      <c r="B5" t="str">
        <v>Isabella</v>
      </c>
      <c r="C5" t="str">
        <v>North</v>
      </c>
      <c r="D5" t="str">
        <v>Laptop</v>
      </c>
      <c r="E5">
        <v>4</v>
      </c>
      <c r="F5">
        <v>850</v>
      </c>
      <c r="G5">
        <v>3400</v>
      </c>
      <c r="H5" t="str">
        <v>High Sale</v>
      </c>
      <c r="I5" t="str">
        <v>Low Quantity</v>
      </c>
      <c r="J5" t="str">
        <v>Good</v>
      </c>
      <c r="K5" t="str">
        <v>Isabella Laptop North</v>
      </c>
    </row>
    <row r="6" spans="1:11" x14ac:dyDescent="0.25">
      <c r="A6" t="str">
        <v>ORD010</v>
      </c>
      <c r="B6" t="str">
        <v>Jack</v>
      </c>
      <c r="C6" t="str">
        <v>South</v>
      </c>
      <c r="D6" t="str">
        <v>Mobile</v>
      </c>
      <c r="E6">
        <v>7</v>
      </c>
      <c r="F6">
        <v>550</v>
      </c>
      <c r="G6">
        <v>3850</v>
      </c>
      <c r="H6" t="str">
        <v>High Sale</v>
      </c>
      <c r="I6" t="str">
        <v>High Quantity</v>
      </c>
      <c r="J6" t="str">
        <v>Excellent</v>
      </c>
      <c r="K6" t="str">
        <v>Jack Mobile South</v>
      </c>
    </row>
    <row r="7" spans="1:11" x14ac:dyDescent="0.25">
      <c r="A7" t="str">
        <v>ORD012</v>
      </c>
      <c r="B7" t="str">
        <v>Lily</v>
      </c>
      <c r="C7" t="str">
        <v>West</v>
      </c>
      <c r="D7" t="str">
        <v>Laptop</v>
      </c>
      <c r="E7">
        <v>3</v>
      </c>
      <c r="F7">
        <v>850</v>
      </c>
      <c r="G7">
        <v>2550</v>
      </c>
      <c r="H7" t="str">
        <v>High Sale</v>
      </c>
      <c r="I7" t="str">
        <v>Low Quantity</v>
      </c>
      <c r="J7" t="str">
        <v>Good</v>
      </c>
      <c r="K7" t="str">
        <v>Lily Laptop West</v>
      </c>
    </row>
    <row r="8" spans="1:11" x14ac:dyDescent="0.25">
      <c r="A8" t="str">
        <v>ORD013</v>
      </c>
      <c r="B8" t="str">
        <v>Mason</v>
      </c>
      <c r="C8" t="str">
        <v>North</v>
      </c>
      <c r="D8" t="str">
        <v>Monitor</v>
      </c>
      <c r="E8">
        <v>9</v>
      </c>
      <c r="F8">
        <v>300</v>
      </c>
      <c r="G8">
        <v>2700</v>
      </c>
      <c r="H8" t="str">
        <v>High Sale</v>
      </c>
      <c r="I8" t="str">
        <v>High Quantity</v>
      </c>
      <c r="J8" t="str">
        <v>Excellent</v>
      </c>
      <c r="K8" t="str">
        <v>Mason Monitor North</v>
      </c>
    </row>
    <row r="9" spans="1:11" x14ac:dyDescent="0.25">
      <c r="A9" t="str">
        <v>ORD015</v>
      </c>
      <c r="B9" t="str">
        <v>Olivia</v>
      </c>
      <c r="C9" t="str">
        <v>East</v>
      </c>
      <c r="D9" t="str">
        <v>Mobile</v>
      </c>
      <c r="E9">
        <v>6</v>
      </c>
      <c r="F9">
        <v>550</v>
      </c>
      <c r="G9">
        <v>3300</v>
      </c>
      <c r="H9" t="str">
        <v>High Sale</v>
      </c>
      <c r="I9" t="str">
        <v>High Quantity</v>
      </c>
      <c r="J9" t="str">
        <v>Excellent</v>
      </c>
      <c r="K9" t="str">
        <v>Olivia Mobile East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CE97-F6F9-47CD-BDC1-70C99E64ADD3}">
  <dimension ref="A1:C15"/>
  <sheetViews>
    <sheetView workbookViewId="0">
      <selection activeCell="B15" sqref="B15"/>
    </sheetView>
  </sheetViews>
  <sheetFormatPr defaultColWidth="14.28515625" defaultRowHeight="15" x14ac:dyDescent="0.25"/>
  <sheetData>
    <row r="1" spans="1:3" x14ac:dyDescent="0.25">
      <c r="A1" s="1" t="s">
        <v>3</v>
      </c>
      <c r="B1" s="4" t="s">
        <v>54</v>
      </c>
    </row>
    <row r="2" spans="1:3" x14ac:dyDescent="0.25">
      <c r="A2" s="2" t="s">
        <v>8</v>
      </c>
      <c r="B2" s="3">
        <v>850</v>
      </c>
    </row>
    <row r="3" spans="1:3" x14ac:dyDescent="0.25">
      <c r="A3" s="2" t="s">
        <v>12</v>
      </c>
      <c r="B3" s="3">
        <v>550</v>
      </c>
    </row>
    <row r="4" spans="1:3" x14ac:dyDescent="0.25">
      <c r="A4" s="2" t="s">
        <v>16</v>
      </c>
      <c r="B4" s="3">
        <v>400</v>
      </c>
    </row>
    <row r="5" spans="1:3" x14ac:dyDescent="0.25">
      <c r="A5" s="2" t="s">
        <v>20</v>
      </c>
      <c r="B5" s="3">
        <v>300</v>
      </c>
    </row>
    <row r="6" spans="1:3" ht="30" x14ac:dyDescent="0.25">
      <c r="A6" s="2" t="s">
        <v>55</v>
      </c>
      <c r="B6" s="3">
        <v>45</v>
      </c>
    </row>
    <row r="7" spans="1:3" x14ac:dyDescent="0.25">
      <c r="A7" s="2" t="s">
        <v>56</v>
      </c>
      <c r="B7" s="3">
        <v>25</v>
      </c>
    </row>
    <row r="8" spans="1:3" x14ac:dyDescent="0.25">
      <c r="A8" s="2" t="s">
        <v>57</v>
      </c>
      <c r="B8" s="3">
        <v>180</v>
      </c>
    </row>
    <row r="9" spans="1:3" ht="30" x14ac:dyDescent="0.25">
      <c r="A9" s="2" t="s">
        <v>58</v>
      </c>
      <c r="B9" s="3">
        <v>75</v>
      </c>
    </row>
    <row r="14" spans="1:3" x14ac:dyDescent="0.25">
      <c r="B14" s="5" t="s">
        <v>54</v>
      </c>
      <c r="C14" s="7"/>
    </row>
    <row r="15" spans="1:3" x14ac:dyDescent="0.25">
      <c r="A15" t="s">
        <v>8</v>
      </c>
      <c r="B15">
        <f>VLOOKUP(A15,Table4[#All],2,0)</f>
        <v>850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High Value Sales</vt:lpstr>
      <vt:lpstr>Product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Faizul Bitto</dc:creator>
  <cp:lastModifiedBy>Faizul Bitto</cp:lastModifiedBy>
  <dcterms:created xsi:type="dcterms:W3CDTF">2026-07-21T10:51:25Z</dcterms:created>
  <dcterms:modified xsi:type="dcterms:W3CDTF">2026-07-21T12:21:31Z</dcterms:modified>
</cp:coreProperties>
</file>