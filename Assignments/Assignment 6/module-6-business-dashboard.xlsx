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A\Assignments\Assignment 6\"/>
    </mc:Choice>
  </mc:AlternateContent>
  <xr:revisionPtr revIDLastSave="0" documentId="13_ncr:1_{6F97D06B-0B02-4E02-AFF0-C65DF9EABDF8}" xr6:coauthVersionLast="47" xr6:coauthVersionMax="47" xr10:uidLastSave="{00000000-0000-0000-0000-000000000000}"/>
  <bookViews>
    <workbookView xWindow="-120" yWindow="-120" windowWidth="29040" windowHeight="15720" activeTab="2" xr2:uid="{EB722D3C-67AD-4A5C-84DD-BF83B3D79E8F}"/>
  </bookViews>
  <sheets>
    <sheet name="Sales Data" sheetId="2" r:id="rId1"/>
    <sheet name="Pivot Tables" sheetId="3" r:id="rId2"/>
    <sheet name="Dashboard" sheetId="4" r:id="rId3"/>
  </sheets>
  <definedNames>
    <definedName name="_xlcn.WorksheetConnection_module6businessdashboard.xlsxSales_Data1" hidden="1">Sales_Data[]</definedName>
    <definedName name="ExternalData_1" localSheetId="0" hidden="1">'Sales Data'!$A$1:$F$501</definedName>
    <definedName name="Slicer_Order_Date__Month">#N/A</definedName>
    <definedName name="Slicer_Order_Date__Year">#N/A</definedName>
    <definedName name="Slicer_Product">#N/A</definedName>
    <definedName name="Slicer_Region">#N/A</definedName>
  </definedNames>
  <calcPr calcId="191029"/>
  <pivotCaches>
    <pivotCache cacheId="857" r:id="rId4"/>
    <pivotCache cacheId="860" r:id="rId5"/>
    <pivotCache cacheId="863" r:id="rId6"/>
    <pivotCache cacheId="866" r:id="rId7"/>
    <pivotCache cacheId="869" r:id="rId8"/>
  </pivotCaches>
  <extLst>
    <ext xmlns:x14="http://schemas.microsoft.com/office/spreadsheetml/2009/9/main" uri="{876F7934-8845-4945-9796-88D515C7AA90}">
      <x14:pivotCaches>
        <pivotCache cacheId="158" r:id="rId9"/>
      </x14:pivotCaches>
    </ex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 name="Sales_Data" connection="WorksheetConnection_module-6-business-dashboard.xlsx!Sales_Data"/>
        </x15:modelTables>
        <x15:extLst>
          <ext xmlns:x16="http://schemas.microsoft.com/office/spreadsheetml/2014/11/main" uri="{9835A34E-60A6-4A7C-AAB8-D5F71C897F49}">
            <x16:modelTimeGroupings>
              <x16:modelTimeGrouping tableName="Sales_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8" i="3" l="1"/>
  <c r="L4" i="3"/>
  <c r="C1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55E34B-BC34-4546-AD03-1FBC755CF20E}"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 id="2" xr16:uid="{5C90C37E-4CC7-4A42-B9DA-AD2F7AC6FC3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B0307712-9D0F-4FE6-A932-8CE9FE83433F}" name="WorksheetConnection_module-6-business-dashboard.xlsx!Sales_Data" type="102" refreshedVersion="8" minRefreshableVersion="5">
    <extLst>
      <ext xmlns:x15="http://schemas.microsoft.com/office/spreadsheetml/2010/11/main" uri="{DE250136-89BD-433C-8126-D09CA5730AF9}">
        <x15:connection id="Sales_Data">
          <x15:rangePr sourceName="_xlcn.WorksheetConnection_module6businessdashboard.xlsxSales_Data1"/>
        </x15:connection>
      </ext>
    </extLst>
  </connection>
</connections>
</file>

<file path=xl/sharedStrings.xml><?xml version="1.0" encoding="utf-8"?>
<sst xmlns="http://schemas.openxmlformats.org/spreadsheetml/2006/main" count="1540" uniqueCount="171">
  <si>
    <t>Order Date</t>
  </si>
  <si>
    <t>Region</t>
  </si>
  <si>
    <t>Customer</t>
  </si>
  <si>
    <t>Product</t>
  </si>
  <si>
    <t>Quantity</t>
  </si>
  <si>
    <t>Sales Amount</t>
  </si>
  <si>
    <t>West</t>
  </si>
  <si>
    <t>Lisa Harris</t>
  </si>
  <si>
    <t>Desk Lamp</t>
  </si>
  <si>
    <t>Central</t>
  </si>
  <si>
    <t>Patricia Davis</t>
  </si>
  <si>
    <t>Bluetooth Speaker</t>
  </si>
  <si>
    <t>Anthony Martin</t>
  </si>
  <si>
    <t>Laptop Stand</t>
  </si>
  <si>
    <t>North</t>
  </si>
  <si>
    <t>William Moore</t>
  </si>
  <si>
    <t>Susan Perez</t>
  </si>
  <si>
    <t>Wireless Charger</t>
  </si>
  <si>
    <t>South</t>
  </si>
  <si>
    <t>Emily Davis</t>
  </si>
  <si>
    <t>Monitor 27in</t>
  </si>
  <si>
    <t>East</t>
  </si>
  <si>
    <t>Michael Brown</t>
  </si>
  <si>
    <t>Office Chair</t>
  </si>
  <si>
    <t>Charles Williams</t>
  </si>
  <si>
    <t>Robert Smith</t>
  </si>
  <si>
    <t>Jennifer White</t>
  </si>
  <si>
    <t>Mechanical Keyboard</t>
  </si>
  <si>
    <t>Donna Rodriguez</t>
  </si>
  <si>
    <t>Standing Desk</t>
  </si>
  <si>
    <t>Patricia Ramirez</t>
  </si>
  <si>
    <t>Nancy Williams</t>
  </si>
  <si>
    <t>Noise Cancelling Headphones</t>
  </si>
  <si>
    <t>Betty White</t>
  </si>
  <si>
    <t>USB-C Hub</t>
  </si>
  <si>
    <t>Jessica White</t>
  </si>
  <si>
    <t>Joseph Jones</t>
  </si>
  <si>
    <t>Webcam HD</t>
  </si>
  <si>
    <t>Sarah Thompson</t>
  </si>
  <si>
    <t>James White</t>
  </si>
  <si>
    <t>Tablet Case</t>
  </si>
  <si>
    <t>Sandra Taylor</t>
  </si>
  <si>
    <t>Lisa Anderson</t>
  </si>
  <si>
    <t>Sarah Williams</t>
  </si>
  <si>
    <t>Richard Jones</t>
  </si>
  <si>
    <t>Sarah Jones</t>
  </si>
  <si>
    <t>David Taylor</t>
  </si>
  <si>
    <t>Ashley Williams</t>
  </si>
  <si>
    <t>Joseph Jackson</t>
  </si>
  <si>
    <t>Nancy Brown</t>
  </si>
  <si>
    <t>Andrew Jones</t>
  </si>
  <si>
    <t>External SSD 1TB</t>
  </si>
  <si>
    <t>William Thompson</t>
  </si>
  <si>
    <t>Lisa Jackson</t>
  </si>
  <si>
    <t>Joseph Taylor</t>
  </si>
  <si>
    <t>Steven Moore</t>
  </si>
  <si>
    <t>Joseph Anderson</t>
  </si>
  <si>
    <t>Michael Davis</t>
  </si>
  <si>
    <t>Wireless Mouse</t>
  </si>
  <si>
    <t>Ashley Miller</t>
  </si>
  <si>
    <t>Thomas Taylor</t>
  </si>
  <si>
    <t>William Rodriguez</t>
  </si>
  <si>
    <t>Linda Smith</t>
  </si>
  <si>
    <t>Sarah Robinson</t>
  </si>
  <si>
    <t>Michael Perez</t>
  </si>
  <si>
    <t>John Thompson</t>
  </si>
  <si>
    <t>Nancy Smith</t>
  </si>
  <si>
    <t>Donna Moore</t>
  </si>
  <si>
    <t>Barbara Rodriguez</t>
  </si>
  <si>
    <t>David Wilson</t>
  </si>
  <si>
    <t>Printer Ink Set</t>
  </si>
  <si>
    <t>Nancy Sanchez</t>
  </si>
  <si>
    <t>William Anderson</t>
  </si>
  <si>
    <t>John Gonzalez</t>
  </si>
  <si>
    <t>Donna Wilson</t>
  </si>
  <si>
    <t>Donna Gonzalez</t>
  </si>
  <si>
    <t>John Harris</t>
  </si>
  <si>
    <t>Daniel Clark</t>
  </si>
  <si>
    <t>Margaret Hernandez</t>
  </si>
  <si>
    <t>Paul Martin</t>
  </si>
  <si>
    <t>Ashley Gonzalez</t>
  </si>
  <si>
    <t>Sandra Gonzalez</t>
  </si>
  <si>
    <t>Emily Miller</t>
  </si>
  <si>
    <t>Sandra Jones</t>
  </si>
  <si>
    <t>Sandra Moore</t>
  </si>
  <si>
    <t>Karen Gonzalez</t>
  </si>
  <si>
    <t>Sandra Davis</t>
  </si>
  <si>
    <t>Joseph Smith</t>
  </si>
  <si>
    <t>Sarah Perez</t>
  </si>
  <si>
    <t>William Sanchez</t>
  </si>
  <si>
    <t>Thomas White</t>
  </si>
  <si>
    <t>Lisa Garcia</t>
  </si>
  <si>
    <t>Emily Martinez</t>
  </si>
  <si>
    <t>Robert White</t>
  </si>
  <si>
    <t>James Martin</t>
  </si>
  <si>
    <t>Kimberly Anderson</t>
  </si>
  <si>
    <t>Matthew Martin</t>
  </si>
  <si>
    <t>Jennifer Gonzalez</t>
  </si>
  <si>
    <t>Sarah Harris</t>
  </si>
  <si>
    <t>Lisa Lopez</t>
  </si>
  <si>
    <t>Michael Johnson</t>
  </si>
  <si>
    <t>Margaret Wilson</t>
  </si>
  <si>
    <t>Daniel Miller</t>
  </si>
  <si>
    <t>Joseph Harris</t>
  </si>
  <si>
    <t>Karen Davis</t>
  </si>
  <si>
    <t>Anthony Williams</t>
  </si>
  <si>
    <t>Charles Wilson</t>
  </si>
  <si>
    <t>Andrew Wilson</t>
  </si>
  <si>
    <t>Jennifer Miller</t>
  </si>
  <si>
    <t>Mark Miller</t>
  </si>
  <si>
    <t>Joseph Ramirez</t>
  </si>
  <si>
    <t>Margaret Martin</t>
  </si>
  <si>
    <t>Barbara Taylor</t>
  </si>
  <si>
    <t>Richard Thompson</t>
  </si>
  <si>
    <t>Emily Brown</t>
  </si>
  <si>
    <t>Mary Brown</t>
  </si>
  <si>
    <t>Linda Robinson</t>
  </si>
  <si>
    <t>Susan Robinson</t>
  </si>
  <si>
    <t>Thomas Sanchez</t>
  </si>
  <si>
    <t>Karen Clark</t>
  </si>
  <si>
    <t>Michael Lopez</t>
  </si>
  <si>
    <t>Joshua Williams</t>
  </si>
  <si>
    <t>Andrew Harris</t>
  </si>
  <si>
    <t>Steven Sanchez</t>
  </si>
  <si>
    <t>Patricia Perez</t>
  </si>
  <si>
    <t>Emily Moore</t>
  </si>
  <si>
    <t>Michael Gonzalez</t>
  </si>
  <si>
    <t>Lisa Davis</t>
  </si>
  <si>
    <t>Andrew Anderson</t>
  </si>
  <si>
    <t>Sandra Ramirez</t>
  </si>
  <si>
    <t>Jessica Garcia</t>
  </si>
  <si>
    <t>David Jones</t>
  </si>
  <si>
    <t>James Perez</t>
  </si>
  <si>
    <t>Steven Davis</t>
  </si>
  <si>
    <t>Paul Davis</t>
  </si>
  <si>
    <t>Daniel Gonzalez</t>
  </si>
  <si>
    <t>Susan Harris</t>
  </si>
  <si>
    <t>Margaret Lopez</t>
  </si>
  <si>
    <t>Linda Perez</t>
  </si>
  <si>
    <t>John Martin</t>
  </si>
  <si>
    <t>James Harris</t>
  </si>
  <si>
    <t>Joshua Lewis</t>
  </si>
  <si>
    <t>Kimberly Ramirez</t>
  </si>
  <si>
    <t>Sarah Davis</t>
  </si>
  <si>
    <t>Kenneth Smith</t>
  </si>
  <si>
    <t>Kimberly Robinson</t>
  </si>
  <si>
    <t>John Anderson</t>
  </si>
  <si>
    <t>Kenneth Wilson</t>
  </si>
  <si>
    <t>John Lewis</t>
  </si>
  <si>
    <t>Robert Ramirez</t>
  </si>
  <si>
    <t>Sarah Anderson</t>
  </si>
  <si>
    <t>John Johnson</t>
  </si>
  <si>
    <t>Joshua Jackson</t>
  </si>
  <si>
    <t>Robert Sanchez</t>
  </si>
  <si>
    <t>Linda Davis</t>
  </si>
  <si>
    <t>Michelle Lewis</t>
  </si>
  <si>
    <t>Ashley Clark</t>
  </si>
  <si>
    <t>Joseph Williams</t>
  </si>
  <si>
    <t>Thomas Moore</t>
  </si>
  <si>
    <t>Thomas Jones</t>
  </si>
  <si>
    <t>Richard Miller</t>
  </si>
  <si>
    <t>Total Sales</t>
  </si>
  <si>
    <t>Total Quantity Sold</t>
  </si>
  <si>
    <t>Average Sales per Order</t>
  </si>
  <si>
    <t>Grand Total</t>
  </si>
  <si>
    <t>Regions</t>
  </si>
  <si>
    <t>Products</t>
  </si>
  <si>
    <t>2025</t>
  </si>
  <si>
    <t>2026</t>
  </si>
  <si>
    <t>Date</t>
  </si>
  <si>
    <t>Last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</si>
</sst>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2" borderId="0" xfId="0" applyFill="1"/>
    <xf numFmtId="15"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19"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07/relationships/slicerCache" Target="slicerCaches/slicerCache1.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07/relationships/slicerCache" Target="slicerCaches/slicerCache3.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[module-6-business-dashboard.xlsx]Pivot Tables!PivotTable1</c:name>
    <c:fmtId val="12"/>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a:t>Total Sales by Region</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Tables'!$C$3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 Tables'!$B$4:$B$9</c:f>
              <c:strCache>
                <c:ptCount val="5"/>
                <c:pt idx="0">
                  <c:v>Central</c:v>
                </c:pt>
                <c:pt idx="1">
                  <c:v>East</c:v>
                </c:pt>
                <c:pt idx="2">
                  <c:v>North</c:v>
                </c:pt>
                <c:pt idx="3">
                  <c:v>South</c:v>
                </c:pt>
                <c:pt idx="4">
                  <c:v>West</c:v>
                </c:pt>
              </c:strCache>
            </c:strRef>
          </c:cat>
          <c:val>
            <c:numRef>
              <c:f>'Pivot Tables'!$C$4:$C$9</c:f>
              <c:numCache>
                <c:formatCode>General</c:formatCode>
                <c:ptCount val="5"/>
                <c:pt idx="0">
                  <c:v>32697.69</c:v>
                </c:pt>
                <c:pt idx="1">
                  <c:v>50837.08</c:v>
                </c:pt>
                <c:pt idx="2">
                  <c:v>19711.82</c:v>
                </c:pt>
                <c:pt idx="3">
                  <c:v>26825.040000000001</c:v>
                </c:pt>
                <c:pt idx="4">
                  <c:v>34394.86</c:v>
                </c:pt>
              </c:numCache>
            </c:numRef>
          </c:val>
          <c:extLst>
            <c:ext xmlns:c16="http://schemas.microsoft.com/office/drawing/2014/chart" uri="{C3380CC4-5D6E-409C-BE32-E72D297353CC}">
              <c16:uniqueId val="{0000000B-F279-48E3-B117-C02A38FDA89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[module-6-business-dashboard.xlsx]Pivot Tables!PivotTable2</c:name>
    <c:fmtId val="4"/>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Total Sales By Product</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Tables'!$F$3</c:f>
              <c:strCache>
                <c:ptCount val="1"/>
                <c:pt idx="0">
                  <c:v>Total</c:v>
                </c:pt>
              </c:strCache>
            </c:strRef>
          </c:tx>
          <c:spPr>
            <a:solidFill>
              <a:schemeClr val="bg1"/>
            </a:solidFill>
            <a:ln>
              <a:noFill/>
            </a:ln>
            <a:effectLst/>
            <a:sp3d/>
          </c:spPr>
          <c:invertIfNegative val="0"/>
          <c:cat>
            <c:strRef>
              <c:f>'Pivot Tables'!$E$4:$E$19</c:f>
              <c:strCache>
                <c:ptCount val="15"/>
                <c:pt idx="0">
                  <c:v>Bluetooth Speaker</c:v>
                </c:pt>
                <c:pt idx="1">
                  <c:v>Desk Lamp</c:v>
                </c:pt>
                <c:pt idx="2">
                  <c:v>External SSD 1TB</c:v>
                </c:pt>
                <c:pt idx="3">
                  <c:v>Laptop Stand</c:v>
                </c:pt>
                <c:pt idx="4">
                  <c:v>Mechanical Keyboard</c:v>
                </c:pt>
                <c:pt idx="5">
                  <c:v>Monitor 27in</c:v>
                </c:pt>
                <c:pt idx="6">
                  <c:v>Noise Cancelling Headphones</c:v>
                </c:pt>
                <c:pt idx="7">
                  <c:v>Office Chair</c:v>
                </c:pt>
                <c:pt idx="8">
                  <c:v>Printer Ink Set</c:v>
                </c:pt>
                <c:pt idx="9">
                  <c:v>Standing Desk</c:v>
                </c:pt>
                <c:pt idx="10">
                  <c:v>Tablet Case</c:v>
                </c:pt>
                <c:pt idx="11">
                  <c:v>USB-C Hub</c:v>
                </c:pt>
                <c:pt idx="12">
                  <c:v>Webcam HD</c:v>
                </c:pt>
                <c:pt idx="13">
                  <c:v>Wireless Charger</c:v>
                </c:pt>
                <c:pt idx="14">
                  <c:v>Wireless Mouse</c:v>
                </c:pt>
              </c:strCache>
            </c:strRef>
          </c:cat>
          <c:val>
            <c:numRef>
              <c:f>'Pivot Tables'!$F$4:$F$19</c:f>
              <c:numCache>
                <c:formatCode>General</c:formatCode>
                <c:ptCount val="15"/>
                <c:pt idx="0">
                  <c:v>9577.42</c:v>
                </c:pt>
                <c:pt idx="1">
                  <c:v>3172.44</c:v>
                </c:pt>
                <c:pt idx="2">
                  <c:v>9739.44</c:v>
                </c:pt>
                <c:pt idx="3">
                  <c:v>4583</c:v>
                </c:pt>
                <c:pt idx="4">
                  <c:v>8405</c:v>
                </c:pt>
                <c:pt idx="5">
                  <c:v>32946.11</c:v>
                </c:pt>
                <c:pt idx="6">
                  <c:v>12135.43</c:v>
                </c:pt>
                <c:pt idx="7">
                  <c:v>17346.150000000001</c:v>
                </c:pt>
                <c:pt idx="8">
                  <c:v>3599.27</c:v>
                </c:pt>
                <c:pt idx="9">
                  <c:v>44397.04</c:v>
                </c:pt>
                <c:pt idx="10">
                  <c:v>1748.59</c:v>
                </c:pt>
                <c:pt idx="11">
                  <c:v>4244.26</c:v>
                </c:pt>
                <c:pt idx="12">
                  <c:v>6834.28</c:v>
                </c:pt>
                <c:pt idx="13">
                  <c:v>2183.75</c:v>
                </c:pt>
                <c:pt idx="14">
                  <c:v>3554.31</c:v>
                </c:pt>
              </c:numCache>
            </c:numRef>
          </c:val>
          <c:extLst>
            <c:ext xmlns:c16="http://schemas.microsoft.com/office/drawing/2014/chart" uri="{C3380CC4-5D6E-409C-BE32-E72D297353CC}">
              <c16:uniqueId val="{00000001-A9FC-45A8-8211-AFB9355B993D}"/>
            </c:ext>
          </c:extLst>
        </c:ser>
        <c:dLbls>
          <c:showLegendKey val="0"/>
          <c:showVal val="0"/>
          <c:showCatName val="0"/>
          <c:showSerName val="0"/>
          <c:showPercent val="0"/>
          <c:showBubbleSize val="0"/>
        </c:dLbls>
        <c:gapWidth val="150"/>
        <c:shape val="box"/>
        <c:axId val="1195940784"/>
        <c:axId val="1195939344"/>
        <c:axId val="0"/>
      </c:bar3DChart>
      <c:catAx>
        <c:axId val="1195940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ln>
                  <a:noFill/>
                </a:ln>
                <a:solidFill>
                  <a:schemeClr val="bg1"/>
                </a:solidFill>
                <a:latin typeface="+mn-lt"/>
                <a:ea typeface="+mn-ea"/>
                <a:cs typeface="+mn-cs"/>
              </a:defRPr>
            </a:pPr>
            <a:endParaRPr lang="en-US"/>
          </a:p>
        </c:txPr>
        <c:crossAx val="1195939344"/>
        <c:crosses val="autoZero"/>
        <c:auto val="1"/>
        <c:lblAlgn val="ctr"/>
        <c:lblOffset val="100"/>
        <c:noMultiLvlLbl val="0"/>
      </c:catAx>
      <c:valAx>
        <c:axId val="1195939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9594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[module-6-business-dashboard.xlsx]Pivot Tables!PivotTable3</c:name>
    <c:fmtId val="4"/>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a:t>Total Sales by Years &amp; Months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Tables'!$I$3</c:f>
              <c:strCache>
                <c:ptCount val="1"/>
                <c:pt idx="0">
                  <c:v>Total</c:v>
                </c:pt>
              </c:strCache>
            </c:strRef>
          </c:tx>
          <c:spPr>
            <a:solidFill>
              <a:schemeClr val="accent1"/>
            </a:solidFill>
            <a:ln w="25400">
              <a:noFill/>
            </a:ln>
            <a:effectLst/>
          </c:spPr>
          <c:cat>
            <c:strRef>
              <c:f>'Pivot Tables'!$H$4:$H$6</c:f>
              <c:strCache>
                <c:ptCount val="2"/>
                <c:pt idx="0">
                  <c:v>2025</c:v>
                </c:pt>
                <c:pt idx="1">
                  <c:v>2026</c:v>
                </c:pt>
              </c:strCache>
            </c:strRef>
          </c:cat>
          <c:val>
            <c:numRef>
              <c:f>'Pivot Tables'!$I$4:$I$6</c:f>
              <c:numCache>
                <c:formatCode>General</c:formatCode>
                <c:ptCount val="2"/>
                <c:pt idx="0">
                  <c:v>108291.52</c:v>
                </c:pt>
                <c:pt idx="1">
                  <c:v>56174.97</c:v>
                </c:pt>
              </c:numCache>
            </c:numRef>
          </c:val>
          <c:extLst>
            <c:ext xmlns:c16="http://schemas.microsoft.com/office/drawing/2014/chart" uri="{C3380CC4-5D6E-409C-BE32-E72D297353CC}">
              <c16:uniqueId val="{00000001-78FD-4555-B27B-EFF5E8C803BA}"/>
            </c:ext>
          </c:extLst>
        </c:ser>
        <c:dLbls>
          <c:showLegendKey val="0"/>
          <c:showVal val="0"/>
          <c:showCatName val="0"/>
          <c:showSerName val="0"/>
          <c:showPercent val="0"/>
          <c:showBubbleSize val="0"/>
        </c:dLbls>
        <c:axId val="1174151632"/>
        <c:axId val="1174152112"/>
      </c:areaChart>
      <c:catAx>
        <c:axId val="1174151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74152112"/>
        <c:crosses val="autoZero"/>
        <c:auto val="1"/>
        <c:lblAlgn val="ctr"/>
        <c:lblOffset val="100"/>
        <c:noMultiLvlLbl val="0"/>
      </c:catAx>
      <c:valAx>
        <c:axId val="11741521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74151632"/>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i="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123825</xdr:colOff>
      <xdr:row>0</xdr:row>
      <xdr:rowOff>133350</xdr:rowOff>
    </xdr:from>
    <xdr:to>
      <xdr:col>7</xdr:col>
      <xdr:colOff>85725</xdr:colOff>
      <xdr:row>9</xdr:row>
      <xdr:rowOff>0</xdr:rowOff>
    </xdr:to>
    <xdr:sp macro="" textlink="">
      <xdr:nvSpPr>
        <xdr:cNvPr id="2" name="Rectangle: Rounded Corners 1">
          <a:extLst>
            <a:ext uri="{FF2B5EF4-FFF2-40B4-BE49-F238E27FC236}">
              <a16:creationId xmlns:a16="http://schemas.microsoft.com/office/drawing/2014/main" id="{0050C244-CEB2-0146-7EC5-4D0C1A463507}"/>
            </a:ext>
          </a:extLst>
        </xdr:cNvPr>
        <xdr:cNvSpPr/>
      </xdr:nvSpPr>
      <xdr:spPr>
        <a:xfrm>
          <a:off x="123825" y="133350"/>
          <a:ext cx="4229100" cy="158115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257175</xdr:colOff>
      <xdr:row>0</xdr:row>
      <xdr:rowOff>133350</xdr:rowOff>
    </xdr:from>
    <xdr:to>
      <xdr:col>22</xdr:col>
      <xdr:colOff>180976</xdr:colOff>
      <xdr:row>8</xdr:row>
      <xdr:rowOff>171450</xdr:rowOff>
    </xdr:to>
    <xdr:sp macro="" textlink="">
      <xdr:nvSpPr>
        <xdr:cNvPr id="4" name="Rectangle: Rounded Corners 3">
          <a:extLst>
            <a:ext uri="{FF2B5EF4-FFF2-40B4-BE49-F238E27FC236}">
              <a16:creationId xmlns:a16="http://schemas.microsoft.com/office/drawing/2014/main" id="{D196B34B-E10A-428F-963A-039620C79784}"/>
            </a:ext>
          </a:extLst>
        </xdr:cNvPr>
        <xdr:cNvSpPr/>
      </xdr:nvSpPr>
      <xdr:spPr>
        <a:xfrm>
          <a:off x="4524375" y="133350"/>
          <a:ext cx="9067801" cy="156210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333375</xdr:colOff>
      <xdr:row>0</xdr:row>
      <xdr:rowOff>128587</xdr:rowOff>
    </xdr:from>
    <xdr:to>
      <xdr:col>29</xdr:col>
      <xdr:colOff>104776</xdr:colOff>
      <xdr:row>8</xdr:row>
      <xdr:rowOff>176212</xdr:rowOff>
    </xdr:to>
    <xdr:sp macro="" textlink="">
      <xdr:nvSpPr>
        <xdr:cNvPr id="5" name="Rectangle: Rounded Corners 4">
          <a:extLst>
            <a:ext uri="{FF2B5EF4-FFF2-40B4-BE49-F238E27FC236}">
              <a16:creationId xmlns:a16="http://schemas.microsoft.com/office/drawing/2014/main" id="{7FFE81AA-E36A-4722-9763-E02A7FC945FE}"/>
            </a:ext>
          </a:extLst>
        </xdr:cNvPr>
        <xdr:cNvSpPr/>
      </xdr:nvSpPr>
      <xdr:spPr>
        <a:xfrm>
          <a:off x="13744575" y="128587"/>
          <a:ext cx="4038601" cy="1571625"/>
        </a:xfrm>
        <a:prstGeom prst="roundRect">
          <a:avLst/>
        </a:prstGeom>
        <a:scene3d>
          <a:camera prst="orthographicFront"/>
          <a:lightRig rig="threePt" dir="t"/>
        </a:scene3d>
        <a:sp3d>
          <a:bevelT/>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123825</xdr:colOff>
      <xdr:row>9</xdr:row>
      <xdr:rowOff>123825</xdr:rowOff>
    </xdr:from>
    <xdr:to>
      <xdr:col>7</xdr:col>
      <xdr:colOff>38100</xdr:colOff>
      <xdr:row>32</xdr:row>
      <xdr:rowOff>85725</xdr:rowOff>
    </xdr:to>
    <xdr:sp macro="" textlink="">
      <xdr:nvSpPr>
        <xdr:cNvPr id="6" name="Rectangle: Rounded Corners 5">
          <a:extLst>
            <a:ext uri="{FF2B5EF4-FFF2-40B4-BE49-F238E27FC236}">
              <a16:creationId xmlns:a16="http://schemas.microsoft.com/office/drawing/2014/main" id="{4A73C9C2-891A-477F-95AA-BC0CC990A843}"/>
            </a:ext>
          </a:extLst>
        </xdr:cNvPr>
        <xdr:cNvSpPr/>
      </xdr:nvSpPr>
      <xdr:spPr>
        <a:xfrm>
          <a:off x="123825" y="1838325"/>
          <a:ext cx="4181475" cy="4343400"/>
        </a:xfrm>
        <a:prstGeom prst="roundRect">
          <a:avLst/>
        </a:prstGeom>
        <a:scene3d>
          <a:camera prst="orthographicFront"/>
          <a:lightRig rig="threePt" dir="t"/>
        </a:scene3d>
        <a:sp3d>
          <a:bevelT/>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200025</xdr:colOff>
      <xdr:row>17</xdr:row>
      <xdr:rowOff>47625</xdr:rowOff>
    </xdr:from>
    <xdr:to>
      <xdr:col>14</xdr:col>
      <xdr:colOff>476250</xdr:colOff>
      <xdr:row>40</xdr:row>
      <xdr:rowOff>104775</xdr:rowOff>
    </xdr:to>
    <xdr:sp macro="" textlink="">
      <xdr:nvSpPr>
        <xdr:cNvPr id="7" name="Rectangle: Rounded Corners 6">
          <a:extLst>
            <a:ext uri="{FF2B5EF4-FFF2-40B4-BE49-F238E27FC236}">
              <a16:creationId xmlns:a16="http://schemas.microsoft.com/office/drawing/2014/main" id="{73B3B4B5-D845-400D-BA6A-76218E9AFD61}"/>
            </a:ext>
          </a:extLst>
        </xdr:cNvPr>
        <xdr:cNvSpPr/>
      </xdr:nvSpPr>
      <xdr:spPr>
        <a:xfrm>
          <a:off x="4467225" y="3286125"/>
          <a:ext cx="4543425" cy="4438650"/>
        </a:xfrm>
        <a:prstGeom prst="roundRect">
          <a:avLst/>
        </a:prstGeom>
        <a:scene3d>
          <a:camera prst="orthographicFront"/>
          <a:lightRig rig="threePt" dir="t"/>
        </a:scene3d>
        <a:sp3d>
          <a:bevelT/>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600075</xdr:colOff>
      <xdr:row>17</xdr:row>
      <xdr:rowOff>14287</xdr:rowOff>
    </xdr:from>
    <xdr:to>
      <xdr:col>22</xdr:col>
      <xdr:colOff>133351</xdr:colOff>
      <xdr:row>40</xdr:row>
      <xdr:rowOff>147637</xdr:rowOff>
    </xdr:to>
    <xdr:sp macro="" textlink="">
      <xdr:nvSpPr>
        <xdr:cNvPr id="8" name="Rectangle: Rounded Corners 7">
          <a:extLst>
            <a:ext uri="{FF2B5EF4-FFF2-40B4-BE49-F238E27FC236}">
              <a16:creationId xmlns:a16="http://schemas.microsoft.com/office/drawing/2014/main" id="{73AA2EBD-B74C-4EC9-82C0-EC4254912AFD}"/>
            </a:ext>
          </a:extLst>
        </xdr:cNvPr>
        <xdr:cNvSpPr/>
      </xdr:nvSpPr>
      <xdr:spPr>
        <a:xfrm>
          <a:off x="9134475" y="3252787"/>
          <a:ext cx="4410076" cy="4514850"/>
        </a:xfrm>
        <a:prstGeom prst="roundRect">
          <a:avLst/>
        </a:prstGeom>
        <a:scene3d>
          <a:camera prst="orthographicFront"/>
          <a:lightRig rig="threePt" dir="t"/>
        </a:scene3d>
        <a:sp3d>
          <a:bevelT/>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257175</xdr:colOff>
      <xdr:row>9</xdr:row>
      <xdr:rowOff>161925</xdr:rowOff>
    </xdr:from>
    <xdr:to>
      <xdr:col>14</xdr:col>
      <xdr:colOff>457200</xdr:colOff>
      <xdr:row>16</xdr:row>
      <xdr:rowOff>104775</xdr:rowOff>
    </xdr:to>
    <xdr:sp macro="" textlink="">
      <xdr:nvSpPr>
        <xdr:cNvPr id="9" name="Rectangle: Rounded Corners 8">
          <a:extLst>
            <a:ext uri="{FF2B5EF4-FFF2-40B4-BE49-F238E27FC236}">
              <a16:creationId xmlns:a16="http://schemas.microsoft.com/office/drawing/2014/main" id="{5C35FCA2-1E56-464F-B1B9-23B921C17FB5}"/>
            </a:ext>
          </a:extLst>
        </xdr:cNvPr>
        <xdr:cNvSpPr/>
      </xdr:nvSpPr>
      <xdr:spPr>
        <a:xfrm>
          <a:off x="4524375" y="1876425"/>
          <a:ext cx="4467225" cy="1276350"/>
        </a:xfrm>
        <a:prstGeom prst="roundRect">
          <a:avLst/>
        </a:prstGeom>
        <a:scene3d>
          <a:camera prst="orthographicFront"/>
          <a:lightRig rig="threePt" dir="t"/>
        </a:scene3d>
        <a:sp3d>
          <a:bevelT/>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581026</xdr:colOff>
      <xdr:row>9</xdr:row>
      <xdr:rowOff>180975</xdr:rowOff>
    </xdr:from>
    <xdr:to>
      <xdr:col>22</xdr:col>
      <xdr:colOff>114301</xdr:colOff>
      <xdr:row>16</xdr:row>
      <xdr:rowOff>123825</xdr:rowOff>
    </xdr:to>
    <xdr:sp macro="" textlink="">
      <xdr:nvSpPr>
        <xdr:cNvPr id="10" name="Rectangle: Rounded Corners 9">
          <a:extLst>
            <a:ext uri="{FF2B5EF4-FFF2-40B4-BE49-F238E27FC236}">
              <a16:creationId xmlns:a16="http://schemas.microsoft.com/office/drawing/2014/main" id="{4F59734B-531C-4C17-A80E-805D130021DA}"/>
            </a:ext>
          </a:extLst>
        </xdr:cNvPr>
        <xdr:cNvSpPr/>
      </xdr:nvSpPr>
      <xdr:spPr>
        <a:xfrm>
          <a:off x="9115426" y="1895475"/>
          <a:ext cx="4410075" cy="1276350"/>
        </a:xfrm>
        <a:prstGeom prst="roundRect">
          <a:avLst/>
        </a:prstGeom>
        <a:scene3d>
          <a:camera prst="orthographicFront"/>
          <a:lightRig rig="threePt" dir="t"/>
        </a:scene3d>
        <a:sp3d>
          <a:bevelT/>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257176</xdr:colOff>
      <xdr:row>17</xdr:row>
      <xdr:rowOff>57150</xdr:rowOff>
    </xdr:from>
    <xdr:to>
      <xdr:col>29</xdr:col>
      <xdr:colOff>104776</xdr:colOff>
      <xdr:row>41</xdr:row>
      <xdr:rowOff>0</xdr:rowOff>
    </xdr:to>
    <xdr:sp macro="" textlink="">
      <xdr:nvSpPr>
        <xdr:cNvPr id="12" name="Rectangle: Rounded Corners 11">
          <a:extLst>
            <a:ext uri="{FF2B5EF4-FFF2-40B4-BE49-F238E27FC236}">
              <a16:creationId xmlns:a16="http://schemas.microsoft.com/office/drawing/2014/main" id="{6F819562-DFDA-4FF0-B720-6C6B5F5185A1}"/>
            </a:ext>
          </a:extLst>
        </xdr:cNvPr>
        <xdr:cNvSpPr/>
      </xdr:nvSpPr>
      <xdr:spPr>
        <a:xfrm>
          <a:off x="13668376" y="3295650"/>
          <a:ext cx="4114800" cy="4514850"/>
        </a:xfrm>
        <a:prstGeom prst="roundRect">
          <a:avLst/>
        </a:prstGeom>
        <a:scene3d>
          <a:camera prst="orthographicFront"/>
          <a:lightRig rig="threePt" dir="t"/>
        </a:scene3d>
        <a:sp3d>
          <a:bevelT/>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295276</xdr:colOff>
      <xdr:row>10</xdr:row>
      <xdr:rowOff>9525</xdr:rowOff>
    </xdr:from>
    <xdr:to>
      <xdr:col>29</xdr:col>
      <xdr:colOff>104776</xdr:colOff>
      <xdr:row>16</xdr:row>
      <xdr:rowOff>142875</xdr:rowOff>
    </xdr:to>
    <xdr:sp macro="" textlink="">
      <xdr:nvSpPr>
        <xdr:cNvPr id="13" name="Rectangle: Rounded Corners 12">
          <a:extLst>
            <a:ext uri="{FF2B5EF4-FFF2-40B4-BE49-F238E27FC236}">
              <a16:creationId xmlns:a16="http://schemas.microsoft.com/office/drawing/2014/main" id="{A5FF41FA-C099-4B70-90B8-01800D8DFA61}"/>
            </a:ext>
          </a:extLst>
        </xdr:cNvPr>
        <xdr:cNvSpPr/>
      </xdr:nvSpPr>
      <xdr:spPr>
        <a:xfrm>
          <a:off x="13706476" y="1914525"/>
          <a:ext cx="4076700" cy="1276350"/>
        </a:xfrm>
        <a:prstGeom prst="roundRect">
          <a:avLst/>
        </a:prstGeom>
        <a:scene3d>
          <a:camera prst="orthographicFront"/>
          <a:lightRig rig="threePt" dir="t"/>
        </a:scene3d>
        <a:sp3d>
          <a:bevelT/>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152400</xdr:colOff>
      <xdr:row>0</xdr:row>
      <xdr:rowOff>133350</xdr:rowOff>
    </xdr:from>
    <xdr:to>
      <xdr:col>7</xdr:col>
      <xdr:colOff>114300</xdr:colOff>
      <xdr:row>9</xdr:row>
      <xdr:rowOff>0</xdr:rowOff>
    </xdr:to>
    <xdr:sp macro="" textlink="">
      <xdr:nvSpPr>
        <xdr:cNvPr id="14" name="Rectangle: Rounded Corners 13">
          <a:extLst>
            <a:ext uri="{FF2B5EF4-FFF2-40B4-BE49-F238E27FC236}">
              <a16:creationId xmlns:a16="http://schemas.microsoft.com/office/drawing/2014/main" id="{9BA193F5-C32E-B271-46E0-35FECE5754B5}"/>
            </a:ext>
          </a:extLst>
        </xdr:cNvPr>
        <xdr:cNvSpPr/>
      </xdr:nvSpPr>
      <xdr:spPr>
        <a:xfrm>
          <a:off x="152400" y="133350"/>
          <a:ext cx="4229100" cy="1581150"/>
        </a:xfrm>
        <a:prstGeom prst="roundRect">
          <a:avLst/>
        </a:prstGeom>
        <a:scene3d>
          <a:camera prst="orthographicFront"/>
          <a:lightRig rig="threePt" dir="t"/>
        </a:scene3d>
        <a:sp3d>
          <a:bevelT/>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261937</xdr:colOff>
      <xdr:row>0</xdr:row>
      <xdr:rowOff>133350</xdr:rowOff>
    </xdr:from>
    <xdr:to>
      <xdr:col>22</xdr:col>
      <xdr:colOff>185738</xdr:colOff>
      <xdr:row>8</xdr:row>
      <xdr:rowOff>171450</xdr:rowOff>
    </xdr:to>
    <xdr:sp macro="" textlink="">
      <xdr:nvSpPr>
        <xdr:cNvPr id="15" name="Rectangle: Rounded Corners 14">
          <a:extLst>
            <a:ext uri="{FF2B5EF4-FFF2-40B4-BE49-F238E27FC236}">
              <a16:creationId xmlns:a16="http://schemas.microsoft.com/office/drawing/2014/main" id="{9F78AA32-DFCE-1627-235B-4225C2F88C1D}"/>
            </a:ext>
          </a:extLst>
        </xdr:cNvPr>
        <xdr:cNvSpPr/>
      </xdr:nvSpPr>
      <xdr:spPr>
        <a:xfrm>
          <a:off x="4529137" y="133350"/>
          <a:ext cx="9067801" cy="1562100"/>
        </a:xfrm>
        <a:prstGeom prst="roundRect">
          <a:avLst/>
        </a:prstGeom>
        <a:scene3d>
          <a:camera prst="orthographicFront"/>
          <a:lightRig rig="threePt" dir="t"/>
        </a:scene3d>
        <a:sp3d>
          <a:bevelT/>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371475</xdr:colOff>
      <xdr:row>1</xdr:row>
      <xdr:rowOff>43608</xdr:rowOff>
    </xdr:from>
    <xdr:to>
      <xdr:col>6</xdr:col>
      <xdr:colOff>428625</xdr:colOff>
      <xdr:row>8</xdr:row>
      <xdr:rowOff>92202</xdr:rowOff>
    </xdr:to>
    <xdr:pic>
      <xdr:nvPicPr>
        <xdr:cNvPr id="17" name="Picture 16">
          <a:extLst>
            <a:ext uri="{FF2B5EF4-FFF2-40B4-BE49-F238E27FC236}">
              <a16:creationId xmlns:a16="http://schemas.microsoft.com/office/drawing/2014/main" id="{94F748EF-C27E-4D01-6DF8-D4316FB33F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1475" y="234108"/>
          <a:ext cx="3714750" cy="1382094"/>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13</xdr:col>
      <xdr:colOff>28574</xdr:colOff>
      <xdr:row>46</xdr:row>
      <xdr:rowOff>85726</xdr:rowOff>
    </xdr:from>
    <xdr:to>
      <xdr:col>15</xdr:col>
      <xdr:colOff>590549</xdr:colOff>
      <xdr:row>49</xdr:row>
      <xdr:rowOff>180976</xdr:rowOff>
    </xdr:to>
    <xdr:sp macro="" textlink="">
      <xdr:nvSpPr>
        <xdr:cNvPr id="21" name="TextBox 20">
          <a:extLst>
            <a:ext uri="{FF2B5EF4-FFF2-40B4-BE49-F238E27FC236}">
              <a16:creationId xmlns:a16="http://schemas.microsoft.com/office/drawing/2014/main" id="{A3518C4F-E5FE-3826-DF9F-BE7FC4D6B331}"/>
            </a:ext>
          </a:extLst>
        </xdr:cNvPr>
        <xdr:cNvSpPr txBox="1"/>
      </xdr:nvSpPr>
      <xdr:spPr>
        <a:xfrm>
          <a:off x="7953374" y="8848726"/>
          <a:ext cx="1781175"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7</xdr:col>
      <xdr:colOff>381000</xdr:colOff>
      <xdr:row>1</xdr:row>
      <xdr:rowOff>0</xdr:rowOff>
    </xdr:from>
    <xdr:to>
      <xdr:col>21</xdr:col>
      <xdr:colOff>600075</xdr:colOff>
      <xdr:row>8</xdr:row>
      <xdr:rowOff>104775</xdr:rowOff>
    </xdr:to>
    <xdr:sp macro="" textlink="">
      <xdr:nvSpPr>
        <xdr:cNvPr id="23" name="TextBox 22">
          <a:extLst>
            <a:ext uri="{FF2B5EF4-FFF2-40B4-BE49-F238E27FC236}">
              <a16:creationId xmlns:a16="http://schemas.microsoft.com/office/drawing/2014/main" id="{65AC95FA-599B-E2AA-3FA3-03C109902415}"/>
            </a:ext>
          </a:extLst>
        </xdr:cNvPr>
        <xdr:cNvSpPr txBox="1"/>
      </xdr:nvSpPr>
      <xdr:spPr>
        <a:xfrm>
          <a:off x="4648200" y="190500"/>
          <a:ext cx="8753475" cy="1438275"/>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400" b="1" i="0">
              <a:solidFill>
                <a:schemeClr val="bg1"/>
              </a:solidFill>
              <a:effectLst/>
              <a:latin typeface="+mn-lt"/>
              <a:ea typeface="+mn-ea"/>
              <a:cs typeface="+mn-cs"/>
            </a:rPr>
            <a:t>Dynamic Sales Dashboard</a:t>
          </a:r>
          <a:endParaRPr lang="en-US" sz="4400" b="1" i="0">
            <a:solidFill>
              <a:schemeClr val="bg1"/>
            </a:solidFill>
            <a:effectLst/>
          </a:endParaRPr>
        </a:p>
      </xdr:txBody>
    </xdr:sp>
    <xdr:clientData/>
  </xdr:twoCellAnchor>
  <xdr:twoCellAnchor>
    <xdr:from>
      <xdr:col>7</xdr:col>
      <xdr:colOff>390525</xdr:colOff>
      <xdr:row>10</xdr:row>
      <xdr:rowOff>104775</xdr:rowOff>
    </xdr:from>
    <xdr:to>
      <xdr:col>10</xdr:col>
      <xdr:colOff>219075</xdr:colOff>
      <xdr:row>15</xdr:row>
      <xdr:rowOff>180974</xdr:rowOff>
    </xdr:to>
    <xdr:sp macro="" textlink="">
      <xdr:nvSpPr>
        <xdr:cNvPr id="24" name="TextBox 23">
          <a:extLst>
            <a:ext uri="{FF2B5EF4-FFF2-40B4-BE49-F238E27FC236}">
              <a16:creationId xmlns:a16="http://schemas.microsoft.com/office/drawing/2014/main" id="{60F5519F-DED3-ACA0-0D07-428A5DAA1F0D}"/>
            </a:ext>
          </a:extLst>
        </xdr:cNvPr>
        <xdr:cNvSpPr txBox="1"/>
      </xdr:nvSpPr>
      <xdr:spPr>
        <a:xfrm>
          <a:off x="4657725" y="2009775"/>
          <a:ext cx="1657350" cy="1028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n>
                <a:noFill/>
              </a:ln>
              <a:solidFill>
                <a:schemeClr val="bg1"/>
              </a:solidFill>
            </a:rPr>
            <a:t>Total Sales</a:t>
          </a:r>
        </a:p>
      </xdr:txBody>
    </xdr:sp>
    <xdr:clientData/>
  </xdr:twoCellAnchor>
  <xdr:twoCellAnchor>
    <xdr:from>
      <xdr:col>15</xdr:col>
      <xdr:colOff>0</xdr:colOff>
      <xdr:row>10</xdr:row>
      <xdr:rowOff>0</xdr:rowOff>
    </xdr:from>
    <xdr:to>
      <xdr:col>18</xdr:col>
      <xdr:colOff>285750</xdr:colOff>
      <xdr:row>16</xdr:row>
      <xdr:rowOff>114299</xdr:rowOff>
    </xdr:to>
    <xdr:sp macro="" textlink="">
      <xdr:nvSpPr>
        <xdr:cNvPr id="33" name="TextBox 32">
          <a:extLst>
            <a:ext uri="{FF2B5EF4-FFF2-40B4-BE49-F238E27FC236}">
              <a16:creationId xmlns:a16="http://schemas.microsoft.com/office/drawing/2014/main" id="{E571F925-73D3-467C-8E5B-241339707F97}"/>
            </a:ext>
          </a:extLst>
        </xdr:cNvPr>
        <xdr:cNvSpPr txBox="1"/>
      </xdr:nvSpPr>
      <xdr:spPr>
        <a:xfrm>
          <a:off x="9144000" y="1905000"/>
          <a:ext cx="2114550" cy="1257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n>
                <a:noFill/>
              </a:ln>
              <a:solidFill>
                <a:schemeClr val="bg1"/>
              </a:solidFill>
            </a:rPr>
            <a:t>Average Sales </a:t>
          </a:r>
        </a:p>
        <a:p>
          <a:pPr algn="ctr"/>
          <a:r>
            <a:rPr lang="en-US" sz="2000" b="1">
              <a:ln>
                <a:noFill/>
              </a:ln>
              <a:solidFill>
                <a:schemeClr val="bg1"/>
              </a:solidFill>
            </a:rPr>
            <a:t>per Order</a:t>
          </a:r>
        </a:p>
      </xdr:txBody>
    </xdr:sp>
    <xdr:clientData/>
  </xdr:twoCellAnchor>
  <xdr:twoCellAnchor>
    <xdr:from>
      <xdr:col>22</xdr:col>
      <xdr:colOff>295275</xdr:colOff>
      <xdr:row>10</xdr:row>
      <xdr:rowOff>9525</xdr:rowOff>
    </xdr:from>
    <xdr:to>
      <xdr:col>26</xdr:col>
      <xdr:colOff>276225</xdr:colOff>
      <xdr:row>16</xdr:row>
      <xdr:rowOff>142875</xdr:rowOff>
    </xdr:to>
    <xdr:sp macro="" textlink="">
      <xdr:nvSpPr>
        <xdr:cNvPr id="34" name="TextBox 33">
          <a:extLst>
            <a:ext uri="{FF2B5EF4-FFF2-40B4-BE49-F238E27FC236}">
              <a16:creationId xmlns:a16="http://schemas.microsoft.com/office/drawing/2014/main" id="{EEEB0E11-1E21-458E-8FC2-FB05CDF6A4BB}"/>
            </a:ext>
          </a:extLst>
        </xdr:cNvPr>
        <xdr:cNvSpPr txBox="1"/>
      </xdr:nvSpPr>
      <xdr:spPr>
        <a:xfrm>
          <a:off x="13706475" y="1914525"/>
          <a:ext cx="2419350" cy="1276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n>
                <a:noFill/>
              </a:ln>
              <a:solidFill>
                <a:schemeClr val="bg1"/>
              </a:solidFill>
            </a:rPr>
            <a:t>Total Quantity</a:t>
          </a:r>
        </a:p>
        <a:p>
          <a:pPr algn="ctr"/>
          <a:r>
            <a:rPr lang="en-US" sz="2000" b="1">
              <a:ln>
                <a:noFill/>
              </a:ln>
              <a:solidFill>
                <a:schemeClr val="bg1"/>
              </a:solidFill>
            </a:rPr>
            <a:t>Sold</a:t>
          </a:r>
        </a:p>
      </xdr:txBody>
    </xdr:sp>
    <xdr:clientData/>
  </xdr:twoCellAnchor>
  <xdr:twoCellAnchor>
    <xdr:from>
      <xdr:col>0</xdr:col>
      <xdr:colOff>104775</xdr:colOff>
      <xdr:row>33</xdr:row>
      <xdr:rowOff>0</xdr:rowOff>
    </xdr:from>
    <xdr:to>
      <xdr:col>7</xdr:col>
      <xdr:colOff>19050</xdr:colOff>
      <xdr:row>40</xdr:row>
      <xdr:rowOff>114300</xdr:rowOff>
    </xdr:to>
    <xdr:sp macro="" textlink="">
      <xdr:nvSpPr>
        <xdr:cNvPr id="35" name="Rectangle: Rounded Corners 34">
          <a:extLst>
            <a:ext uri="{FF2B5EF4-FFF2-40B4-BE49-F238E27FC236}">
              <a16:creationId xmlns:a16="http://schemas.microsoft.com/office/drawing/2014/main" id="{26A6CCA2-5EC0-408F-A9FC-E77CB9ACDFF0}"/>
            </a:ext>
          </a:extLst>
        </xdr:cNvPr>
        <xdr:cNvSpPr/>
      </xdr:nvSpPr>
      <xdr:spPr>
        <a:xfrm>
          <a:off x="104775" y="6286500"/>
          <a:ext cx="4181475" cy="1447800"/>
        </a:xfrm>
        <a:prstGeom prst="roundRect">
          <a:avLst/>
        </a:prstGeom>
        <a:scene3d>
          <a:camera prst="orthographicFront"/>
          <a:lightRig rig="threePt" dir="t"/>
        </a:scene3d>
        <a:sp3d>
          <a:bevelT/>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600075</xdr:colOff>
      <xdr:row>10</xdr:row>
      <xdr:rowOff>76200</xdr:rowOff>
    </xdr:from>
    <xdr:to>
      <xdr:col>14</xdr:col>
      <xdr:colOff>266700</xdr:colOff>
      <xdr:row>15</xdr:row>
      <xdr:rowOff>180975</xdr:rowOff>
    </xdr:to>
    <xdr:sp macro="" textlink="'Pivot Tables'!C11">
      <xdr:nvSpPr>
        <xdr:cNvPr id="41" name="TextBox 40">
          <a:extLst>
            <a:ext uri="{FF2B5EF4-FFF2-40B4-BE49-F238E27FC236}">
              <a16:creationId xmlns:a16="http://schemas.microsoft.com/office/drawing/2014/main" id="{11892833-4047-7E8A-2046-E3D46F5CDCB2}"/>
            </a:ext>
          </a:extLst>
        </xdr:cNvPr>
        <xdr:cNvSpPr txBox="1"/>
      </xdr:nvSpPr>
      <xdr:spPr>
        <a:xfrm>
          <a:off x="6696075" y="1981200"/>
          <a:ext cx="2105025" cy="105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FA75C7-0215-495D-8DEB-E2AA42C0238A}" type="TxLink">
            <a:rPr lang="en-US" sz="3200" b="1" i="0" u="none" strike="noStrike">
              <a:solidFill>
                <a:schemeClr val="bg1"/>
              </a:solidFill>
              <a:latin typeface="Aptos Narrow"/>
            </a:rPr>
            <a:pPr algn="ctr"/>
            <a:t>164466.49</a:t>
          </a:fld>
          <a:endParaRPr lang="en-US" sz="3200" b="1">
            <a:solidFill>
              <a:schemeClr val="bg1"/>
            </a:solidFill>
          </a:endParaRPr>
        </a:p>
      </xdr:txBody>
    </xdr:sp>
    <xdr:clientData/>
  </xdr:twoCellAnchor>
  <xdr:twoCellAnchor>
    <xdr:from>
      <xdr:col>18</xdr:col>
      <xdr:colOff>314325</xdr:colOff>
      <xdr:row>10</xdr:row>
      <xdr:rowOff>85725</xdr:rowOff>
    </xdr:from>
    <xdr:to>
      <xdr:col>21</xdr:col>
      <xdr:colOff>590550</xdr:colOff>
      <xdr:row>16</xdr:row>
      <xdr:rowOff>0</xdr:rowOff>
    </xdr:to>
    <xdr:sp macro="" textlink="'Pivot Tables'!L4">
      <xdr:nvSpPr>
        <xdr:cNvPr id="47" name="TextBox 46">
          <a:extLst>
            <a:ext uri="{FF2B5EF4-FFF2-40B4-BE49-F238E27FC236}">
              <a16:creationId xmlns:a16="http://schemas.microsoft.com/office/drawing/2014/main" id="{42177168-C056-42A7-931A-2FB04BCCB958}"/>
            </a:ext>
          </a:extLst>
        </xdr:cNvPr>
        <xdr:cNvSpPr txBox="1"/>
      </xdr:nvSpPr>
      <xdr:spPr>
        <a:xfrm>
          <a:off x="11287125" y="1990725"/>
          <a:ext cx="2105025" cy="105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F8AF0F-1F18-4EF1-9A86-91D05BB5996B}" type="TxLink">
            <a:rPr lang="en-US" sz="3200" b="1" i="0" u="none" strike="noStrike">
              <a:solidFill>
                <a:schemeClr val="bg1"/>
              </a:solidFill>
              <a:latin typeface="Aptos Narrow"/>
            </a:rPr>
            <a:t>328.93298</a:t>
          </a:fld>
          <a:endParaRPr lang="en-US" sz="3200" b="1" i="0" u="none" strike="noStrike">
            <a:solidFill>
              <a:schemeClr val="bg1"/>
            </a:solidFill>
            <a:latin typeface="Aptos Narrow"/>
          </a:endParaRPr>
        </a:p>
      </xdr:txBody>
    </xdr:sp>
    <xdr:clientData/>
  </xdr:twoCellAnchor>
  <xdr:twoCellAnchor>
    <xdr:from>
      <xdr:col>26</xdr:col>
      <xdr:colOff>0</xdr:colOff>
      <xdr:row>10</xdr:row>
      <xdr:rowOff>114300</xdr:rowOff>
    </xdr:from>
    <xdr:to>
      <xdr:col>29</xdr:col>
      <xdr:colOff>276225</xdr:colOff>
      <xdr:row>16</xdr:row>
      <xdr:rowOff>28575</xdr:rowOff>
    </xdr:to>
    <xdr:sp macro="" textlink="'Pivot Tables'!L8">
      <xdr:nvSpPr>
        <xdr:cNvPr id="48" name="TextBox 47">
          <a:extLst>
            <a:ext uri="{FF2B5EF4-FFF2-40B4-BE49-F238E27FC236}">
              <a16:creationId xmlns:a16="http://schemas.microsoft.com/office/drawing/2014/main" id="{58FE4447-891E-4C1F-897F-FB3D5F52D428}"/>
            </a:ext>
          </a:extLst>
        </xdr:cNvPr>
        <xdr:cNvSpPr txBox="1"/>
      </xdr:nvSpPr>
      <xdr:spPr>
        <a:xfrm>
          <a:off x="15849600" y="2019300"/>
          <a:ext cx="2105025" cy="105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3CBE8C-EE45-47A3-A8F1-DD004567C77F}" type="TxLink">
            <a:rPr lang="en-US" sz="3200" b="1" i="0" u="none" strike="noStrike">
              <a:solidFill>
                <a:schemeClr val="bg1"/>
              </a:solidFill>
              <a:latin typeface="Aptos Narrow"/>
            </a:rPr>
            <a:t>1805</a:t>
          </a:fld>
          <a:endParaRPr lang="en-US" sz="3200" b="1" i="0" u="none" strike="noStrike">
            <a:solidFill>
              <a:schemeClr val="bg1"/>
            </a:solidFill>
            <a:latin typeface="Aptos Narrow"/>
          </a:endParaRPr>
        </a:p>
      </xdr:txBody>
    </xdr:sp>
    <xdr:clientData/>
  </xdr:twoCellAnchor>
  <xdr:twoCellAnchor>
    <xdr:from>
      <xdr:col>6</xdr:col>
      <xdr:colOff>428625</xdr:colOff>
      <xdr:row>18</xdr:row>
      <xdr:rowOff>9524</xdr:rowOff>
    </xdr:from>
    <xdr:to>
      <xdr:col>15</xdr:col>
      <xdr:colOff>266700</xdr:colOff>
      <xdr:row>39</xdr:row>
      <xdr:rowOff>123825</xdr:rowOff>
    </xdr:to>
    <xdr:graphicFrame macro="">
      <xdr:nvGraphicFramePr>
        <xdr:cNvPr id="49" name="Chart 48">
          <a:extLst>
            <a:ext uri="{FF2B5EF4-FFF2-40B4-BE49-F238E27FC236}">
              <a16:creationId xmlns:a16="http://schemas.microsoft.com/office/drawing/2014/main" id="{3A2FE1FB-607B-45C8-A51D-363BE9BA2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66674</xdr:colOff>
      <xdr:row>18</xdr:row>
      <xdr:rowOff>9526</xdr:rowOff>
    </xdr:from>
    <xdr:to>
      <xdr:col>22</xdr:col>
      <xdr:colOff>38099</xdr:colOff>
      <xdr:row>40</xdr:row>
      <xdr:rowOff>66676</xdr:rowOff>
    </xdr:to>
    <xdr:graphicFrame macro="">
      <xdr:nvGraphicFramePr>
        <xdr:cNvPr id="50" name="Chart 49">
          <a:extLst>
            <a:ext uri="{FF2B5EF4-FFF2-40B4-BE49-F238E27FC236}">
              <a16:creationId xmlns:a16="http://schemas.microsoft.com/office/drawing/2014/main" id="{2ED78A38-EAFD-4B32-B8F3-15E198D72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285751</xdr:colOff>
      <xdr:row>18</xdr:row>
      <xdr:rowOff>1</xdr:rowOff>
    </xdr:from>
    <xdr:to>
      <xdr:col>28</xdr:col>
      <xdr:colOff>533400</xdr:colOff>
      <xdr:row>40</xdr:row>
      <xdr:rowOff>95251</xdr:rowOff>
    </xdr:to>
    <xdr:graphicFrame macro="">
      <xdr:nvGraphicFramePr>
        <xdr:cNvPr id="51" name="Chart 50">
          <a:extLst>
            <a:ext uri="{FF2B5EF4-FFF2-40B4-BE49-F238E27FC236}">
              <a16:creationId xmlns:a16="http://schemas.microsoft.com/office/drawing/2014/main" id="{4DE1A391-A2C4-4FEB-B594-16F9B6D71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323850</xdr:colOff>
      <xdr:row>11</xdr:row>
      <xdr:rowOff>9524</xdr:rowOff>
    </xdr:from>
    <xdr:to>
      <xdr:col>6</xdr:col>
      <xdr:colOff>409575</xdr:colOff>
      <xdr:row>15</xdr:row>
      <xdr:rowOff>9524</xdr:rowOff>
    </xdr:to>
    <mc:AlternateContent xmlns:mc="http://schemas.openxmlformats.org/markup-compatibility/2006">
      <mc:Choice xmlns:a14="http://schemas.microsoft.com/office/drawing/2010/main" Requires="a14">
        <xdr:graphicFrame macro="">
          <xdr:nvGraphicFramePr>
            <xdr:cNvPr id="52" name="Order Date (Year)">
              <a:extLst>
                <a:ext uri="{FF2B5EF4-FFF2-40B4-BE49-F238E27FC236}">
                  <a16:creationId xmlns:a16="http://schemas.microsoft.com/office/drawing/2014/main" id="{53B2FB76-BEEC-444D-A30F-65CD77DD812D}"/>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dr:sp macro="" textlink="">
          <xdr:nvSpPr>
            <xdr:cNvPr id="0" name=""/>
            <xdr:cNvSpPr>
              <a:spLocks noTextEdit="1"/>
            </xdr:cNvSpPr>
          </xdr:nvSpPr>
          <xdr:spPr>
            <a:xfrm>
              <a:off x="323850" y="2105024"/>
              <a:ext cx="3743325"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323850</xdr:colOff>
      <xdr:row>24</xdr:row>
      <xdr:rowOff>0</xdr:rowOff>
    </xdr:from>
    <xdr:to>
      <xdr:col>6</xdr:col>
      <xdr:colOff>438150</xdr:colOff>
      <xdr:row>31</xdr:row>
      <xdr:rowOff>0</xdr:rowOff>
    </xdr:to>
    <mc:AlternateContent xmlns:mc="http://schemas.openxmlformats.org/markup-compatibility/2006">
      <mc:Choice xmlns:a14="http://schemas.microsoft.com/office/drawing/2010/main" Requires="a14">
        <xdr:graphicFrame macro="">
          <xdr:nvGraphicFramePr>
            <xdr:cNvPr id="53" name="Product 1">
              <a:extLst>
                <a:ext uri="{FF2B5EF4-FFF2-40B4-BE49-F238E27FC236}">
                  <a16:creationId xmlns:a16="http://schemas.microsoft.com/office/drawing/2014/main" id="{BE5BEAEE-3D1F-481B-8AFA-8BAE2B729439}"/>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23850" y="4572000"/>
              <a:ext cx="3771900"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342900</xdr:colOff>
      <xdr:row>20</xdr:row>
      <xdr:rowOff>57150</xdr:rowOff>
    </xdr:from>
    <xdr:to>
      <xdr:col>6</xdr:col>
      <xdr:colOff>428625</xdr:colOff>
      <xdr:row>23</xdr:row>
      <xdr:rowOff>142876</xdr:rowOff>
    </xdr:to>
    <mc:AlternateContent xmlns:mc="http://schemas.openxmlformats.org/markup-compatibility/2006">
      <mc:Choice xmlns:a14="http://schemas.microsoft.com/office/drawing/2010/main" Requires="a14">
        <xdr:graphicFrame macro="">
          <xdr:nvGraphicFramePr>
            <xdr:cNvPr id="54" name="Region 2">
              <a:extLst>
                <a:ext uri="{FF2B5EF4-FFF2-40B4-BE49-F238E27FC236}">
                  <a16:creationId xmlns:a16="http://schemas.microsoft.com/office/drawing/2014/main" id="{D6F6FB0D-7722-4FB3-BD75-5D8D8D26647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342900" y="3867150"/>
              <a:ext cx="3743325" cy="657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342900</xdr:colOff>
      <xdr:row>15</xdr:row>
      <xdr:rowOff>9524</xdr:rowOff>
    </xdr:from>
    <xdr:to>
      <xdr:col>6</xdr:col>
      <xdr:colOff>428625</xdr:colOff>
      <xdr:row>20</xdr:row>
      <xdr:rowOff>38100</xdr:rowOff>
    </xdr:to>
    <mc:AlternateContent xmlns:mc="http://schemas.openxmlformats.org/markup-compatibility/2006">
      <mc:Choice xmlns:a14="http://schemas.microsoft.com/office/drawing/2010/main" Requires="a14">
        <xdr:graphicFrame macro="">
          <xdr:nvGraphicFramePr>
            <xdr:cNvPr id="55" name="Order Date (Month) 2">
              <a:extLst>
                <a:ext uri="{FF2B5EF4-FFF2-40B4-BE49-F238E27FC236}">
                  <a16:creationId xmlns:a16="http://schemas.microsoft.com/office/drawing/2014/main" id="{AED8510B-0B5F-4FB4-BD90-4C6CD12AB71B}"/>
                </a:ext>
              </a:extLst>
            </xdr:cNvPr>
            <xdr:cNvGraphicFramePr/>
          </xdr:nvGraphicFramePr>
          <xdr:xfrm>
            <a:off x="0" y="0"/>
            <a:ext cx="0" cy="0"/>
          </xdr:xfrm>
          <a:graphic>
            <a:graphicData uri="http://schemas.microsoft.com/office/drawing/2010/slicer">
              <sle:slicer xmlns:sle="http://schemas.microsoft.com/office/drawing/2010/slicer" name="Order Date (Month) 2"/>
            </a:graphicData>
          </a:graphic>
        </xdr:graphicFrame>
      </mc:Choice>
      <mc:Fallback>
        <xdr:sp macro="" textlink="">
          <xdr:nvSpPr>
            <xdr:cNvPr id="0" name=""/>
            <xdr:cNvSpPr>
              <a:spLocks noTextEdit="1"/>
            </xdr:cNvSpPr>
          </xdr:nvSpPr>
          <xdr:spPr>
            <a:xfrm>
              <a:off x="342900" y="2867024"/>
              <a:ext cx="3743325" cy="9810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104774</xdr:colOff>
      <xdr:row>33</xdr:row>
      <xdr:rowOff>0</xdr:rowOff>
    </xdr:from>
    <xdr:to>
      <xdr:col>6</xdr:col>
      <xdr:colOff>609599</xdr:colOff>
      <xdr:row>40</xdr:row>
      <xdr:rowOff>147637</xdr:rowOff>
    </xdr:to>
    <xdr:sp macro="" textlink="">
      <xdr:nvSpPr>
        <xdr:cNvPr id="57" name="TextBox 56">
          <a:extLst>
            <a:ext uri="{FF2B5EF4-FFF2-40B4-BE49-F238E27FC236}">
              <a16:creationId xmlns:a16="http://schemas.microsoft.com/office/drawing/2014/main" id="{6127A61B-01E4-4EF1-9527-E30E1391FF5C}"/>
            </a:ext>
          </a:extLst>
        </xdr:cNvPr>
        <xdr:cNvSpPr txBox="1"/>
      </xdr:nvSpPr>
      <xdr:spPr>
        <a:xfrm>
          <a:off x="104774" y="6286500"/>
          <a:ext cx="4162425" cy="1481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n>
                <a:noFill/>
              </a:ln>
              <a:solidFill>
                <a:schemeClr val="bg1"/>
              </a:solidFill>
            </a:rPr>
            <a:t>Prepared By</a:t>
          </a:r>
          <a:br>
            <a:rPr lang="en-US" sz="2000" b="1">
              <a:ln>
                <a:noFill/>
              </a:ln>
              <a:solidFill>
                <a:schemeClr val="bg1"/>
              </a:solidFill>
            </a:rPr>
          </a:br>
          <a:r>
            <a:rPr lang="en-US" sz="2000" b="1">
              <a:ln>
                <a:noFill/>
              </a:ln>
              <a:solidFill>
                <a:schemeClr val="bg1"/>
              </a:solidFill>
            </a:rPr>
            <a:t>Faizul Islam Bhuiyan (Bittto)</a:t>
          </a:r>
        </a:p>
      </xdr:txBody>
    </xdr:sp>
    <xdr:clientData/>
  </xdr:twoCellAnchor>
  <xdr:oneCellAnchor>
    <xdr:from>
      <xdr:col>3</xdr:col>
      <xdr:colOff>0</xdr:colOff>
      <xdr:row>21</xdr:row>
      <xdr:rowOff>0</xdr:rowOff>
    </xdr:from>
    <xdr:ext cx="184731" cy="264560"/>
    <xdr:sp macro="" textlink="">
      <xdr:nvSpPr>
        <xdr:cNvPr id="64" name="TextBox 63">
          <a:extLst>
            <a:ext uri="{FF2B5EF4-FFF2-40B4-BE49-F238E27FC236}">
              <a16:creationId xmlns:a16="http://schemas.microsoft.com/office/drawing/2014/main" id="{EFF559AA-FF29-5AC9-007C-2743267F1E9B}"/>
            </a:ext>
          </a:extLst>
        </xdr:cNvPr>
        <xdr:cNvSpPr txBox="1"/>
      </xdr:nvSpPr>
      <xdr:spPr>
        <a:xfrm>
          <a:off x="1828800" y="400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23</xdr:col>
      <xdr:colOff>0</xdr:colOff>
      <xdr:row>1</xdr:row>
      <xdr:rowOff>43608</xdr:rowOff>
    </xdr:from>
    <xdr:to>
      <xdr:col>28</xdr:col>
      <xdr:colOff>533400</xdr:colOff>
      <xdr:row>4</xdr:row>
      <xdr:rowOff>0</xdr:rowOff>
    </xdr:to>
    <xdr:sp macro="" textlink="">
      <xdr:nvSpPr>
        <xdr:cNvPr id="65" name="TextBox 64">
          <a:extLst>
            <a:ext uri="{FF2B5EF4-FFF2-40B4-BE49-F238E27FC236}">
              <a16:creationId xmlns:a16="http://schemas.microsoft.com/office/drawing/2014/main" id="{B6FA6082-C785-C0B2-878F-EC731849B8B5}"/>
            </a:ext>
          </a:extLst>
        </xdr:cNvPr>
        <xdr:cNvSpPr txBox="1"/>
      </xdr:nvSpPr>
      <xdr:spPr>
        <a:xfrm>
          <a:off x="14020800" y="234108"/>
          <a:ext cx="3581400" cy="5278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a:solidFill>
                <a:schemeClr val="bg1"/>
              </a:solidFill>
            </a:rPr>
            <a:t>Last</a:t>
          </a:r>
          <a:r>
            <a:rPr lang="en-US" sz="2400" b="1" i="0" baseline="0">
              <a:solidFill>
                <a:schemeClr val="bg1"/>
              </a:solidFill>
            </a:rPr>
            <a:t> Updated : </a:t>
          </a:r>
          <a:endParaRPr lang="en-US" sz="2400" b="1" i="0">
            <a:solidFill>
              <a:schemeClr val="bg1"/>
            </a:solidFill>
          </a:endParaRPr>
        </a:p>
      </xdr:txBody>
    </xdr:sp>
    <xdr:clientData/>
  </xdr:twoCellAnchor>
  <xdr:twoCellAnchor>
    <xdr:from>
      <xdr:col>23</xdr:col>
      <xdr:colOff>0</xdr:colOff>
      <xdr:row>5</xdr:row>
      <xdr:rowOff>0</xdr:rowOff>
    </xdr:from>
    <xdr:to>
      <xdr:col>28</xdr:col>
      <xdr:colOff>533400</xdr:colOff>
      <xdr:row>8</xdr:row>
      <xdr:rowOff>0</xdr:rowOff>
    </xdr:to>
    <xdr:sp macro="" textlink="'Pivot Tables'!K15">
      <xdr:nvSpPr>
        <xdr:cNvPr id="66" name="TextBox 65">
          <a:extLst>
            <a:ext uri="{FF2B5EF4-FFF2-40B4-BE49-F238E27FC236}">
              <a16:creationId xmlns:a16="http://schemas.microsoft.com/office/drawing/2014/main" id="{19A52473-3177-4EF2-A067-6C5B50500452}"/>
            </a:ext>
          </a:extLst>
        </xdr:cNvPr>
        <xdr:cNvSpPr txBox="1"/>
      </xdr:nvSpPr>
      <xdr:spPr>
        <a:xfrm>
          <a:off x="14020800" y="952500"/>
          <a:ext cx="3581400" cy="5715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685E3C-350E-44E0-B8E4-9308863EBC72}" type="TxLink">
            <a:rPr lang="en-US" sz="3200" b="1" i="0" u="none" strike="noStrike">
              <a:solidFill>
                <a:schemeClr val="bg1"/>
              </a:solidFill>
              <a:latin typeface="Aptos Narrow"/>
            </a:rPr>
            <a:t>28-Aug-26</a:t>
          </a:fld>
          <a:endParaRPr lang="en-US" sz="3200" b="1">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ul Bitto" refreshedDate="46262.052984837967" createdVersion="5" refreshedVersion="8" minRefreshableVersion="3" recordCount="0" supportSubquery="1" supportAdvancedDrill="1" xr:uid="{14C442BF-357B-499A-8C4F-EDB62ADFD3E7}">
  <cacheSource type="external" connectionId="2"/>
  <cacheFields count="2">
    <cacheField name="[Measures].[Total Sales]" caption="Total Sales" numFmtId="0" hierarchy="10" level="32767"/>
    <cacheField name="[Sales_Data].[Region].[Region]" caption="Region" numFmtId="0" hierarchy="1" level="1">
      <sharedItems count="5">
        <s v="Central"/>
        <s v="East"/>
        <s v="North"/>
        <s v="South"/>
        <s v="West"/>
      </sharedItems>
    </cacheField>
  </cacheFields>
  <cacheHierarchies count="16">
    <cacheHierarchy uniqueName="[Sales_Data].[Order Date]" caption="Order Date" attribute="1" time="1" defaultMemberUniqueName="[Sales_Data].[Order Date].[All]" allUniqueName="[Sales_Data].[Order 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1"/>
      </fieldsUsage>
    </cacheHierarchy>
    <cacheHierarchy uniqueName="[Sales_Data].[Customer]" caption="Customer" attribute="1" defaultMemberUniqueName="[Sales_Data].[Customer].[All]" allUniqueName="[Sales_Data].[Customer].[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2" memberValueDatatype="20" unbalanced="0"/>
    <cacheHierarchy uniqueName="[Sales_Data].[Sales Amount]" caption="Sales Amount" attribute="1" defaultMemberUniqueName="[Sales_Data].[Sales Amount].[All]" allUniqueName="[Sales_Data].[Sales Amount].[All]" dimensionUniqueName="[Sales_Data]" displayFolder="" count="2" memberValueDatatype="5" unbalanced="0"/>
    <cacheHierarchy uniqueName="[Sales_Data].[Order Date (Year)]" caption="Order Date (Year)" attribute="1" defaultMemberUniqueName="[Sales_Data].[Order Date (Year)].[All]" allUniqueName="[Sales_Data].[Order Date (Year)].[All]" dimensionUniqueName="[Sales_Data]" displayFolder="" count="2" memberValueDatatype="130" unbalanced="0"/>
    <cacheHierarchy uniqueName="[Sales_Data].[Order Date (Quarter)]" caption="Order Date (Quarter)" attribute="1" defaultMemberUniqueName="[Sales_Data].[Order Date (Quarter)].[All]" allUniqueName="[Sales_Data].[Order Date (Quarter)].[All]" dimensionUniqueName="[Sales_Data]" displayFolder="" count="2" memberValueDatatype="130" unbalanced="0"/>
    <cacheHierarchy uniqueName="[Sales_Data].[Order Date (Month)]" caption="Order Date (Month)" attribute="1" defaultMemberUniqueName="[Sales_Data].[Order Date (Month)].[All]" allUniqueName="[Sales_Data].[Order Date (Month)].[All]" dimensionUniqueName="[Sales_Data]" displayFolder="" count="2"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2" memberValueDatatype="20" unbalanced="0" hidden="1"/>
    <cacheHierarchy uniqueName="[Measures].[Total Sales]" caption="Total Sales" measure="1" displayFolder="" measureGroup="Sales_Data" count="0" oneField="1">
      <fieldsUsage count="1">
        <fieldUsage x="0"/>
      </fieldsUsage>
    </cacheHierarchy>
    <cacheHierarchy uniqueName="[Measures].[Total Quantity Sold]" caption="Total Quantity Sold" measure="1" displayFolder="" measureGroup="Sales_Data" count="0"/>
    <cacheHierarchy uniqueName="[Measures].[Average Sales per Order]" caption="Average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Amount]" caption="Sum of Sales Amount" measure="1" displayFolder="" measureGroup="Sales_Data"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ul Bitto" refreshedDate="46262.052985185182" createdVersion="5" refreshedVersion="8" minRefreshableVersion="3" recordCount="0" supportSubquery="1" supportAdvancedDrill="1" xr:uid="{5A610C3C-C046-4DB7-89FF-A5CA574CD41D}">
  <cacheSource type="external" connectionId="2"/>
  <cacheFields count="3">
    <cacheField name="[Measures].[Sum of Sales Amount]" caption="Sum of Sales Amount" numFmtId="0" hierarchy="15" level="32767"/>
    <cacheField name="[Sales_Data].[Product].[Product]" caption="Product" numFmtId="0" hierarchy="3" level="1">
      <sharedItems count="15">
        <s v="Bluetooth Speaker"/>
        <s v="Desk Lamp"/>
        <s v="External SSD 1TB"/>
        <s v="Laptop Stand"/>
        <s v="Mechanical Keyboard"/>
        <s v="Monitor 27in"/>
        <s v="Noise Cancelling Headphones"/>
        <s v="Office Chair"/>
        <s v="Printer Ink Set"/>
        <s v="Standing Desk"/>
        <s v="Tablet Case"/>
        <s v="USB-C Hub"/>
        <s v="Webcam HD"/>
        <s v="Wireless Charger"/>
        <s v="Wireless Mouse"/>
      </sharedItems>
    </cacheField>
    <cacheField name="[Sales_Data].[Region].[Region]" caption="Region" numFmtId="0" hierarchy="1" level="1">
      <sharedItems containsSemiMixedTypes="0" containsNonDate="0" containsString="0"/>
    </cacheField>
  </cacheFields>
  <cacheHierarchies count="16">
    <cacheHierarchy uniqueName="[Sales_Data].[Order Date]" caption="Order Date" attribute="1" time="1" defaultMemberUniqueName="[Sales_Data].[Order Date].[All]" allUniqueName="[Sales_Data].[Order 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2"/>
      </fieldsUsage>
    </cacheHierarchy>
    <cacheHierarchy uniqueName="[Sales_Data].[Customer]" caption="Customer" attribute="1" defaultMemberUniqueName="[Sales_Data].[Customer].[All]" allUniqueName="[Sales_Data].[Customer].[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1"/>
      </fieldsUsage>
    </cacheHierarchy>
    <cacheHierarchy uniqueName="[Sales_Data].[Quantity]" caption="Quantity" attribute="1" defaultMemberUniqueName="[Sales_Data].[Quantity].[All]" allUniqueName="[Sales_Data].[Quantity].[All]" dimensionUniqueName="[Sales_Data]" displayFolder="" count="2" memberValueDatatype="20" unbalanced="0"/>
    <cacheHierarchy uniqueName="[Sales_Data].[Sales Amount]" caption="Sales Amount" attribute="1" defaultMemberUniqueName="[Sales_Data].[Sales Amount].[All]" allUniqueName="[Sales_Data].[Sales Amount].[All]" dimensionUniqueName="[Sales_Data]" displayFolder="" count="2" memberValueDatatype="5" unbalanced="0"/>
    <cacheHierarchy uniqueName="[Sales_Data].[Order Date (Year)]" caption="Order Date (Year)" attribute="1" defaultMemberUniqueName="[Sales_Data].[Order Date (Year)].[All]" allUniqueName="[Sales_Data].[Order Date (Year)].[All]" dimensionUniqueName="[Sales_Data]" displayFolder="" count="2" memberValueDatatype="130" unbalanced="0"/>
    <cacheHierarchy uniqueName="[Sales_Data].[Order Date (Quarter)]" caption="Order Date (Quarter)" attribute="1" defaultMemberUniqueName="[Sales_Data].[Order Date (Quarter)].[All]" allUniqueName="[Sales_Data].[Order Date (Quarter)].[All]" dimensionUniqueName="[Sales_Data]" displayFolder="" count="2" memberValueDatatype="130" unbalanced="0"/>
    <cacheHierarchy uniqueName="[Sales_Data].[Order Date (Month)]" caption="Order Date (Month)" attribute="1" defaultMemberUniqueName="[Sales_Data].[Order Date (Month)].[All]" allUniqueName="[Sales_Data].[Order Date (Month)].[All]" dimensionUniqueName="[Sales_Data]" displayFolder="" count="2"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2" memberValueDatatype="20" unbalanced="0" hidden="1"/>
    <cacheHierarchy uniqueName="[Measures].[Total Sales]" caption="Total Sales" measure="1" displayFolder="" measureGroup="Sales_Data" count="0"/>
    <cacheHierarchy uniqueName="[Measures].[Total Quantity Sold]" caption="Total Quantity Sold" measure="1" displayFolder="" measureGroup="Sales_Data" count="0"/>
    <cacheHierarchy uniqueName="[Measures].[Average Sales per Order]" caption="Average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Amount]" caption="Sum of Sales Amount" measure="1" displayFolder="" measureGroup="Sales_Data"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ul Bitto" refreshedDate="46262.052985532406" createdVersion="5" refreshedVersion="8" minRefreshableVersion="3" recordCount="0" supportSubquery="1" supportAdvancedDrill="1" xr:uid="{690EFBD7-F67D-4E4A-8459-CC28C5932D00}">
  <cacheSource type="external" connectionId="2"/>
  <cacheFields count="4">
    <cacheField name="[Measures].[Sum of Sales Amount]" caption="Sum of Sales Amount" numFmtId="0" hierarchy="15" level="32767"/>
    <cacheField name="[Sales_Data].[Order Date (Month)].[Order Date (Month)]" caption="Order Date (Month)" numFmtId="0" hierarchy="8" level="1">
      <sharedItems count="8">
        <s v="Jan"/>
        <s v="Feb"/>
        <s v="Mar"/>
        <s v="Apr"/>
        <s v="May"/>
        <s v="Jun"/>
        <s v="Jul"/>
        <s v="Aug"/>
      </sharedItems>
    </cacheField>
    <cacheField name="[Sales_Data].[Order Date (Year)].[Order Date (Year)]" caption="Order Date (Year)" numFmtId="0" hierarchy="6" level="1">
      <sharedItems count="2">
        <s v="2025"/>
        <s v="2026"/>
      </sharedItems>
    </cacheField>
    <cacheField name="[Sales_Data].[Region].[Region]" caption="Region" numFmtId="0" hierarchy="1" level="1">
      <sharedItems containsSemiMixedTypes="0" containsNonDate="0" containsString="0"/>
    </cacheField>
  </cacheFields>
  <cacheHierarchies count="16">
    <cacheHierarchy uniqueName="[Sales_Data].[Order Date]" caption="Order Date" attribute="1" time="1" defaultMemberUniqueName="[Sales_Data].[Order Date].[All]" allUniqueName="[Sales_Data].[Order 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3"/>
      </fieldsUsage>
    </cacheHierarchy>
    <cacheHierarchy uniqueName="[Sales_Data].[Customer]" caption="Customer" attribute="1" defaultMemberUniqueName="[Sales_Data].[Customer].[All]" allUniqueName="[Sales_Data].[Customer].[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2" memberValueDatatype="20" unbalanced="0"/>
    <cacheHierarchy uniqueName="[Sales_Data].[Sales Amount]" caption="Sales Amount" attribute="1" defaultMemberUniqueName="[Sales_Data].[Sales Amount].[All]" allUniqueName="[Sales_Data].[Sales Amount].[All]" dimensionUniqueName="[Sales_Data]" displayFolder="" count="2" memberValueDatatype="5"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2"/>
      </fieldsUsage>
    </cacheHierarchy>
    <cacheHierarchy uniqueName="[Sales_Data].[Order Date (Quarter)]" caption="Order Date (Quarter)" attribute="1" defaultMemberUniqueName="[Sales_Data].[Order Date (Quarter)].[All]" allUniqueName="[Sales_Data].[Order Date (Quarter)].[All]" dimensionUniqueName="[Sales_Data]" displayFolder="" count="2" memberValueDatatype="130" unbalanced="0"/>
    <cacheHierarchy uniqueName="[Sales_Data].[Order Date (Month)]" caption="Order Date (Month)" attribute="1" defaultMemberUniqueName="[Sales_Data].[Order Date (Month)].[All]" allUniqueName="[Sales_Data].[Order Date (Month)].[All]" dimensionUniqueName="[Sales_Data]" displayFolder="" count="2" memberValueDatatype="130" unbalanced="0">
      <fieldsUsage count="2">
        <fieldUsage x="-1"/>
        <fieldUsage x="1"/>
      </fieldsUsage>
    </cacheHierarchy>
    <cacheHierarchy uniqueName="[Sales_Data].[Order Date (Month Index)]" caption="Order Date (Month Index)" attribute="1" defaultMemberUniqueName="[Sales_Data].[Order Date (Month Index)].[All]" allUniqueName="[Sales_Data].[Order Date (Month Index)].[All]" dimensionUniqueName="[Sales_Data]" displayFolder="" count="2" memberValueDatatype="20" unbalanced="0" hidden="1"/>
    <cacheHierarchy uniqueName="[Measures].[Total Sales]" caption="Total Sales" measure="1" displayFolder="" measureGroup="Sales_Data" count="0"/>
    <cacheHierarchy uniqueName="[Measures].[Total Quantity Sold]" caption="Total Quantity Sold" measure="1" displayFolder="" measureGroup="Sales_Data" count="0"/>
    <cacheHierarchy uniqueName="[Measures].[Average Sales per Order]" caption="Average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Amount]" caption="Sum of Sales Amount" measure="1" displayFolder="" measureGroup="Sales_Data"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ul Bitto" refreshedDate="46262.052985532406" createdVersion="5" refreshedVersion="8" minRefreshableVersion="3" recordCount="0" supportSubquery="1" supportAdvancedDrill="1" xr:uid="{A75FCC2F-D3C3-49D7-A066-55DDF2C41B3D}">
  <cacheSource type="external" connectionId="2"/>
  <cacheFields count="2">
    <cacheField name="[Measures].[Average Sales per Order]" caption="Average Sales per Order" numFmtId="0" hierarchy="12" level="32767"/>
    <cacheField name="[Sales_Data].[Region].[Region]" caption="Region" numFmtId="0" hierarchy="1" level="1">
      <sharedItems containsSemiMixedTypes="0" containsNonDate="0" containsString="0"/>
    </cacheField>
  </cacheFields>
  <cacheHierarchies count="16">
    <cacheHierarchy uniqueName="[Sales_Data].[Order Date]" caption="Order Date" attribute="1" time="1" defaultMemberUniqueName="[Sales_Data].[Order Date].[All]" allUniqueName="[Sales_Data].[Order 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1"/>
      </fieldsUsage>
    </cacheHierarchy>
    <cacheHierarchy uniqueName="[Sales_Data].[Customer]" caption="Customer" attribute="1" defaultMemberUniqueName="[Sales_Data].[Customer].[All]" allUniqueName="[Sales_Data].[Customer].[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2" memberValueDatatype="20" unbalanced="0"/>
    <cacheHierarchy uniqueName="[Sales_Data].[Sales Amount]" caption="Sales Amount" attribute="1" defaultMemberUniqueName="[Sales_Data].[Sales Amount].[All]" allUniqueName="[Sales_Data].[Sales Amount].[All]" dimensionUniqueName="[Sales_Data]" displayFolder="" count="2" memberValueDatatype="5" unbalanced="0"/>
    <cacheHierarchy uniqueName="[Sales_Data].[Order Date (Year)]" caption="Order Date (Year)" attribute="1" defaultMemberUniqueName="[Sales_Data].[Order Date (Year)].[All]" allUniqueName="[Sales_Data].[Order Date (Year)].[All]" dimensionUniqueName="[Sales_Data]" displayFolder="" count="2" memberValueDatatype="130" unbalanced="0"/>
    <cacheHierarchy uniqueName="[Sales_Data].[Order Date (Quarter)]" caption="Order Date (Quarter)" attribute="1" defaultMemberUniqueName="[Sales_Data].[Order Date (Quarter)].[All]" allUniqueName="[Sales_Data].[Order Date (Quarter)].[All]" dimensionUniqueName="[Sales_Data]" displayFolder="" count="2" memberValueDatatype="130" unbalanced="0"/>
    <cacheHierarchy uniqueName="[Sales_Data].[Order Date (Month)]" caption="Order Date (Month)" attribute="1" defaultMemberUniqueName="[Sales_Data].[Order Date (Month)].[All]" allUniqueName="[Sales_Data].[Order Date (Month)].[All]" dimensionUniqueName="[Sales_Data]" displayFolder="" count="2"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2" memberValueDatatype="20" unbalanced="0" hidden="1"/>
    <cacheHierarchy uniqueName="[Measures].[Total Sales]" caption="Total Sales" measure="1" displayFolder="" measureGroup="Sales_Data" count="0"/>
    <cacheHierarchy uniqueName="[Measures].[Total Quantity Sold]" caption="Total Quantity Sold" measure="1" displayFolder="" measureGroup="Sales_Data" count="0"/>
    <cacheHierarchy uniqueName="[Measures].[Average Sales per Order]" caption="Average Sales per Order" measure="1" displayFolder="" measureGroup="Sales_Data" count="0" oneField="1">
      <fieldsUsage count="1">
        <fieldUsage x="0"/>
      </fieldsUsage>
    </cacheHierarchy>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Amount]" caption="Sum of Sales Amount" measure="1" displayFolder="" measureGroup="Sales_Data"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ul Bitto" refreshedDate="46262.052985648152" createdVersion="5" refreshedVersion="8" minRefreshableVersion="3" recordCount="0" supportSubquery="1" supportAdvancedDrill="1" xr:uid="{F50878E5-D045-4964-9F49-2955A7FE4C2B}">
  <cacheSource type="external" connectionId="2"/>
  <cacheFields count="2">
    <cacheField name="[Measures].[Total Quantity Sold]" caption="Total Quantity Sold" numFmtId="0" hierarchy="11" level="32767"/>
    <cacheField name="[Sales_Data].[Region].[Region]" caption="Region" numFmtId="0" hierarchy="1" level="1">
      <sharedItems containsSemiMixedTypes="0" containsNonDate="0" containsString="0"/>
    </cacheField>
  </cacheFields>
  <cacheHierarchies count="16">
    <cacheHierarchy uniqueName="[Sales_Data].[Order Date]" caption="Order Date" attribute="1" time="1" defaultMemberUniqueName="[Sales_Data].[Order Date].[All]" allUniqueName="[Sales_Data].[Order 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1"/>
      </fieldsUsage>
    </cacheHierarchy>
    <cacheHierarchy uniqueName="[Sales_Data].[Customer]" caption="Customer" attribute="1" defaultMemberUniqueName="[Sales_Data].[Customer].[All]" allUniqueName="[Sales_Data].[Customer].[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2" memberValueDatatype="20" unbalanced="0"/>
    <cacheHierarchy uniqueName="[Sales_Data].[Sales Amount]" caption="Sales Amount" attribute="1" defaultMemberUniqueName="[Sales_Data].[Sales Amount].[All]" allUniqueName="[Sales_Data].[Sales Amount].[All]" dimensionUniqueName="[Sales_Data]" displayFolder="" count="2" memberValueDatatype="5" unbalanced="0"/>
    <cacheHierarchy uniqueName="[Sales_Data].[Order Date (Year)]" caption="Order Date (Year)" attribute="1" defaultMemberUniqueName="[Sales_Data].[Order Date (Year)].[All]" allUniqueName="[Sales_Data].[Order Date (Year)].[All]" dimensionUniqueName="[Sales_Data]" displayFolder="" count="2" memberValueDatatype="130" unbalanced="0"/>
    <cacheHierarchy uniqueName="[Sales_Data].[Order Date (Quarter)]" caption="Order Date (Quarter)" attribute="1" defaultMemberUniqueName="[Sales_Data].[Order Date (Quarter)].[All]" allUniqueName="[Sales_Data].[Order Date (Quarter)].[All]" dimensionUniqueName="[Sales_Data]" displayFolder="" count="2" memberValueDatatype="130" unbalanced="0"/>
    <cacheHierarchy uniqueName="[Sales_Data].[Order Date (Month)]" caption="Order Date (Month)" attribute="1" defaultMemberUniqueName="[Sales_Data].[Order Date (Month)].[All]" allUniqueName="[Sales_Data].[Order Date (Month)].[All]" dimensionUniqueName="[Sales_Data]" displayFolder="" count="2"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2" memberValueDatatype="20" unbalanced="0" hidden="1"/>
    <cacheHierarchy uniqueName="[Measures].[Total Sales]" caption="Total Sales" measure="1" displayFolder="" measureGroup="Sales_Data" count="0"/>
    <cacheHierarchy uniqueName="[Measures].[Total Quantity Sold]" caption="Total Quantity Sold" measure="1" displayFolder="" measureGroup="Sales_Data" count="0" oneField="1">
      <fieldsUsage count="1">
        <fieldUsage x="0"/>
      </fieldsUsage>
    </cacheHierarchy>
    <cacheHierarchy uniqueName="[Measures].[Average Sales per Order]" caption="Average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Amount]" caption="Sum of Sales Amount" measure="1" displayFolder="" measureGroup="Sales_Data"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ul Bitto" refreshedDate="46262.040167013889" createdVersion="3" refreshedVersion="8" minRefreshableVersion="3" recordCount="0" supportSubquery="1" supportAdvancedDrill="1" xr:uid="{33A68E7F-339F-4973-B1C5-7EEF2CCF2DD3}">
  <cacheSource type="external" connectionId="2">
    <extLst>
      <ext xmlns:x14="http://schemas.microsoft.com/office/spreadsheetml/2009/9/main" uri="{F057638F-6D5F-4e77-A914-E7F072B9BCA8}">
        <x14:sourceConnection name="ThisWorkbookDataModel"/>
      </ext>
    </extLst>
  </cacheSource>
  <cacheFields count="0"/>
  <cacheHierarchies count="16">
    <cacheHierarchy uniqueName="[Sales_Data].[Order Date]" caption="Order Date" attribute="1" time="1" defaultMemberUniqueName="[Sales_Data].[Order Date].[All]" allUniqueName="[Sales_Data].[Order 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cacheHierarchy uniqueName="[Sales_Data].[Customer]" caption="Customer" attribute="1" defaultMemberUniqueName="[Sales_Data].[Customer].[All]" allUniqueName="[Sales_Data].[Customer].[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5" unbalanced="0"/>
    <cacheHierarchy uniqueName="[Sales_Data].[Order Date (Year)]" caption="Order Date (Year)" attribute="1" defaultMemberUniqueName="[Sales_Data].[Order Date (Year)].[All]" allUniqueName="[Sales_Data].[Order Date (Year)].[All]" dimensionUniqueName="[Sales_Data]" displayFolder="" count="2" memberValueDatatype="130" unbalanced="0"/>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2"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Total Sales]" caption="Total Sales" measure="1" displayFolder="" measureGroup="Sales_Data" count="0"/>
    <cacheHierarchy uniqueName="[Measures].[Total Quantity Sold]" caption="Total Quantity Sold" measure="1" displayFolder="" measureGroup="Sales_Data" count="0"/>
    <cacheHierarchy uniqueName="[Measures].[Average Sales per Order]" caption="Average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Amount]" caption="Sum of Sales Amount" measure="1" displayFolder="" measureGroup="Sales_Data"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7571232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471B6C-79F5-4736-95B5-2AE97872555D}" name="PivotTable6" cacheId="869" applyNumberFormats="0" applyBorderFormats="0" applyFontFormats="0" applyPatternFormats="0" applyAlignmentFormats="0" applyWidthHeightFormats="1" dataCaption="Values" tag="f489a70a-ec87-4910-b097-02967683406b" updatedVersion="8" minRefreshableVersion="3" useAutoFormatting="1" itemPrintTitles="1" createdVersion="5" indent="0" outline="1" outlineData="1" multipleFieldFilters="0" rowHeaderCaption="Date">
  <location ref="K7:K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6">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Amoun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137F84-43E4-47F5-9D1B-4B7E84BCEA57}" name="PivotTable4" cacheId="866" applyNumberFormats="0" applyBorderFormats="0" applyFontFormats="0" applyPatternFormats="0" applyAlignmentFormats="0" applyWidthHeightFormats="1" dataCaption="Values" tag="3bdeb190-a3ea-4fc4-932a-83cdb46e4ed9" updatedVersion="8" minRefreshableVersion="3" useAutoFormatting="1" itemPrintTitles="1" createdVersion="5" indent="0" outline="1" outlineData="1" multipleFieldFilters="0" rowHeaderCaption="Date">
  <location ref="K3:K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6">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Amoun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BF729C-9D8A-41E3-B942-D5FF0D759DB0}" name="PivotTable3" cacheId="863" applyNumberFormats="0" applyBorderFormats="0" applyFontFormats="0" applyPatternFormats="0" applyAlignmentFormats="0" applyWidthHeightFormats="1" dataCaption="Values" tag="f4d39d48-7418-4ad1-9bd8-c6d793fe3bf2" updatedVersion="8" minRefreshableVersion="3" useAutoFormatting="1" itemPrintTitles="1" createdVersion="5" indent="0" outline="1" outlineData="1" multipleFieldFilters="0" chartFormat="7" rowHeaderCaption="Date">
  <location ref="H3:I6" firstHeaderRow="1" firstDataRow="1"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xis="axisRow" allDrilled="1" subtotalTop="0" showAll="0" dataSourceSort="1" defaultSubtotal="0">
      <items count="2">
        <item x="0" e="0"/>
        <item x="1" e="0"/>
      </items>
    </pivotField>
    <pivotField allDrilled="1" subtotalTop="0" showAll="0" dataSourceSort="1" defaultSubtotal="0" defaultAttributeDrillState="1"/>
  </pivotFields>
  <rowFields count="2">
    <field x="2"/>
    <field x="1"/>
  </rowFields>
  <rowItems count="3">
    <i>
      <x/>
    </i>
    <i>
      <x v="1"/>
    </i>
    <i t="grand">
      <x/>
    </i>
  </rowItems>
  <colItems count="1">
    <i/>
  </colItems>
  <dataFields count="1">
    <dataField name="Sales Amount" fld="0" baseField="0" baseItem="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6">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Amount"/>
  </pivotHierarchies>
  <pivotTableStyleInfo name="PivotStyleLight16" showRowHeaders="1" showColHeaders="1" showRowStripes="0" showColStripes="0" showLastColumn="1"/>
  <rowHierarchiesUsage count="2">
    <rowHierarchyUsage hierarchyUsage="6"/>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7D04BF-F03E-4018-9B26-F8456DC82474}" name="PivotTable2" cacheId="860" applyNumberFormats="0" applyBorderFormats="0" applyFontFormats="0" applyPatternFormats="0" applyAlignmentFormats="0" applyWidthHeightFormats="1" dataCaption="Values" tag="0f84a284-e0eb-495f-90f2-80dc12dd60a8" updatedVersion="8" minRefreshableVersion="3" useAutoFormatting="1" subtotalHiddenItems="1" itemPrintTitles="1" createdVersion="5" indent="0" outline="1" outlineData="1" multipleFieldFilters="0" chartFormat="5" rowHeaderCaption="Products">
  <location ref="E3:F19" firstHeaderRow="1" firstDataRow="1" firstDataCol="1"/>
  <pivotFields count="3">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llDrilled="1" subtotalTop="0" showAll="0" dataSourceSort="1" defaultSubtotal="0" defaultAttributeDrillState="1"/>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ales Amount" fld="0" baseField="1" baseItem="0"/>
  </dataFields>
  <chartFormats count="1">
    <chartFormat chart="4" format="2" series="1">
      <pivotArea type="data" outline="0" fieldPosition="0">
        <references count="1">
          <reference field="4294967294" count="1" selected="0">
            <x v="0"/>
          </reference>
        </references>
      </pivotArea>
    </chartFormat>
  </chartFormats>
  <pivotHierarchies count="16">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Amount"/>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1F0770-0435-4361-888B-9F21619B156E}" name="PivotTable1" cacheId="857" applyNumberFormats="0" applyBorderFormats="0" applyFontFormats="0" applyPatternFormats="0" applyAlignmentFormats="0" applyWidthHeightFormats="1" dataCaption="Values" tag="0cb27986-ad89-4116-8c7a-9be9cf91d667" updatedVersion="8" minRefreshableVersion="3" useAutoFormatting="1" subtotalHiddenItems="1" itemPrintTitles="1" createdVersion="5" indent="0" outline="1" outlineData="1" multipleFieldFilters="0" chartFormat="15" rowHeaderCaption="Regions">
  <location ref="B3:C9"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fld="0" subtotal="count" baseField="0" baseItem="0"/>
  </dataFields>
  <chartFormats count="6">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1" count="1" selected="0">
            <x v="0"/>
          </reference>
        </references>
      </pivotArea>
    </chartFormat>
    <chartFormat chart="12" format="9">
      <pivotArea type="data" outline="0" fieldPosition="0">
        <references count="2">
          <reference field="4294967294" count="1" selected="0">
            <x v="0"/>
          </reference>
          <reference field="1" count="1" selected="0">
            <x v="1"/>
          </reference>
        </references>
      </pivotArea>
    </chartFormat>
    <chartFormat chart="12" format="10">
      <pivotArea type="data" outline="0" fieldPosition="0">
        <references count="2">
          <reference field="4294967294" count="1" selected="0">
            <x v="0"/>
          </reference>
          <reference field="1" count="1" selected="0">
            <x v="2"/>
          </reference>
        </references>
      </pivotArea>
    </chartFormat>
    <chartFormat chart="12" format="11">
      <pivotArea type="data" outline="0" fieldPosition="0">
        <references count="2">
          <reference field="4294967294" count="1" selected="0">
            <x v="0"/>
          </reference>
          <reference field="1" count="1" selected="0">
            <x v="3"/>
          </reference>
        </references>
      </pivotArea>
    </chartFormat>
    <chartFormat chart="12" format="12">
      <pivotArea type="data" outline="0" fieldPosition="0">
        <references count="2">
          <reference field="4294967294" count="1" selected="0">
            <x v="0"/>
          </reference>
          <reference field="1" count="1" selected="0">
            <x v="4"/>
          </reference>
        </references>
      </pivotArea>
    </chartFormat>
  </chartFormats>
  <pivotHierarchies count="16">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F2EBECB-B7EE-4352-8ADD-0F91158EFD2E}" autoFormatId="16" applyNumberFormats="0" applyBorderFormats="0" applyFontFormats="0" applyPatternFormats="0" applyAlignmentFormats="0" applyWidthHeightFormats="0">
  <queryTableRefresh nextId="7">
    <queryTableFields count="6">
      <queryTableField id="1" name="Order Date" tableColumnId="1"/>
      <queryTableField id="2" name="Region" tableColumnId="2"/>
      <queryTableField id="3" name="Customer" tableColumnId="3"/>
      <queryTableField id="4" name="Product" tableColumnId="4"/>
      <queryTableField id="5" name="Quantity" tableColumnId="5"/>
      <queryTableField id="6" name="Sales Amount"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8E6DB64-7345-4505-BD93-38FF0E6828B9}" sourceName="[Sales_Data].[Region]">
  <pivotTables>
    <pivotTable tabId="3" name="PivotTable1"/>
    <pivotTable tabId="3" name="PivotTable2"/>
    <pivotTable tabId="3" name="PivotTable3"/>
    <pivotTable tabId="3" name="PivotTable4"/>
    <pivotTable tabId="3" name="PivotTable6"/>
  </pivotTables>
  <data>
    <olap pivotCacheId="757123239">
      <levels count="2">
        <level uniqueName="[Sales_Data].[Region].[(All)]" sourceCaption="(All)" count="0"/>
        <level uniqueName="[Sales_Data].[Region].[Region]" sourceCaption="Region" count="5">
          <ranges>
            <range startItem="0">
              <i n="[Sales_Data].[Region].&amp;[Central]" c="Central"/>
              <i n="[Sales_Data].[Region].&amp;[East]" c="East"/>
              <i n="[Sales_Data].[Region].&amp;[North]" c="North"/>
              <i n="[Sales_Data].[Region].&amp;[South]" c="South"/>
              <i n="[Sales_Data].[Region].&amp;[West]" c="West"/>
            </range>
          </ranges>
        </level>
      </levels>
      <selections count="1">
        <selection n="[Sales_Data].[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239A7F2D-6D8B-4276-999B-FDD3837D05BF}" sourceName="[Sales_Data].[Order Date (Month)]">
  <pivotTables>
    <pivotTable tabId="3" name="PivotTable2"/>
    <pivotTable tabId="3" name="PivotTable1"/>
    <pivotTable tabId="3" name="PivotTable3"/>
    <pivotTable tabId="3" name="PivotTable4"/>
    <pivotTable tabId="3" name="PivotTable6"/>
  </pivotTables>
  <data>
    <olap pivotCacheId="757123239">
      <levels count="2">
        <level uniqueName="[Sales_Data].[Order Date (Month)].[(All)]" sourceCaption="(All)" count="0"/>
        <level uniqueName="[Sales_Data].[Order Date (Month)].[Order Date (Month)]" sourceCaption="Order Date (Month)" count="12">
          <ranges>
            <range startItem="0">
              <i n="[Sales_Data].[Order Date (Month)].&amp;[Jan]" c="Jan"/>
              <i n="[Sales_Data].[Order Date (Month)].&amp;[Feb]" c="Feb"/>
              <i n="[Sales_Data].[Order Date (Month)].&amp;[Mar]" c="Mar"/>
              <i n="[Sales_Data].[Order Date (Month)].&amp;[Apr]" c="Apr"/>
              <i n="[Sales_Data].[Order Date (Month)].&amp;[May]" c="May"/>
              <i n="[Sales_Data].[Order Date (Month)].&amp;[Jun]" c="Jun"/>
              <i n="[Sales_Data].[Order Date (Month)].&amp;[Jul]" c="Jul"/>
              <i n="[Sales_Data].[Order Date (Month)].&amp;[Aug]" c="Aug"/>
              <i n="[Sales_Data].[Order Date (Month)].&amp;[Sep]" c="Sep"/>
              <i n="[Sales_Data].[Order Date (Month)].&amp;[Oct]" c="Oct"/>
              <i n="[Sales_Data].[Order Date (Month)].&amp;[Nov]" c="Nov"/>
              <i n="[Sales_Data].[Order Date (Month)].&amp;[Dec]" c="Dec"/>
            </range>
          </ranges>
        </level>
      </levels>
      <selections count="1">
        <selection n="[Sales_Data].[Order 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33DBDB35-D932-4911-B8A3-6C25568ABED2}" sourceName="[Sales_Data].[Order Date (Year)]">
  <pivotTables>
    <pivotTable tabId="3" name="PivotTable2"/>
    <pivotTable tabId="3" name="PivotTable1"/>
    <pivotTable tabId="3" name="PivotTable3"/>
    <pivotTable tabId="3" name="PivotTable4"/>
    <pivotTable tabId="3" name="PivotTable6"/>
  </pivotTables>
  <data>
    <olap pivotCacheId="757123239">
      <levels count="2">
        <level uniqueName="[Sales_Data].[Order Date (Year)].[(All)]" sourceCaption="(All)" count="0"/>
        <level uniqueName="[Sales_Data].[Order Date (Year)].[Order Date (Year)]" sourceCaption="Order Date (Year)" count="2">
          <ranges>
            <range startItem="0">
              <i n="[Sales_Data].[Order Date (Year)].&amp;[2025]" c="2025"/>
              <i n="[Sales_Data].[Order Date (Year)].&amp;[2026]" c="2026"/>
            </range>
          </ranges>
        </level>
      </levels>
      <selections count="1">
        <selection n="[Sales_Data].[Order Date (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E9E45C8-DE8F-491D-86A5-E3B0497C20B4}" sourceName="[Sales_Data].[Product]">
  <pivotTables>
    <pivotTable tabId="3" name="PivotTable1"/>
    <pivotTable tabId="3" name="PivotTable2"/>
    <pivotTable tabId="3" name="PivotTable3"/>
    <pivotTable tabId="3" name="PivotTable4"/>
    <pivotTable tabId="3" name="PivotTable6"/>
  </pivotTables>
  <data>
    <olap pivotCacheId="757123239">
      <levels count="2">
        <level uniqueName="[Sales_Data].[Product].[(All)]" sourceCaption="(All)" count="0"/>
        <level uniqueName="[Sales_Data].[Product].[Product]" sourceCaption="Product" count="15">
          <ranges>
            <range startItem="0">
              <i n="[Sales_Data].[Product].&amp;[Bluetooth Speaker]" c="Bluetooth Speaker"/>
              <i n="[Sales_Data].[Product].&amp;[Desk Lamp]" c="Desk Lamp"/>
              <i n="[Sales_Data].[Product].&amp;[External SSD 1TB]" c="External SSD 1TB"/>
              <i n="[Sales_Data].[Product].&amp;[Laptop Stand]" c="Laptop Stand"/>
              <i n="[Sales_Data].[Product].&amp;[Mechanical Keyboard]" c="Mechanical Keyboard"/>
              <i n="[Sales_Data].[Product].&amp;[Monitor 27in]" c="Monitor 27in"/>
              <i n="[Sales_Data].[Product].&amp;[Noise Cancelling Headphones]" c="Noise Cancelling Headphones"/>
              <i n="[Sales_Data].[Product].&amp;[Office Chair]" c="Office Chair"/>
              <i n="[Sales_Data].[Product].&amp;[Printer Ink Set]" c="Printer Ink Set"/>
              <i n="[Sales_Data].[Product].&amp;[Standing Desk]" c="Standing Desk"/>
              <i n="[Sales_Data].[Product].&amp;[Tablet Case]" c="Tablet Case"/>
              <i n="[Sales_Data].[Product].&amp;[USB-C Hub]" c="USB-C Hub"/>
              <i n="[Sales_Data].[Product].&amp;[Webcam HD]" c="Webcam HD"/>
              <i n="[Sales_Data].[Product].&amp;[Wireless Charger]" c="Wireless Charger"/>
              <i n="[Sales_Data].[Product].&amp;[Wireless Mouse]" c="Wireless Mouse"/>
            </range>
          </ranges>
        </level>
      </levels>
      <selections count="1">
        <selection n="[Sales_Data].[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BB24A586-0816-4074-AE75-D3E2F8D5445C}" cache="Slicer_Region" caption="Region" columnCount="5" level="1" style="SlicerStyleLight3" rowHeight="257175"/>
  <slicer name="Order Date (Month) 2" xr10:uid="{8BF6690D-E138-4E0E-BDD6-CA9A797311F2}" cache="Slicer_Order_Date__Month" caption="Order Date (Month)" columnCount="6" level="1" style="SlicerStyleLight3" rowHeight="257175"/>
  <slicer name="Order Date (Year)" xr10:uid="{DEF2127E-2EE1-4E0F-97C2-97455E9B12A4}" cache="Slicer_Order_Date__Year" caption="Order Date (Year)" columnCount="2" level="1" style="SlicerStyleLight3" rowHeight="257175"/>
  <slicer name="Product 1" xr10:uid="{B42A983F-AD40-4368-B8C4-A190D27691AD}" cache="Slicer_Product" caption="Product" columnCount="5" level="1" style="SlicerStyleLight3"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A0D621-34D6-4116-ADE1-D8FC24960F4B}" name="Sales_Data" displayName="Sales_Data" ref="A1:F501" tableType="queryTable" totalsRowShown="0">
  <autoFilter ref="A1:F501" xr:uid="{C7A0D621-34D6-4116-ADE1-D8FC24960F4B}"/>
  <tableColumns count="6">
    <tableColumn id="1" xr3:uid="{3E8B9AF5-A590-4DFE-8142-3BB86622BD33}" uniqueName="1" name="Order Date" queryTableFieldId="1" dataDxfId="3"/>
    <tableColumn id="2" xr3:uid="{E5146A3C-41E9-423D-AFF9-726B8E8385E5}" uniqueName="2" name="Region" queryTableFieldId="2" dataDxfId="2"/>
    <tableColumn id="3" xr3:uid="{1C2A8EB1-CC28-45C7-B70D-55D5AFD362B0}" uniqueName="3" name="Customer" queryTableFieldId="3" dataDxfId="1"/>
    <tableColumn id="4" xr3:uid="{4C5ECC43-3A41-4539-8C97-8D886F38EB41}" uniqueName="4" name="Product" queryTableFieldId="4" dataDxfId="0"/>
    <tableColumn id="5" xr3:uid="{F37D05AB-FB52-4DF1-891B-4CA20003A371}" uniqueName="5" name="Quantity" queryTableFieldId="5"/>
    <tableColumn id="6" xr3:uid="{7FDDD622-6B0D-440F-9F0B-CAB9F5DA3E91}" uniqueName="6" name="Sales Amount" queryTableField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ED6F7-49D3-414F-B73C-12ED2E392BED}">
  <dimension ref="A1:F501"/>
  <sheetViews>
    <sheetView workbookViewId="0">
      <selection activeCell="C12" sqref="C12"/>
    </sheetView>
  </sheetViews>
  <sheetFormatPr defaultRowHeight="15" x14ac:dyDescent="0.25"/>
  <cols>
    <col min="1" max="1" width="13.140625" bestFit="1" customWidth="1"/>
    <col min="2" max="2" width="9.5703125" bestFit="1" customWidth="1"/>
    <col min="3" max="3" width="19" bestFit="1" customWidth="1"/>
    <col min="4" max="4" width="28" bestFit="1" customWidth="1"/>
    <col min="5" max="5" width="11" bestFit="1" customWidth="1"/>
    <col min="6" max="6" width="15.7109375" bestFit="1" customWidth="1"/>
  </cols>
  <sheetData>
    <row r="1" spans="1:6" x14ac:dyDescent="0.25">
      <c r="A1" t="s">
        <v>0</v>
      </c>
      <c r="B1" t="s">
        <v>1</v>
      </c>
      <c r="C1" t="s">
        <v>2</v>
      </c>
      <c r="D1" t="s">
        <v>3</v>
      </c>
      <c r="E1" t="s">
        <v>4</v>
      </c>
      <c r="F1" t="s">
        <v>5</v>
      </c>
    </row>
    <row r="2" spans="1:6" x14ac:dyDescent="0.25">
      <c r="A2" s="1">
        <v>45658</v>
      </c>
      <c r="B2" s="2" t="s">
        <v>6</v>
      </c>
      <c r="C2" s="2" t="s">
        <v>7</v>
      </c>
      <c r="D2" s="2" t="s">
        <v>8</v>
      </c>
      <c r="E2">
        <v>1</v>
      </c>
      <c r="F2">
        <v>37.049999999999997</v>
      </c>
    </row>
    <row r="3" spans="1:6" x14ac:dyDescent="0.25">
      <c r="A3" s="1">
        <v>45659</v>
      </c>
      <c r="B3" s="2" t="s">
        <v>9</v>
      </c>
      <c r="C3" s="2" t="s">
        <v>10</v>
      </c>
      <c r="D3" s="2" t="s">
        <v>11</v>
      </c>
      <c r="E3">
        <v>1</v>
      </c>
      <c r="F3">
        <v>35.32</v>
      </c>
    </row>
    <row r="4" spans="1:6" x14ac:dyDescent="0.25">
      <c r="A4" s="1">
        <v>45659</v>
      </c>
      <c r="B4" s="2" t="s">
        <v>9</v>
      </c>
      <c r="C4" s="2" t="s">
        <v>12</v>
      </c>
      <c r="D4" s="2" t="s">
        <v>13</v>
      </c>
      <c r="E4">
        <v>5</v>
      </c>
      <c r="F4">
        <v>197.9</v>
      </c>
    </row>
    <row r="5" spans="1:6" x14ac:dyDescent="0.25">
      <c r="A5" s="1">
        <v>45663</v>
      </c>
      <c r="B5" s="2" t="s">
        <v>14</v>
      </c>
      <c r="C5" s="2" t="s">
        <v>15</v>
      </c>
      <c r="D5" s="2" t="s">
        <v>13</v>
      </c>
      <c r="E5">
        <v>1</v>
      </c>
      <c r="F5">
        <v>53.14</v>
      </c>
    </row>
    <row r="6" spans="1:6" x14ac:dyDescent="0.25">
      <c r="A6" s="1">
        <v>45664</v>
      </c>
      <c r="B6" s="2" t="s">
        <v>6</v>
      </c>
      <c r="C6" s="2" t="s">
        <v>16</v>
      </c>
      <c r="D6" s="2" t="s">
        <v>17</v>
      </c>
      <c r="E6">
        <v>5</v>
      </c>
      <c r="F6">
        <v>94.2</v>
      </c>
    </row>
    <row r="7" spans="1:6" x14ac:dyDescent="0.25">
      <c r="A7" s="1">
        <v>45667</v>
      </c>
      <c r="B7" s="2" t="s">
        <v>18</v>
      </c>
      <c r="C7" s="2" t="s">
        <v>19</v>
      </c>
      <c r="D7" s="2" t="s">
        <v>20</v>
      </c>
      <c r="E7">
        <v>3</v>
      </c>
      <c r="F7">
        <v>778.89</v>
      </c>
    </row>
    <row r="8" spans="1:6" x14ac:dyDescent="0.25">
      <c r="A8" s="1">
        <v>45672</v>
      </c>
      <c r="B8" s="2" t="s">
        <v>21</v>
      </c>
      <c r="C8" s="2" t="s">
        <v>22</v>
      </c>
      <c r="D8" s="2" t="s">
        <v>23</v>
      </c>
      <c r="E8">
        <v>6</v>
      </c>
      <c r="F8">
        <v>1267.02</v>
      </c>
    </row>
    <row r="9" spans="1:6" x14ac:dyDescent="0.25">
      <c r="A9" s="1">
        <v>45673</v>
      </c>
      <c r="B9" s="2" t="s">
        <v>18</v>
      </c>
      <c r="C9" s="2" t="s">
        <v>24</v>
      </c>
      <c r="D9" s="2" t="s">
        <v>17</v>
      </c>
      <c r="E9">
        <v>6</v>
      </c>
      <c r="F9">
        <v>176.76</v>
      </c>
    </row>
    <row r="10" spans="1:6" x14ac:dyDescent="0.25">
      <c r="A10" s="1">
        <v>45674</v>
      </c>
      <c r="B10" s="2" t="s">
        <v>9</v>
      </c>
      <c r="C10" s="2" t="s">
        <v>25</v>
      </c>
      <c r="D10" s="2" t="s">
        <v>8</v>
      </c>
      <c r="E10">
        <v>1</v>
      </c>
      <c r="F10">
        <v>22.28</v>
      </c>
    </row>
    <row r="11" spans="1:6" x14ac:dyDescent="0.25">
      <c r="A11" s="1">
        <v>45674</v>
      </c>
      <c r="B11" s="2" t="s">
        <v>18</v>
      </c>
      <c r="C11" s="2" t="s">
        <v>26</v>
      </c>
      <c r="D11" s="2" t="s">
        <v>27</v>
      </c>
      <c r="E11">
        <v>1</v>
      </c>
      <c r="F11">
        <v>69.7</v>
      </c>
    </row>
    <row r="12" spans="1:6" x14ac:dyDescent="0.25">
      <c r="A12" s="1">
        <v>45675</v>
      </c>
      <c r="B12" s="2" t="s">
        <v>21</v>
      </c>
      <c r="C12" s="2" t="s">
        <v>28</v>
      </c>
      <c r="D12" s="2" t="s">
        <v>29</v>
      </c>
      <c r="E12">
        <v>1</v>
      </c>
      <c r="F12">
        <v>444.97</v>
      </c>
    </row>
    <row r="13" spans="1:6" x14ac:dyDescent="0.25">
      <c r="A13" s="1">
        <v>45679</v>
      </c>
      <c r="B13" s="2" t="s">
        <v>14</v>
      </c>
      <c r="C13" s="2" t="s">
        <v>16</v>
      </c>
      <c r="D13" s="2" t="s">
        <v>13</v>
      </c>
      <c r="E13">
        <v>1</v>
      </c>
      <c r="F13">
        <v>52.54</v>
      </c>
    </row>
    <row r="14" spans="1:6" x14ac:dyDescent="0.25">
      <c r="A14" s="1">
        <v>45681</v>
      </c>
      <c r="B14" s="2" t="s">
        <v>21</v>
      </c>
      <c r="C14" s="2" t="s">
        <v>10</v>
      </c>
      <c r="D14" s="2" t="s">
        <v>29</v>
      </c>
      <c r="E14">
        <v>8</v>
      </c>
      <c r="F14">
        <v>2688.88</v>
      </c>
    </row>
    <row r="15" spans="1:6" x14ac:dyDescent="0.25">
      <c r="A15" s="1">
        <v>45681</v>
      </c>
      <c r="B15" s="2" t="s">
        <v>21</v>
      </c>
      <c r="C15" s="2" t="s">
        <v>30</v>
      </c>
      <c r="D15" s="2" t="s">
        <v>29</v>
      </c>
      <c r="E15">
        <v>10</v>
      </c>
      <c r="F15">
        <v>2410.9</v>
      </c>
    </row>
    <row r="16" spans="1:6" x14ac:dyDescent="0.25">
      <c r="A16" s="1">
        <v>45684</v>
      </c>
      <c r="B16" s="2" t="s">
        <v>18</v>
      </c>
      <c r="C16" s="2" t="s">
        <v>31</v>
      </c>
      <c r="D16" s="2" t="s">
        <v>32</v>
      </c>
      <c r="E16">
        <v>10</v>
      </c>
      <c r="F16">
        <v>1309.5999999999999</v>
      </c>
    </row>
    <row r="17" spans="1:6" x14ac:dyDescent="0.25">
      <c r="A17" s="1">
        <v>45685</v>
      </c>
      <c r="B17" s="2" t="s">
        <v>14</v>
      </c>
      <c r="C17" s="2" t="s">
        <v>33</v>
      </c>
      <c r="D17" s="2" t="s">
        <v>34</v>
      </c>
      <c r="E17">
        <v>3</v>
      </c>
      <c r="F17">
        <v>76.349999999999994</v>
      </c>
    </row>
    <row r="18" spans="1:6" x14ac:dyDescent="0.25">
      <c r="A18" s="1">
        <v>45685</v>
      </c>
      <c r="B18" s="2" t="s">
        <v>6</v>
      </c>
      <c r="C18" s="2" t="s">
        <v>35</v>
      </c>
      <c r="D18" s="2" t="s">
        <v>11</v>
      </c>
      <c r="E18">
        <v>4</v>
      </c>
      <c r="F18">
        <v>182.28</v>
      </c>
    </row>
    <row r="19" spans="1:6" x14ac:dyDescent="0.25">
      <c r="A19" s="1">
        <v>45689</v>
      </c>
      <c r="B19" s="2" t="s">
        <v>6</v>
      </c>
      <c r="C19" s="2" t="s">
        <v>36</v>
      </c>
      <c r="D19" s="2" t="s">
        <v>37</v>
      </c>
      <c r="E19">
        <v>6</v>
      </c>
      <c r="F19">
        <v>409.62</v>
      </c>
    </row>
    <row r="20" spans="1:6" x14ac:dyDescent="0.25">
      <c r="A20" s="1">
        <v>45695</v>
      </c>
      <c r="B20" s="2" t="s">
        <v>6</v>
      </c>
      <c r="C20" s="2" t="s">
        <v>38</v>
      </c>
      <c r="D20" s="2" t="s">
        <v>34</v>
      </c>
      <c r="E20">
        <v>8</v>
      </c>
      <c r="F20">
        <v>390.88</v>
      </c>
    </row>
    <row r="21" spans="1:6" x14ac:dyDescent="0.25">
      <c r="A21" s="1">
        <v>45696</v>
      </c>
      <c r="B21" s="2" t="s">
        <v>21</v>
      </c>
      <c r="C21" s="2" t="s">
        <v>38</v>
      </c>
      <c r="D21" s="2" t="s">
        <v>27</v>
      </c>
      <c r="E21">
        <v>1</v>
      </c>
      <c r="F21">
        <v>51.74</v>
      </c>
    </row>
    <row r="22" spans="1:6" x14ac:dyDescent="0.25">
      <c r="A22" s="1">
        <v>45696</v>
      </c>
      <c r="B22" s="2" t="s">
        <v>18</v>
      </c>
      <c r="C22" s="2" t="s">
        <v>39</v>
      </c>
      <c r="D22" s="2" t="s">
        <v>40</v>
      </c>
      <c r="E22">
        <v>1</v>
      </c>
      <c r="F22">
        <v>24.01</v>
      </c>
    </row>
    <row r="23" spans="1:6" x14ac:dyDescent="0.25">
      <c r="A23" s="1">
        <v>45698</v>
      </c>
      <c r="B23" s="2" t="s">
        <v>9</v>
      </c>
      <c r="C23" s="2" t="s">
        <v>41</v>
      </c>
      <c r="D23" s="2" t="s">
        <v>11</v>
      </c>
      <c r="E23">
        <v>6</v>
      </c>
      <c r="F23">
        <v>342.6</v>
      </c>
    </row>
    <row r="24" spans="1:6" x14ac:dyDescent="0.25">
      <c r="A24" s="1">
        <v>45698</v>
      </c>
      <c r="B24" s="2" t="s">
        <v>21</v>
      </c>
      <c r="C24" s="2" t="s">
        <v>42</v>
      </c>
      <c r="D24" s="2" t="s">
        <v>29</v>
      </c>
      <c r="E24">
        <v>2</v>
      </c>
      <c r="F24">
        <v>733.46</v>
      </c>
    </row>
    <row r="25" spans="1:6" x14ac:dyDescent="0.25">
      <c r="A25" s="1">
        <v>45699</v>
      </c>
      <c r="B25" s="2" t="s">
        <v>14</v>
      </c>
      <c r="C25" s="2" t="s">
        <v>43</v>
      </c>
      <c r="D25" s="2" t="s">
        <v>13</v>
      </c>
      <c r="E25">
        <v>1</v>
      </c>
      <c r="F25">
        <v>46.75</v>
      </c>
    </row>
    <row r="26" spans="1:6" x14ac:dyDescent="0.25">
      <c r="A26" s="1">
        <v>45700</v>
      </c>
      <c r="B26" s="2" t="s">
        <v>6</v>
      </c>
      <c r="C26" s="2" t="s">
        <v>44</v>
      </c>
      <c r="D26" s="2" t="s">
        <v>32</v>
      </c>
      <c r="E26">
        <v>5</v>
      </c>
      <c r="F26">
        <v>514.04999999999995</v>
      </c>
    </row>
    <row r="27" spans="1:6" x14ac:dyDescent="0.25">
      <c r="A27" s="1">
        <v>45700</v>
      </c>
      <c r="B27" s="2" t="s">
        <v>6</v>
      </c>
      <c r="C27" s="2" t="s">
        <v>36</v>
      </c>
      <c r="D27" s="2" t="s">
        <v>13</v>
      </c>
      <c r="E27">
        <v>3</v>
      </c>
      <c r="F27">
        <v>85.74</v>
      </c>
    </row>
    <row r="28" spans="1:6" x14ac:dyDescent="0.25">
      <c r="A28" s="1">
        <v>45701</v>
      </c>
      <c r="B28" s="2" t="s">
        <v>6</v>
      </c>
      <c r="C28" s="2" t="s">
        <v>45</v>
      </c>
      <c r="D28" s="2" t="s">
        <v>20</v>
      </c>
      <c r="E28">
        <v>1</v>
      </c>
      <c r="F28">
        <v>296.56</v>
      </c>
    </row>
    <row r="29" spans="1:6" x14ac:dyDescent="0.25">
      <c r="A29" s="1">
        <v>45702</v>
      </c>
      <c r="B29" s="2" t="s">
        <v>9</v>
      </c>
      <c r="C29" s="2" t="s">
        <v>46</v>
      </c>
      <c r="D29" s="2" t="s">
        <v>20</v>
      </c>
      <c r="E29">
        <v>6</v>
      </c>
      <c r="F29">
        <v>1883.28</v>
      </c>
    </row>
    <row r="30" spans="1:6" x14ac:dyDescent="0.25">
      <c r="A30" s="1">
        <v>45705</v>
      </c>
      <c r="B30" s="2" t="s">
        <v>21</v>
      </c>
      <c r="C30" s="2" t="s">
        <v>47</v>
      </c>
      <c r="D30" s="2" t="s">
        <v>37</v>
      </c>
      <c r="E30">
        <v>2</v>
      </c>
      <c r="F30">
        <v>89.98</v>
      </c>
    </row>
    <row r="31" spans="1:6" x14ac:dyDescent="0.25">
      <c r="A31" s="1">
        <v>45708</v>
      </c>
      <c r="B31" s="2" t="s">
        <v>9</v>
      </c>
      <c r="C31" s="2" t="s">
        <v>48</v>
      </c>
      <c r="D31" s="2" t="s">
        <v>17</v>
      </c>
      <c r="E31">
        <v>2</v>
      </c>
      <c r="F31">
        <v>51.92</v>
      </c>
    </row>
    <row r="32" spans="1:6" x14ac:dyDescent="0.25">
      <c r="A32" s="1">
        <v>45708</v>
      </c>
      <c r="B32" s="2" t="s">
        <v>14</v>
      </c>
      <c r="C32" s="2" t="s">
        <v>49</v>
      </c>
      <c r="D32" s="2" t="s">
        <v>20</v>
      </c>
      <c r="E32">
        <v>6</v>
      </c>
      <c r="F32">
        <v>1332.48</v>
      </c>
    </row>
    <row r="33" spans="1:6" x14ac:dyDescent="0.25">
      <c r="A33" s="1">
        <v>45709</v>
      </c>
      <c r="B33" s="2" t="s">
        <v>9</v>
      </c>
      <c r="C33" s="2" t="s">
        <v>50</v>
      </c>
      <c r="D33" s="2" t="s">
        <v>51</v>
      </c>
      <c r="E33">
        <v>4</v>
      </c>
      <c r="F33">
        <v>317.8</v>
      </c>
    </row>
    <row r="34" spans="1:6" x14ac:dyDescent="0.25">
      <c r="A34" s="1">
        <v>45710</v>
      </c>
      <c r="B34" s="2" t="s">
        <v>14</v>
      </c>
      <c r="C34" s="2" t="s">
        <v>15</v>
      </c>
      <c r="D34" s="2" t="s">
        <v>17</v>
      </c>
      <c r="E34">
        <v>2</v>
      </c>
      <c r="F34">
        <v>25.58</v>
      </c>
    </row>
    <row r="35" spans="1:6" x14ac:dyDescent="0.25">
      <c r="A35" s="1">
        <v>45710</v>
      </c>
      <c r="B35" s="2" t="s">
        <v>21</v>
      </c>
      <c r="C35" s="2" t="s">
        <v>52</v>
      </c>
      <c r="D35" s="2" t="s">
        <v>29</v>
      </c>
      <c r="E35">
        <v>5</v>
      </c>
      <c r="F35">
        <v>1753.65</v>
      </c>
    </row>
    <row r="36" spans="1:6" x14ac:dyDescent="0.25">
      <c r="A36" s="1">
        <v>45711</v>
      </c>
      <c r="B36" s="2" t="s">
        <v>21</v>
      </c>
      <c r="C36" s="2" t="s">
        <v>53</v>
      </c>
      <c r="D36" s="2" t="s">
        <v>32</v>
      </c>
      <c r="E36">
        <v>1</v>
      </c>
      <c r="F36">
        <v>110.22</v>
      </c>
    </row>
    <row r="37" spans="1:6" x14ac:dyDescent="0.25">
      <c r="A37" s="1">
        <v>45714</v>
      </c>
      <c r="B37" s="2" t="s">
        <v>14</v>
      </c>
      <c r="C37" s="2" t="s">
        <v>26</v>
      </c>
      <c r="D37" s="2" t="s">
        <v>37</v>
      </c>
      <c r="E37">
        <v>2</v>
      </c>
      <c r="F37">
        <v>121.38</v>
      </c>
    </row>
    <row r="38" spans="1:6" x14ac:dyDescent="0.25">
      <c r="A38" s="1">
        <v>45714</v>
      </c>
      <c r="B38" s="2" t="s">
        <v>14</v>
      </c>
      <c r="C38" s="2" t="s">
        <v>54</v>
      </c>
      <c r="D38" s="2" t="s">
        <v>34</v>
      </c>
      <c r="E38">
        <v>2</v>
      </c>
      <c r="F38">
        <v>49.88</v>
      </c>
    </row>
    <row r="39" spans="1:6" x14ac:dyDescent="0.25">
      <c r="A39" s="1">
        <v>45715</v>
      </c>
      <c r="B39" s="2" t="s">
        <v>18</v>
      </c>
      <c r="C39" s="2" t="s">
        <v>55</v>
      </c>
      <c r="D39" s="2" t="s">
        <v>37</v>
      </c>
      <c r="E39">
        <v>2</v>
      </c>
      <c r="F39">
        <v>125.26</v>
      </c>
    </row>
    <row r="40" spans="1:6" x14ac:dyDescent="0.25">
      <c r="A40" s="1">
        <v>45716</v>
      </c>
      <c r="B40" s="2" t="s">
        <v>14</v>
      </c>
      <c r="C40" s="2" t="s">
        <v>56</v>
      </c>
      <c r="D40" s="2" t="s">
        <v>32</v>
      </c>
      <c r="E40">
        <v>4</v>
      </c>
      <c r="F40">
        <v>528.4</v>
      </c>
    </row>
    <row r="41" spans="1:6" x14ac:dyDescent="0.25">
      <c r="A41" s="1">
        <v>45717</v>
      </c>
      <c r="B41" s="2" t="s">
        <v>9</v>
      </c>
      <c r="C41" s="2" t="s">
        <v>57</v>
      </c>
      <c r="D41" s="2" t="s">
        <v>58</v>
      </c>
      <c r="E41">
        <v>8</v>
      </c>
      <c r="F41">
        <v>170.16</v>
      </c>
    </row>
    <row r="42" spans="1:6" x14ac:dyDescent="0.25">
      <c r="A42" s="1">
        <v>45718</v>
      </c>
      <c r="B42" s="2" t="s">
        <v>18</v>
      </c>
      <c r="C42" s="2" t="s">
        <v>59</v>
      </c>
      <c r="D42" s="2" t="s">
        <v>58</v>
      </c>
      <c r="E42">
        <v>3</v>
      </c>
      <c r="F42">
        <v>60.9</v>
      </c>
    </row>
    <row r="43" spans="1:6" x14ac:dyDescent="0.25">
      <c r="A43" s="1">
        <v>45718</v>
      </c>
      <c r="B43" s="2" t="s">
        <v>21</v>
      </c>
      <c r="C43" s="2" t="s">
        <v>60</v>
      </c>
      <c r="D43" s="2" t="s">
        <v>8</v>
      </c>
      <c r="E43">
        <v>1</v>
      </c>
      <c r="F43">
        <v>21.24</v>
      </c>
    </row>
    <row r="44" spans="1:6" x14ac:dyDescent="0.25">
      <c r="A44" s="1">
        <v>45719</v>
      </c>
      <c r="B44" s="2" t="s">
        <v>18</v>
      </c>
      <c r="C44" s="2" t="s">
        <v>61</v>
      </c>
      <c r="D44" s="2" t="s">
        <v>11</v>
      </c>
      <c r="E44">
        <v>3</v>
      </c>
      <c r="F44">
        <v>151.62</v>
      </c>
    </row>
    <row r="45" spans="1:6" x14ac:dyDescent="0.25">
      <c r="A45" s="1">
        <v>45720</v>
      </c>
      <c r="B45" s="2" t="s">
        <v>6</v>
      </c>
      <c r="C45" s="2" t="s">
        <v>62</v>
      </c>
      <c r="D45" s="2" t="s">
        <v>11</v>
      </c>
      <c r="E45">
        <v>6</v>
      </c>
      <c r="F45">
        <v>185.64</v>
      </c>
    </row>
    <row r="46" spans="1:6" x14ac:dyDescent="0.25">
      <c r="A46" s="1">
        <v>45722</v>
      </c>
      <c r="B46" s="2" t="s">
        <v>6</v>
      </c>
      <c r="C46" s="2" t="s">
        <v>63</v>
      </c>
      <c r="D46" s="2" t="s">
        <v>37</v>
      </c>
      <c r="E46">
        <v>2</v>
      </c>
      <c r="F46">
        <v>63.5</v>
      </c>
    </row>
    <row r="47" spans="1:6" x14ac:dyDescent="0.25">
      <c r="A47" s="1">
        <v>45723</v>
      </c>
      <c r="B47" s="2" t="s">
        <v>9</v>
      </c>
      <c r="C47" s="2" t="s">
        <v>64</v>
      </c>
      <c r="D47" s="2" t="s">
        <v>40</v>
      </c>
      <c r="E47">
        <v>1</v>
      </c>
      <c r="F47">
        <v>24.79</v>
      </c>
    </row>
    <row r="48" spans="1:6" x14ac:dyDescent="0.25">
      <c r="A48" s="1">
        <v>45727</v>
      </c>
      <c r="B48" s="2" t="s">
        <v>21</v>
      </c>
      <c r="C48" s="2" t="s">
        <v>25</v>
      </c>
      <c r="D48" s="2" t="s">
        <v>8</v>
      </c>
      <c r="E48">
        <v>6</v>
      </c>
      <c r="F48">
        <v>184.26</v>
      </c>
    </row>
    <row r="49" spans="1:6" x14ac:dyDescent="0.25">
      <c r="A49" s="1">
        <v>45729</v>
      </c>
      <c r="B49" s="2" t="s">
        <v>21</v>
      </c>
      <c r="C49" s="2" t="s">
        <v>65</v>
      </c>
      <c r="D49" s="2" t="s">
        <v>29</v>
      </c>
      <c r="E49">
        <v>4</v>
      </c>
      <c r="F49">
        <v>1199.68</v>
      </c>
    </row>
    <row r="50" spans="1:6" x14ac:dyDescent="0.25">
      <c r="A50" s="1">
        <v>45732</v>
      </c>
      <c r="B50" s="2" t="s">
        <v>6</v>
      </c>
      <c r="C50" s="2" t="s">
        <v>39</v>
      </c>
      <c r="D50" s="2" t="s">
        <v>40</v>
      </c>
      <c r="E50">
        <v>6</v>
      </c>
      <c r="F50">
        <v>111.84</v>
      </c>
    </row>
    <row r="51" spans="1:6" x14ac:dyDescent="0.25">
      <c r="A51" s="1">
        <v>45732</v>
      </c>
      <c r="B51" s="2" t="s">
        <v>18</v>
      </c>
      <c r="C51" s="2" t="s">
        <v>66</v>
      </c>
      <c r="D51" s="2" t="s">
        <v>20</v>
      </c>
      <c r="E51">
        <v>2</v>
      </c>
      <c r="F51">
        <v>595.62</v>
      </c>
    </row>
    <row r="52" spans="1:6" x14ac:dyDescent="0.25">
      <c r="A52" s="1">
        <v>45733</v>
      </c>
      <c r="B52" s="2" t="s">
        <v>9</v>
      </c>
      <c r="C52" s="2" t="s">
        <v>35</v>
      </c>
      <c r="D52" s="2" t="s">
        <v>34</v>
      </c>
      <c r="E52">
        <v>1</v>
      </c>
      <c r="F52">
        <v>44.33</v>
      </c>
    </row>
    <row r="53" spans="1:6" x14ac:dyDescent="0.25">
      <c r="A53" s="1">
        <v>45734</v>
      </c>
      <c r="B53" s="2" t="s">
        <v>6</v>
      </c>
      <c r="C53" s="2" t="s">
        <v>67</v>
      </c>
      <c r="D53" s="2" t="s">
        <v>32</v>
      </c>
      <c r="E53">
        <v>5</v>
      </c>
      <c r="F53">
        <v>611.70000000000005</v>
      </c>
    </row>
    <row r="54" spans="1:6" x14ac:dyDescent="0.25">
      <c r="A54" s="1">
        <v>45734</v>
      </c>
      <c r="B54" s="2" t="s">
        <v>14</v>
      </c>
      <c r="C54" s="2" t="s">
        <v>68</v>
      </c>
      <c r="D54" s="2" t="s">
        <v>11</v>
      </c>
      <c r="E54">
        <v>1</v>
      </c>
      <c r="F54">
        <v>71.34</v>
      </c>
    </row>
    <row r="55" spans="1:6" x14ac:dyDescent="0.25">
      <c r="A55" s="1">
        <v>45735</v>
      </c>
      <c r="B55" s="2" t="s">
        <v>21</v>
      </c>
      <c r="C55" s="2" t="s">
        <v>69</v>
      </c>
      <c r="D55" s="2" t="s">
        <v>70</v>
      </c>
      <c r="E55">
        <v>2</v>
      </c>
      <c r="F55">
        <v>41.48</v>
      </c>
    </row>
    <row r="56" spans="1:6" x14ac:dyDescent="0.25">
      <c r="A56" s="1">
        <v>45736</v>
      </c>
      <c r="B56" s="2" t="s">
        <v>14</v>
      </c>
      <c r="C56" s="2" t="s">
        <v>71</v>
      </c>
      <c r="D56" s="2" t="s">
        <v>11</v>
      </c>
      <c r="E56">
        <v>3</v>
      </c>
      <c r="F56">
        <v>170.76</v>
      </c>
    </row>
    <row r="57" spans="1:6" x14ac:dyDescent="0.25">
      <c r="A57" s="1">
        <v>45736</v>
      </c>
      <c r="B57" s="2" t="s">
        <v>21</v>
      </c>
      <c r="C57" s="2" t="s">
        <v>72</v>
      </c>
      <c r="D57" s="2" t="s">
        <v>23</v>
      </c>
      <c r="E57">
        <v>2</v>
      </c>
      <c r="F57">
        <v>361.34</v>
      </c>
    </row>
    <row r="58" spans="1:6" x14ac:dyDescent="0.25">
      <c r="A58" s="1">
        <v>45737</v>
      </c>
      <c r="B58" s="2" t="s">
        <v>21</v>
      </c>
      <c r="C58" s="2" t="s">
        <v>73</v>
      </c>
      <c r="D58" s="2" t="s">
        <v>37</v>
      </c>
      <c r="E58">
        <v>2</v>
      </c>
      <c r="F58">
        <v>85.58</v>
      </c>
    </row>
    <row r="59" spans="1:6" x14ac:dyDescent="0.25">
      <c r="A59" s="1">
        <v>45738</v>
      </c>
      <c r="B59" s="2" t="s">
        <v>21</v>
      </c>
      <c r="C59" s="2" t="s">
        <v>74</v>
      </c>
      <c r="D59" s="2" t="s">
        <v>29</v>
      </c>
      <c r="E59">
        <v>2</v>
      </c>
      <c r="F59">
        <v>773.66</v>
      </c>
    </row>
    <row r="60" spans="1:6" x14ac:dyDescent="0.25">
      <c r="A60" s="1">
        <v>45738</v>
      </c>
      <c r="B60" s="2" t="s">
        <v>9</v>
      </c>
      <c r="C60" s="2" t="s">
        <v>75</v>
      </c>
      <c r="D60" s="2" t="s">
        <v>58</v>
      </c>
      <c r="E60">
        <v>1</v>
      </c>
      <c r="F60">
        <v>23.74</v>
      </c>
    </row>
    <row r="61" spans="1:6" x14ac:dyDescent="0.25">
      <c r="A61" s="1">
        <v>45739</v>
      </c>
      <c r="B61" s="2" t="s">
        <v>14</v>
      </c>
      <c r="C61" s="2" t="s">
        <v>76</v>
      </c>
      <c r="D61" s="2" t="s">
        <v>13</v>
      </c>
      <c r="E61">
        <v>1</v>
      </c>
      <c r="F61">
        <v>44.21</v>
      </c>
    </row>
    <row r="62" spans="1:6" x14ac:dyDescent="0.25">
      <c r="A62" s="1">
        <v>45740</v>
      </c>
      <c r="B62" s="2" t="s">
        <v>9</v>
      </c>
      <c r="C62" s="2" t="s">
        <v>77</v>
      </c>
      <c r="D62" s="2" t="s">
        <v>40</v>
      </c>
      <c r="E62">
        <v>3</v>
      </c>
      <c r="F62">
        <v>63.06</v>
      </c>
    </row>
    <row r="63" spans="1:6" x14ac:dyDescent="0.25">
      <c r="A63" s="1">
        <v>45740</v>
      </c>
      <c r="B63" s="2" t="s">
        <v>21</v>
      </c>
      <c r="C63" s="2" t="s">
        <v>78</v>
      </c>
      <c r="D63" s="2" t="s">
        <v>11</v>
      </c>
      <c r="E63">
        <v>2</v>
      </c>
      <c r="F63">
        <v>118.94</v>
      </c>
    </row>
    <row r="64" spans="1:6" x14ac:dyDescent="0.25">
      <c r="A64" s="1">
        <v>45742</v>
      </c>
      <c r="B64" s="2" t="s">
        <v>21</v>
      </c>
      <c r="C64" s="2" t="s">
        <v>79</v>
      </c>
      <c r="D64" s="2" t="s">
        <v>11</v>
      </c>
      <c r="E64">
        <v>8</v>
      </c>
      <c r="F64">
        <v>544.88</v>
      </c>
    </row>
    <row r="65" spans="1:6" x14ac:dyDescent="0.25">
      <c r="A65" s="1">
        <v>45742</v>
      </c>
      <c r="B65" s="2" t="s">
        <v>21</v>
      </c>
      <c r="C65" s="2" t="s">
        <v>80</v>
      </c>
      <c r="D65" s="2" t="s">
        <v>58</v>
      </c>
      <c r="E65">
        <v>3</v>
      </c>
      <c r="F65">
        <v>82.53</v>
      </c>
    </row>
    <row r="66" spans="1:6" x14ac:dyDescent="0.25">
      <c r="A66" s="1">
        <v>45744</v>
      </c>
      <c r="B66" s="2" t="s">
        <v>21</v>
      </c>
      <c r="C66" s="2" t="s">
        <v>52</v>
      </c>
      <c r="D66" s="2" t="s">
        <v>29</v>
      </c>
      <c r="E66">
        <v>10</v>
      </c>
      <c r="F66">
        <v>2821.2</v>
      </c>
    </row>
    <row r="67" spans="1:6" x14ac:dyDescent="0.25">
      <c r="A67" s="1">
        <v>45744</v>
      </c>
      <c r="B67" s="2" t="s">
        <v>9</v>
      </c>
      <c r="C67" s="2" t="s">
        <v>81</v>
      </c>
      <c r="D67" s="2" t="s">
        <v>23</v>
      </c>
      <c r="E67">
        <v>4</v>
      </c>
      <c r="F67">
        <v>468.52</v>
      </c>
    </row>
    <row r="68" spans="1:6" x14ac:dyDescent="0.25">
      <c r="A68" s="1">
        <v>45745</v>
      </c>
      <c r="B68" s="2" t="s">
        <v>9</v>
      </c>
      <c r="C68" s="2" t="s">
        <v>82</v>
      </c>
      <c r="D68" s="2" t="s">
        <v>27</v>
      </c>
      <c r="E68">
        <v>4</v>
      </c>
      <c r="F68">
        <v>268.8</v>
      </c>
    </row>
    <row r="69" spans="1:6" x14ac:dyDescent="0.25">
      <c r="A69" s="1">
        <v>45745</v>
      </c>
      <c r="B69" s="2" t="s">
        <v>9</v>
      </c>
      <c r="C69" s="2" t="s">
        <v>22</v>
      </c>
      <c r="D69" s="2" t="s">
        <v>70</v>
      </c>
      <c r="E69">
        <v>2</v>
      </c>
      <c r="F69">
        <v>75.66</v>
      </c>
    </row>
    <row r="70" spans="1:6" x14ac:dyDescent="0.25">
      <c r="A70" s="1">
        <v>45746</v>
      </c>
      <c r="B70" s="2" t="s">
        <v>6</v>
      </c>
      <c r="C70" s="2" t="s">
        <v>83</v>
      </c>
      <c r="D70" s="2" t="s">
        <v>34</v>
      </c>
      <c r="E70">
        <v>1</v>
      </c>
      <c r="F70">
        <v>34.32</v>
      </c>
    </row>
    <row r="71" spans="1:6" x14ac:dyDescent="0.25">
      <c r="A71" s="1">
        <v>45747</v>
      </c>
      <c r="B71" s="2" t="s">
        <v>21</v>
      </c>
      <c r="C71" s="2" t="s">
        <v>75</v>
      </c>
      <c r="D71" s="2" t="s">
        <v>8</v>
      </c>
      <c r="E71">
        <v>1</v>
      </c>
      <c r="F71">
        <v>28.75</v>
      </c>
    </row>
    <row r="72" spans="1:6" x14ac:dyDescent="0.25">
      <c r="A72" s="1">
        <v>45747</v>
      </c>
      <c r="B72" s="2" t="s">
        <v>18</v>
      </c>
      <c r="C72" s="2" t="s">
        <v>84</v>
      </c>
      <c r="D72" s="2" t="s">
        <v>20</v>
      </c>
      <c r="E72">
        <v>4</v>
      </c>
      <c r="F72">
        <v>977.24</v>
      </c>
    </row>
    <row r="73" spans="1:6" x14ac:dyDescent="0.25">
      <c r="A73" s="1">
        <v>45747</v>
      </c>
      <c r="B73" s="2" t="s">
        <v>6</v>
      </c>
      <c r="C73" s="2" t="s">
        <v>85</v>
      </c>
      <c r="D73" s="2" t="s">
        <v>70</v>
      </c>
      <c r="E73">
        <v>10</v>
      </c>
      <c r="F73">
        <v>259.2</v>
      </c>
    </row>
    <row r="74" spans="1:6" x14ac:dyDescent="0.25">
      <c r="A74" s="1">
        <v>45749</v>
      </c>
      <c r="B74" s="2" t="s">
        <v>9</v>
      </c>
      <c r="C74" s="2" t="s">
        <v>86</v>
      </c>
      <c r="D74" s="2" t="s">
        <v>51</v>
      </c>
      <c r="E74">
        <v>8</v>
      </c>
      <c r="F74">
        <v>907.12</v>
      </c>
    </row>
    <row r="75" spans="1:6" x14ac:dyDescent="0.25">
      <c r="A75" s="1">
        <v>45750</v>
      </c>
      <c r="B75" s="2" t="s">
        <v>21</v>
      </c>
      <c r="C75" s="2" t="s">
        <v>87</v>
      </c>
      <c r="D75" s="2" t="s">
        <v>8</v>
      </c>
      <c r="E75">
        <v>3</v>
      </c>
      <c r="F75">
        <v>58.17</v>
      </c>
    </row>
    <row r="76" spans="1:6" x14ac:dyDescent="0.25">
      <c r="A76" s="1">
        <v>45751</v>
      </c>
      <c r="B76" s="2" t="s">
        <v>9</v>
      </c>
      <c r="C76" s="2" t="s">
        <v>66</v>
      </c>
      <c r="D76" s="2" t="s">
        <v>11</v>
      </c>
      <c r="E76">
        <v>3</v>
      </c>
      <c r="F76">
        <v>149.85</v>
      </c>
    </row>
    <row r="77" spans="1:6" x14ac:dyDescent="0.25">
      <c r="A77" s="1">
        <v>45753</v>
      </c>
      <c r="B77" s="2" t="s">
        <v>6</v>
      </c>
      <c r="C77" s="2" t="s">
        <v>59</v>
      </c>
      <c r="D77" s="2" t="s">
        <v>11</v>
      </c>
      <c r="E77">
        <v>4</v>
      </c>
      <c r="F77">
        <v>204.72</v>
      </c>
    </row>
    <row r="78" spans="1:6" x14ac:dyDescent="0.25">
      <c r="A78" s="1">
        <v>45753</v>
      </c>
      <c r="B78" s="2" t="s">
        <v>6</v>
      </c>
      <c r="C78" s="2" t="s">
        <v>88</v>
      </c>
      <c r="D78" s="2" t="s">
        <v>8</v>
      </c>
      <c r="E78">
        <v>2</v>
      </c>
      <c r="F78">
        <v>64.739999999999995</v>
      </c>
    </row>
    <row r="79" spans="1:6" x14ac:dyDescent="0.25">
      <c r="A79" s="1">
        <v>45753</v>
      </c>
      <c r="B79" s="2" t="s">
        <v>6</v>
      </c>
      <c r="C79" s="2" t="s">
        <v>89</v>
      </c>
      <c r="D79" s="2" t="s">
        <v>17</v>
      </c>
      <c r="E79">
        <v>1</v>
      </c>
      <c r="F79">
        <v>26.32</v>
      </c>
    </row>
    <row r="80" spans="1:6" x14ac:dyDescent="0.25">
      <c r="A80" s="1">
        <v>45756</v>
      </c>
      <c r="B80" s="2" t="s">
        <v>21</v>
      </c>
      <c r="C80" s="2" t="s">
        <v>90</v>
      </c>
      <c r="D80" s="2" t="s">
        <v>51</v>
      </c>
      <c r="E80">
        <v>1</v>
      </c>
      <c r="F80">
        <v>105.19</v>
      </c>
    </row>
    <row r="81" spans="1:6" x14ac:dyDescent="0.25">
      <c r="A81" s="1">
        <v>45759</v>
      </c>
      <c r="B81" s="2" t="s">
        <v>18</v>
      </c>
      <c r="C81" s="2" t="s">
        <v>91</v>
      </c>
      <c r="D81" s="2" t="s">
        <v>37</v>
      </c>
      <c r="E81">
        <v>6</v>
      </c>
      <c r="F81">
        <v>199.5</v>
      </c>
    </row>
    <row r="82" spans="1:6" x14ac:dyDescent="0.25">
      <c r="A82" s="1">
        <v>45759</v>
      </c>
      <c r="B82" s="2" t="s">
        <v>21</v>
      </c>
      <c r="C82" s="2" t="s">
        <v>92</v>
      </c>
      <c r="D82" s="2" t="s">
        <v>34</v>
      </c>
      <c r="E82">
        <v>1</v>
      </c>
      <c r="F82">
        <v>28.61</v>
      </c>
    </row>
    <row r="83" spans="1:6" x14ac:dyDescent="0.25">
      <c r="A83" s="1">
        <v>45760</v>
      </c>
      <c r="B83" s="2" t="s">
        <v>6</v>
      </c>
      <c r="C83" s="2" t="s">
        <v>80</v>
      </c>
      <c r="D83" s="2" t="s">
        <v>8</v>
      </c>
      <c r="E83">
        <v>2</v>
      </c>
      <c r="F83">
        <v>75.180000000000007</v>
      </c>
    </row>
    <row r="84" spans="1:6" x14ac:dyDescent="0.25">
      <c r="A84" s="1">
        <v>45766</v>
      </c>
      <c r="B84" s="2" t="s">
        <v>21</v>
      </c>
      <c r="C84" s="2" t="s">
        <v>25</v>
      </c>
      <c r="D84" s="2" t="s">
        <v>20</v>
      </c>
      <c r="E84">
        <v>1</v>
      </c>
      <c r="F84">
        <v>195.47</v>
      </c>
    </row>
    <row r="85" spans="1:6" x14ac:dyDescent="0.25">
      <c r="A85" s="1">
        <v>45768</v>
      </c>
      <c r="B85" s="2" t="s">
        <v>6</v>
      </c>
      <c r="C85" s="2" t="s">
        <v>63</v>
      </c>
      <c r="D85" s="2" t="s">
        <v>17</v>
      </c>
      <c r="E85">
        <v>3</v>
      </c>
      <c r="F85">
        <v>48</v>
      </c>
    </row>
    <row r="86" spans="1:6" x14ac:dyDescent="0.25">
      <c r="A86" s="1">
        <v>45768</v>
      </c>
      <c r="B86" s="2" t="s">
        <v>18</v>
      </c>
      <c r="C86" s="2" t="s">
        <v>93</v>
      </c>
      <c r="D86" s="2" t="s">
        <v>58</v>
      </c>
      <c r="E86">
        <v>5</v>
      </c>
      <c r="F86">
        <v>163.4</v>
      </c>
    </row>
    <row r="87" spans="1:6" x14ac:dyDescent="0.25">
      <c r="A87" s="1">
        <v>45768</v>
      </c>
      <c r="B87" s="2" t="s">
        <v>21</v>
      </c>
      <c r="C87" s="2" t="s">
        <v>94</v>
      </c>
      <c r="D87" s="2" t="s">
        <v>27</v>
      </c>
      <c r="E87">
        <v>10</v>
      </c>
      <c r="F87">
        <v>539.29999999999995</v>
      </c>
    </row>
    <row r="88" spans="1:6" x14ac:dyDescent="0.25">
      <c r="A88" s="1">
        <v>45774</v>
      </c>
      <c r="B88" s="2" t="s">
        <v>6</v>
      </c>
      <c r="C88" s="2" t="s">
        <v>85</v>
      </c>
      <c r="D88" s="2" t="s">
        <v>29</v>
      </c>
      <c r="E88">
        <v>1</v>
      </c>
      <c r="F88">
        <v>324.58999999999997</v>
      </c>
    </row>
    <row r="89" spans="1:6" x14ac:dyDescent="0.25">
      <c r="A89" s="1">
        <v>45774</v>
      </c>
      <c r="B89" s="2" t="s">
        <v>9</v>
      </c>
      <c r="C89" s="2" t="s">
        <v>95</v>
      </c>
      <c r="D89" s="2" t="s">
        <v>13</v>
      </c>
      <c r="E89">
        <v>10</v>
      </c>
      <c r="F89">
        <v>372.3</v>
      </c>
    </row>
    <row r="90" spans="1:6" x14ac:dyDescent="0.25">
      <c r="A90" s="1">
        <v>45774</v>
      </c>
      <c r="B90" s="2" t="s">
        <v>21</v>
      </c>
      <c r="C90" s="2" t="s">
        <v>36</v>
      </c>
      <c r="D90" s="2" t="s">
        <v>17</v>
      </c>
      <c r="E90">
        <v>2</v>
      </c>
      <c r="F90">
        <v>43.52</v>
      </c>
    </row>
    <row r="91" spans="1:6" x14ac:dyDescent="0.25">
      <c r="A91" s="1">
        <v>45775</v>
      </c>
      <c r="B91" s="2" t="s">
        <v>18</v>
      </c>
      <c r="C91" s="2" t="s">
        <v>96</v>
      </c>
      <c r="D91" s="2" t="s">
        <v>27</v>
      </c>
      <c r="E91">
        <v>5</v>
      </c>
      <c r="F91">
        <v>206.4</v>
      </c>
    </row>
    <row r="92" spans="1:6" x14ac:dyDescent="0.25">
      <c r="A92" s="1">
        <v>45775</v>
      </c>
      <c r="B92" s="2" t="s">
        <v>9</v>
      </c>
      <c r="C92" s="2" t="s">
        <v>66</v>
      </c>
      <c r="D92" s="2" t="s">
        <v>11</v>
      </c>
      <c r="E92">
        <v>3</v>
      </c>
      <c r="F92">
        <v>221.55</v>
      </c>
    </row>
    <row r="93" spans="1:6" x14ac:dyDescent="0.25">
      <c r="A93" s="1">
        <v>45775</v>
      </c>
      <c r="B93" s="2" t="s">
        <v>6</v>
      </c>
      <c r="C93" s="2" t="s">
        <v>97</v>
      </c>
      <c r="D93" s="2" t="s">
        <v>32</v>
      </c>
      <c r="E93">
        <v>1</v>
      </c>
      <c r="F93">
        <v>132.12</v>
      </c>
    </row>
    <row r="94" spans="1:6" x14ac:dyDescent="0.25">
      <c r="A94" s="1">
        <v>45778</v>
      </c>
      <c r="B94" s="2" t="s">
        <v>6</v>
      </c>
      <c r="C94" s="2" t="s">
        <v>81</v>
      </c>
      <c r="D94" s="2" t="s">
        <v>8</v>
      </c>
      <c r="E94">
        <v>5</v>
      </c>
      <c r="F94">
        <v>162.94999999999999</v>
      </c>
    </row>
    <row r="95" spans="1:6" x14ac:dyDescent="0.25">
      <c r="A95" s="1">
        <v>45779</v>
      </c>
      <c r="B95" s="2" t="s">
        <v>18</v>
      </c>
      <c r="C95" s="2" t="s">
        <v>83</v>
      </c>
      <c r="D95" s="2" t="s">
        <v>11</v>
      </c>
      <c r="E95">
        <v>2</v>
      </c>
      <c r="F95">
        <v>137.44</v>
      </c>
    </row>
    <row r="96" spans="1:6" x14ac:dyDescent="0.25">
      <c r="A96" s="1">
        <v>45780</v>
      </c>
      <c r="B96" s="2" t="s">
        <v>9</v>
      </c>
      <c r="C96" s="2" t="s">
        <v>98</v>
      </c>
      <c r="D96" s="2" t="s">
        <v>13</v>
      </c>
      <c r="E96">
        <v>2</v>
      </c>
      <c r="F96">
        <v>101.7</v>
      </c>
    </row>
    <row r="97" spans="1:6" x14ac:dyDescent="0.25">
      <c r="A97" s="1">
        <v>45781</v>
      </c>
      <c r="B97" s="2" t="s">
        <v>9</v>
      </c>
      <c r="C97" s="2" t="s">
        <v>77</v>
      </c>
      <c r="D97" s="2" t="s">
        <v>32</v>
      </c>
      <c r="E97">
        <v>4</v>
      </c>
      <c r="F97">
        <v>394.2</v>
      </c>
    </row>
    <row r="98" spans="1:6" x14ac:dyDescent="0.25">
      <c r="A98" s="1">
        <v>45782</v>
      </c>
      <c r="B98" s="2" t="s">
        <v>6</v>
      </c>
      <c r="C98" s="2" t="s">
        <v>99</v>
      </c>
      <c r="D98" s="2" t="s">
        <v>70</v>
      </c>
      <c r="E98">
        <v>3</v>
      </c>
      <c r="F98">
        <v>110.07</v>
      </c>
    </row>
    <row r="99" spans="1:6" x14ac:dyDescent="0.25">
      <c r="A99" s="1">
        <v>45782</v>
      </c>
      <c r="B99" s="2" t="s">
        <v>14</v>
      </c>
      <c r="C99" s="2" t="s">
        <v>25</v>
      </c>
      <c r="D99" s="2" t="s">
        <v>11</v>
      </c>
      <c r="E99">
        <v>6</v>
      </c>
      <c r="F99">
        <v>411.96</v>
      </c>
    </row>
    <row r="100" spans="1:6" x14ac:dyDescent="0.25">
      <c r="A100" s="1">
        <v>45783</v>
      </c>
      <c r="B100" s="2" t="s">
        <v>6</v>
      </c>
      <c r="C100" s="2" t="s">
        <v>100</v>
      </c>
      <c r="D100" s="2" t="s">
        <v>29</v>
      </c>
      <c r="E100">
        <v>2</v>
      </c>
      <c r="F100">
        <v>720.86</v>
      </c>
    </row>
    <row r="101" spans="1:6" x14ac:dyDescent="0.25">
      <c r="A101" s="1">
        <v>45785</v>
      </c>
      <c r="B101" s="2" t="s">
        <v>21</v>
      </c>
      <c r="C101" s="2" t="s">
        <v>101</v>
      </c>
      <c r="D101" s="2" t="s">
        <v>40</v>
      </c>
      <c r="E101">
        <v>3</v>
      </c>
      <c r="F101">
        <v>63.45</v>
      </c>
    </row>
    <row r="102" spans="1:6" x14ac:dyDescent="0.25">
      <c r="A102" s="1">
        <v>45787</v>
      </c>
      <c r="B102" s="2" t="s">
        <v>6</v>
      </c>
      <c r="C102" s="2" t="s">
        <v>102</v>
      </c>
      <c r="D102" s="2" t="s">
        <v>17</v>
      </c>
      <c r="E102">
        <v>1</v>
      </c>
      <c r="F102">
        <v>22.33</v>
      </c>
    </row>
    <row r="103" spans="1:6" x14ac:dyDescent="0.25">
      <c r="A103" s="1">
        <v>45787</v>
      </c>
      <c r="B103" s="2" t="s">
        <v>21</v>
      </c>
      <c r="C103" s="2" t="s">
        <v>103</v>
      </c>
      <c r="D103" s="2" t="s">
        <v>8</v>
      </c>
      <c r="E103">
        <v>2</v>
      </c>
      <c r="F103">
        <v>49.04</v>
      </c>
    </row>
    <row r="104" spans="1:6" x14ac:dyDescent="0.25">
      <c r="A104" s="1">
        <v>45788</v>
      </c>
      <c r="B104" s="2" t="s">
        <v>9</v>
      </c>
      <c r="C104" s="2" t="s">
        <v>78</v>
      </c>
      <c r="D104" s="2" t="s">
        <v>58</v>
      </c>
      <c r="E104">
        <v>3</v>
      </c>
      <c r="F104">
        <v>80.52</v>
      </c>
    </row>
    <row r="105" spans="1:6" x14ac:dyDescent="0.25">
      <c r="A105" s="1">
        <v>45788</v>
      </c>
      <c r="B105" s="2" t="s">
        <v>9</v>
      </c>
      <c r="C105" s="2" t="s">
        <v>100</v>
      </c>
      <c r="D105" s="2" t="s">
        <v>29</v>
      </c>
      <c r="E105">
        <v>6</v>
      </c>
      <c r="F105">
        <v>1835.1</v>
      </c>
    </row>
    <row r="106" spans="1:6" x14ac:dyDescent="0.25">
      <c r="A106" s="1">
        <v>45793</v>
      </c>
      <c r="B106" s="2" t="s">
        <v>21</v>
      </c>
      <c r="C106" s="2" t="s">
        <v>104</v>
      </c>
      <c r="D106" s="2" t="s">
        <v>40</v>
      </c>
      <c r="E106">
        <v>2</v>
      </c>
      <c r="F106">
        <v>31.08</v>
      </c>
    </row>
    <row r="107" spans="1:6" x14ac:dyDescent="0.25">
      <c r="A107" s="1">
        <v>45793</v>
      </c>
      <c r="B107" s="2" t="s">
        <v>9</v>
      </c>
      <c r="C107" s="2" t="s">
        <v>105</v>
      </c>
      <c r="D107" s="2" t="s">
        <v>51</v>
      </c>
      <c r="E107">
        <v>4</v>
      </c>
      <c r="F107">
        <v>499.24</v>
      </c>
    </row>
    <row r="108" spans="1:6" x14ac:dyDescent="0.25">
      <c r="A108" s="1">
        <v>45793</v>
      </c>
      <c r="B108" s="2" t="s">
        <v>9</v>
      </c>
      <c r="C108" s="2" t="s">
        <v>39</v>
      </c>
      <c r="D108" s="2" t="s">
        <v>20</v>
      </c>
      <c r="E108">
        <v>5</v>
      </c>
      <c r="F108">
        <v>799.1</v>
      </c>
    </row>
    <row r="109" spans="1:6" x14ac:dyDescent="0.25">
      <c r="A109" s="1">
        <v>45794</v>
      </c>
      <c r="B109" s="2" t="s">
        <v>6</v>
      </c>
      <c r="C109" s="2" t="s">
        <v>79</v>
      </c>
      <c r="D109" s="2" t="s">
        <v>20</v>
      </c>
      <c r="E109">
        <v>8</v>
      </c>
      <c r="F109">
        <v>2544.8000000000002</v>
      </c>
    </row>
    <row r="110" spans="1:6" x14ac:dyDescent="0.25">
      <c r="A110" s="1">
        <v>45795</v>
      </c>
      <c r="B110" s="2" t="s">
        <v>21</v>
      </c>
      <c r="C110" s="2" t="s">
        <v>106</v>
      </c>
      <c r="D110" s="2" t="s">
        <v>40</v>
      </c>
      <c r="E110">
        <v>1</v>
      </c>
      <c r="F110">
        <v>21.14</v>
      </c>
    </row>
    <row r="111" spans="1:6" x14ac:dyDescent="0.25">
      <c r="A111" s="1">
        <v>45795</v>
      </c>
      <c r="B111" s="2" t="s">
        <v>9</v>
      </c>
      <c r="C111" s="2" t="s">
        <v>107</v>
      </c>
      <c r="D111" s="2" t="s">
        <v>37</v>
      </c>
      <c r="E111">
        <v>2</v>
      </c>
      <c r="F111">
        <v>124.7</v>
      </c>
    </row>
    <row r="112" spans="1:6" x14ac:dyDescent="0.25">
      <c r="A112" s="1">
        <v>45796</v>
      </c>
      <c r="B112" s="2" t="s">
        <v>14</v>
      </c>
      <c r="C112" s="2" t="s">
        <v>108</v>
      </c>
      <c r="D112" s="2" t="s">
        <v>34</v>
      </c>
      <c r="E112">
        <v>8</v>
      </c>
      <c r="F112">
        <v>266.8</v>
      </c>
    </row>
    <row r="113" spans="1:6" x14ac:dyDescent="0.25">
      <c r="A113" s="1">
        <v>45797</v>
      </c>
      <c r="B113" s="2" t="s">
        <v>21</v>
      </c>
      <c r="C113" s="2" t="s">
        <v>109</v>
      </c>
      <c r="D113" s="2" t="s">
        <v>23</v>
      </c>
      <c r="E113">
        <v>8</v>
      </c>
      <c r="F113">
        <v>977.12</v>
      </c>
    </row>
    <row r="114" spans="1:6" x14ac:dyDescent="0.25">
      <c r="A114" s="1">
        <v>45798</v>
      </c>
      <c r="B114" s="2" t="s">
        <v>9</v>
      </c>
      <c r="C114" s="2" t="s">
        <v>105</v>
      </c>
      <c r="D114" s="2" t="s">
        <v>11</v>
      </c>
      <c r="E114">
        <v>2</v>
      </c>
      <c r="F114">
        <v>121.46</v>
      </c>
    </row>
    <row r="115" spans="1:6" x14ac:dyDescent="0.25">
      <c r="A115" s="1">
        <v>45798</v>
      </c>
      <c r="B115" s="2" t="s">
        <v>14</v>
      </c>
      <c r="C115" s="2" t="s">
        <v>25</v>
      </c>
      <c r="D115" s="2" t="s">
        <v>13</v>
      </c>
      <c r="E115">
        <v>1</v>
      </c>
      <c r="F115">
        <v>48.44</v>
      </c>
    </row>
    <row r="116" spans="1:6" x14ac:dyDescent="0.25">
      <c r="A116" s="1">
        <v>45799</v>
      </c>
      <c r="B116" s="2" t="s">
        <v>21</v>
      </c>
      <c r="C116" s="2" t="s">
        <v>35</v>
      </c>
      <c r="D116" s="2" t="s">
        <v>29</v>
      </c>
      <c r="E116">
        <v>3</v>
      </c>
      <c r="F116">
        <v>1255.5899999999999</v>
      </c>
    </row>
    <row r="117" spans="1:6" x14ac:dyDescent="0.25">
      <c r="A117" s="1">
        <v>45800</v>
      </c>
      <c r="B117" s="2" t="s">
        <v>18</v>
      </c>
      <c r="C117" s="2" t="s">
        <v>38</v>
      </c>
      <c r="D117" s="2" t="s">
        <v>58</v>
      </c>
      <c r="E117">
        <v>2</v>
      </c>
      <c r="F117">
        <v>52.16</v>
      </c>
    </row>
    <row r="118" spans="1:6" x14ac:dyDescent="0.25">
      <c r="A118" s="1">
        <v>45806</v>
      </c>
      <c r="B118" s="2" t="s">
        <v>18</v>
      </c>
      <c r="C118" s="2" t="s">
        <v>57</v>
      </c>
      <c r="D118" s="2" t="s">
        <v>37</v>
      </c>
      <c r="E118">
        <v>10</v>
      </c>
      <c r="F118">
        <v>369.8</v>
      </c>
    </row>
    <row r="119" spans="1:6" x14ac:dyDescent="0.25">
      <c r="A119" s="1">
        <v>45807</v>
      </c>
      <c r="B119" s="2" t="s">
        <v>18</v>
      </c>
      <c r="C119" s="2" t="s">
        <v>110</v>
      </c>
      <c r="D119" s="2" t="s">
        <v>11</v>
      </c>
      <c r="E119">
        <v>5</v>
      </c>
      <c r="F119">
        <v>312.5</v>
      </c>
    </row>
    <row r="120" spans="1:6" x14ac:dyDescent="0.25">
      <c r="A120" s="1">
        <v>45807</v>
      </c>
      <c r="B120" s="2" t="s">
        <v>14</v>
      </c>
      <c r="C120" s="2" t="s">
        <v>80</v>
      </c>
      <c r="D120" s="2" t="s">
        <v>11</v>
      </c>
      <c r="E120">
        <v>2</v>
      </c>
      <c r="F120">
        <v>96.32</v>
      </c>
    </row>
    <row r="121" spans="1:6" x14ac:dyDescent="0.25">
      <c r="A121" s="1">
        <v>45809</v>
      </c>
      <c r="B121" s="2" t="s">
        <v>6</v>
      </c>
      <c r="C121" s="2" t="s">
        <v>60</v>
      </c>
      <c r="D121" s="2" t="s">
        <v>58</v>
      </c>
      <c r="E121">
        <v>2</v>
      </c>
      <c r="F121">
        <v>44.58</v>
      </c>
    </row>
    <row r="122" spans="1:6" x14ac:dyDescent="0.25">
      <c r="A122" s="1">
        <v>45809</v>
      </c>
      <c r="B122" s="2" t="s">
        <v>18</v>
      </c>
      <c r="C122" s="2" t="s">
        <v>102</v>
      </c>
      <c r="D122" s="2" t="s">
        <v>34</v>
      </c>
      <c r="E122">
        <v>2</v>
      </c>
      <c r="F122">
        <v>51.84</v>
      </c>
    </row>
    <row r="123" spans="1:6" x14ac:dyDescent="0.25">
      <c r="A123" s="1">
        <v>45810</v>
      </c>
      <c r="B123" s="2" t="s">
        <v>9</v>
      </c>
      <c r="C123" s="2" t="s">
        <v>63</v>
      </c>
      <c r="D123" s="2" t="s">
        <v>17</v>
      </c>
      <c r="E123">
        <v>2</v>
      </c>
      <c r="F123">
        <v>44.98</v>
      </c>
    </row>
    <row r="124" spans="1:6" x14ac:dyDescent="0.25">
      <c r="A124" s="1">
        <v>45810</v>
      </c>
      <c r="B124" s="2" t="s">
        <v>21</v>
      </c>
      <c r="C124" s="2" t="s">
        <v>111</v>
      </c>
      <c r="D124" s="2" t="s">
        <v>27</v>
      </c>
      <c r="E124">
        <v>1</v>
      </c>
      <c r="F124">
        <v>48.3</v>
      </c>
    </row>
    <row r="125" spans="1:6" x14ac:dyDescent="0.25">
      <c r="A125" s="1">
        <v>45811</v>
      </c>
      <c r="B125" s="2" t="s">
        <v>21</v>
      </c>
      <c r="C125" s="2" t="s">
        <v>41</v>
      </c>
      <c r="D125" s="2" t="s">
        <v>23</v>
      </c>
      <c r="E125">
        <v>6</v>
      </c>
      <c r="F125">
        <v>675.78</v>
      </c>
    </row>
    <row r="126" spans="1:6" x14ac:dyDescent="0.25">
      <c r="A126" s="1">
        <v>45812</v>
      </c>
      <c r="B126" s="2" t="s">
        <v>14</v>
      </c>
      <c r="C126" s="2" t="s">
        <v>108</v>
      </c>
      <c r="D126" s="2" t="s">
        <v>27</v>
      </c>
      <c r="E126">
        <v>10</v>
      </c>
      <c r="F126">
        <v>849.6</v>
      </c>
    </row>
    <row r="127" spans="1:6" x14ac:dyDescent="0.25">
      <c r="A127" s="1">
        <v>45813</v>
      </c>
      <c r="B127" s="2" t="s">
        <v>6</v>
      </c>
      <c r="C127" s="2" t="s">
        <v>26</v>
      </c>
      <c r="D127" s="2" t="s">
        <v>11</v>
      </c>
      <c r="E127">
        <v>4</v>
      </c>
      <c r="F127">
        <v>270.48</v>
      </c>
    </row>
    <row r="128" spans="1:6" x14ac:dyDescent="0.25">
      <c r="A128" s="1">
        <v>45814</v>
      </c>
      <c r="B128" s="2" t="s">
        <v>18</v>
      </c>
      <c r="C128" s="2" t="s">
        <v>53</v>
      </c>
      <c r="D128" s="2" t="s">
        <v>11</v>
      </c>
      <c r="E128">
        <v>3</v>
      </c>
      <c r="F128">
        <v>129.6</v>
      </c>
    </row>
    <row r="129" spans="1:6" x14ac:dyDescent="0.25">
      <c r="A129" s="1">
        <v>45814</v>
      </c>
      <c r="B129" s="2" t="s">
        <v>6</v>
      </c>
      <c r="C129" s="2" t="s">
        <v>104</v>
      </c>
      <c r="D129" s="2" t="s">
        <v>27</v>
      </c>
      <c r="E129">
        <v>1</v>
      </c>
      <c r="F129">
        <v>44.66</v>
      </c>
    </row>
    <row r="130" spans="1:6" x14ac:dyDescent="0.25">
      <c r="A130" s="1">
        <v>45814</v>
      </c>
      <c r="B130" s="2" t="s">
        <v>14</v>
      </c>
      <c r="C130" s="2" t="s">
        <v>112</v>
      </c>
      <c r="D130" s="2" t="s">
        <v>70</v>
      </c>
      <c r="E130">
        <v>6</v>
      </c>
      <c r="F130">
        <v>194.1</v>
      </c>
    </row>
    <row r="131" spans="1:6" x14ac:dyDescent="0.25">
      <c r="A131" s="1">
        <v>45815</v>
      </c>
      <c r="B131" s="2" t="s">
        <v>6</v>
      </c>
      <c r="C131" s="2" t="s">
        <v>113</v>
      </c>
      <c r="D131" s="2" t="s">
        <v>32</v>
      </c>
      <c r="E131">
        <v>1</v>
      </c>
      <c r="F131">
        <v>68.239999999999995</v>
      </c>
    </row>
    <row r="132" spans="1:6" x14ac:dyDescent="0.25">
      <c r="A132" s="1">
        <v>45815</v>
      </c>
      <c r="B132" s="2" t="s">
        <v>6</v>
      </c>
      <c r="C132" s="2" t="s">
        <v>52</v>
      </c>
      <c r="D132" s="2" t="s">
        <v>27</v>
      </c>
      <c r="E132">
        <v>3</v>
      </c>
      <c r="F132">
        <v>268.62</v>
      </c>
    </row>
    <row r="133" spans="1:6" x14ac:dyDescent="0.25">
      <c r="A133" s="1">
        <v>45817</v>
      </c>
      <c r="B133" s="2" t="s">
        <v>21</v>
      </c>
      <c r="C133" s="2" t="s">
        <v>114</v>
      </c>
      <c r="D133" s="2" t="s">
        <v>23</v>
      </c>
      <c r="E133">
        <v>2</v>
      </c>
      <c r="F133">
        <v>409.64</v>
      </c>
    </row>
    <row r="134" spans="1:6" x14ac:dyDescent="0.25">
      <c r="A134" s="1">
        <v>45819</v>
      </c>
      <c r="B134" s="2" t="s">
        <v>6</v>
      </c>
      <c r="C134" s="2" t="s">
        <v>36</v>
      </c>
      <c r="D134" s="2" t="s">
        <v>8</v>
      </c>
      <c r="E134">
        <v>2</v>
      </c>
      <c r="F134">
        <v>60.58</v>
      </c>
    </row>
    <row r="135" spans="1:6" x14ac:dyDescent="0.25">
      <c r="A135" s="1">
        <v>45819</v>
      </c>
      <c r="B135" s="2" t="s">
        <v>21</v>
      </c>
      <c r="C135" s="2" t="s">
        <v>96</v>
      </c>
      <c r="D135" s="2" t="s">
        <v>8</v>
      </c>
      <c r="E135">
        <v>2</v>
      </c>
      <c r="F135">
        <v>68.84</v>
      </c>
    </row>
    <row r="136" spans="1:6" x14ac:dyDescent="0.25">
      <c r="A136" s="1">
        <v>45819</v>
      </c>
      <c r="B136" s="2" t="s">
        <v>6</v>
      </c>
      <c r="C136" s="2" t="s">
        <v>115</v>
      </c>
      <c r="D136" s="2" t="s">
        <v>20</v>
      </c>
      <c r="E136">
        <v>6</v>
      </c>
      <c r="F136">
        <v>1103.46</v>
      </c>
    </row>
    <row r="137" spans="1:6" x14ac:dyDescent="0.25">
      <c r="A137" s="1">
        <v>45820</v>
      </c>
      <c r="B137" s="2" t="s">
        <v>21</v>
      </c>
      <c r="C137" s="2" t="s">
        <v>31</v>
      </c>
      <c r="D137" s="2" t="s">
        <v>51</v>
      </c>
      <c r="E137">
        <v>3</v>
      </c>
      <c r="F137">
        <v>226.77</v>
      </c>
    </row>
    <row r="138" spans="1:6" x14ac:dyDescent="0.25">
      <c r="A138" s="1">
        <v>45821</v>
      </c>
      <c r="B138" s="2" t="s">
        <v>14</v>
      </c>
      <c r="C138" s="2" t="s">
        <v>111</v>
      </c>
      <c r="D138" s="2" t="s">
        <v>17</v>
      </c>
      <c r="E138">
        <v>5</v>
      </c>
      <c r="F138">
        <v>121.05</v>
      </c>
    </row>
    <row r="139" spans="1:6" x14ac:dyDescent="0.25">
      <c r="A139" s="1">
        <v>45822</v>
      </c>
      <c r="B139" s="2" t="s">
        <v>21</v>
      </c>
      <c r="C139" s="2" t="s">
        <v>116</v>
      </c>
      <c r="D139" s="2" t="s">
        <v>8</v>
      </c>
      <c r="E139">
        <v>3</v>
      </c>
      <c r="F139">
        <v>66.63</v>
      </c>
    </row>
    <row r="140" spans="1:6" x14ac:dyDescent="0.25">
      <c r="A140" s="1">
        <v>45822</v>
      </c>
      <c r="B140" s="2" t="s">
        <v>21</v>
      </c>
      <c r="C140" s="2" t="s">
        <v>108</v>
      </c>
      <c r="D140" s="2" t="s">
        <v>40</v>
      </c>
      <c r="E140">
        <v>4</v>
      </c>
      <c r="F140">
        <v>48.84</v>
      </c>
    </row>
    <row r="141" spans="1:6" x14ac:dyDescent="0.25">
      <c r="A141" s="1">
        <v>45826</v>
      </c>
      <c r="B141" s="2" t="s">
        <v>21</v>
      </c>
      <c r="C141" s="2" t="s">
        <v>117</v>
      </c>
      <c r="D141" s="2" t="s">
        <v>70</v>
      </c>
      <c r="E141">
        <v>2</v>
      </c>
      <c r="F141">
        <v>77.319999999999993</v>
      </c>
    </row>
    <row r="142" spans="1:6" x14ac:dyDescent="0.25">
      <c r="A142" s="1">
        <v>45827</v>
      </c>
      <c r="B142" s="2" t="s">
        <v>6</v>
      </c>
      <c r="C142" s="2" t="s">
        <v>118</v>
      </c>
      <c r="D142" s="2" t="s">
        <v>11</v>
      </c>
      <c r="E142">
        <v>2</v>
      </c>
      <c r="F142">
        <v>124.4</v>
      </c>
    </row>
    <row r="143" spans="1:6" x14ac:dyDescent="0.25">
      <c r="A143" s="1">
        <v>45828</v>
      </c>
      <c r="B143" s="2" t="s">
        <v>6</v>
      </c>
      <c r="C143" s="2" t="s">
        <v>119</v>
      </c>
      <c r="D143" s="2" t="s">
        <v>20</v>
      </c>
      <c r="E143">
        <v>2</v>
      </c>
      <c r="F143">
        <v>593.98</v>
      </c>
    </row>
    <row r="144" spans="1:6" x14ac:dyDescent="0.25">
      <c r="A144" s="1">
        <v>45830</v>
      </c>
      <c r="B144" s="2" t="s">
        <v>6</v>
      </c>
      <c r="C144" s="2" t="s">
        <v>38</v>
      </c>
      <c r="D144" s="2" t="s">
        <v>51</v>
      </c>
      <c r="E144">
        <v>4</v>
      </c>
      <c r="F144">
        <v>307.16000000000003</v>
      </c>
    </row>
    <row r="145" spans="1:6" x14ac:dyDescent="0.25">
      <c r="A145" s="1">
        <v>45832</v>
      </c>
      <c r="B145" s="2" t="s">
        <v>9</v>
      </c>
      <c r="C145" s="2" t="s">
        <v>59</v>
      </c>
      <c r="D145" s="2" t="s">
        <v>34</v>
      </c>
      <c r="E145">
        <v>6</v>
      </c>
      <c r="F145">
        <v>163.62</v>
      </c>
    </row>
    <row r="146" spans="1:6" x14ac:dyDescent="0.25">
      <c r="A146" s="1">
        <v>45834</v>
      </c>
      <c r="B146" s="2" t="s">
        <v>21</v>
      </c>
      <c r="C146" s="2" t="s">
        <v>19</v>
      </c>
      <c r="D146" s="2" t="s">
        <v>29</v>
      </c>
      <c r="E146">
        <v>1</v>
      </c>
      <c r="F146">
        <v>278.3</v>
      </c>
    </row>
    <row r="147" spans="1:6" x14ac:dyDescent="0.25">
      <c r="A147" s="1">
        <v>45835</v>
      </c>
      <c r="B147" s="2" t="s">
        <v>9</v>
      </c>
      <c r="C147" s="2" t="s">
        <v>80</v>
      </c>
      <c r="D147" s="2" t="s">
        <v>20</v>
      </c>
      <c r="E147">
        <v>2</v>
      </c>
      <c r="F147">
        <v>347.7</v>
      </c>
    </row>
    <row r="148" spans="1:6" x14ac:dyDescent="0.25">
      <c r="A148" s="1">
        <v>45836</v>
      </c>
      <c r="B148" s="2" t="s">
        <v>21</v>
      </c>
      <c r="C148" s="2" t="s">
        <v>95</v>
      </c>
      <c r="D148" s="2" t="s">
        <v>13</v>
      </c>
      <c r="E148">
        <v>1</v>
      </c>
      <c r="F148">
        <v>59.48</v>
      </c>
    </row>
    <row r="149" spans="1:6" x14ac:dyDescent="0.25">
      <c r="A149" s="1">
        <v>45837</v>
      </c>
      <c r="B149" s="2" t="s">
        <v>6</v>
      </c>
      <c r="C149" s="2" t="s">
        <v>50</v>
      </c>
      <c r="D149" s="2" t="s">
        <v>29</v>
      </c>
      <c r="E149">
        <v>1</v>
      </c>
      <c r="F149">
        <v>402.87</v>
      </c>
    </row>
    <row r="150" spans="1:6" x14ac:dyDescent="0.25">
      <c r="A150" s="1">
        <v>45837</v>
      </c>
      <c r="B150" s="2" t="s">
        <v>9</v>
      </c>
      <c r="C150" s="2" t="s">
        <v>56</v>
      </c>
      <c r="D150" s="2" t="s">
        <v>17</v>
      </c>
      <c r="E150">
        <v>3</v>
      </c>
      <c r="F150">
        <v>63.84</v>
      </c>
    </row>
    <row r="151" spans="1:6" x14ac:dyDescent="0.25">
      <c r="A151" s="1">
        <v>45837</v>
      </c>
      <c r="B151" s="2" t="s">
        <v>6</v>
      </c>
      <c r="C151" s="2" t="s">
        <v>38</v>
      </c>
      <c r="D151" s="2" t="s">
        <v>58</v>
      </c>
      <c r="E151">
        <v>2</v>
      </c>
      <c r="F151">
        <v>67.66</v>
      </c>
    </row>
    <row r="152" spans="1:6" x14ac:dyDescent="0.25">
      <c r="A152" s="1">
        <v>45842</v>
      </c>
      <c r="B152" s="2" t="s">
        <v>18</v>
      </c>
      <c r="C152" s="2" t="s">
        <v>120</v>
      </c>
      <c r="D152" s="2" t="s">
        <v>27</v>
      </c>
      <c r="E152">
        <v>5</v>
      </c>
      <c r="F152">
        <v>417.7</v>
      </c>
    </row>
    <row r="153" spans="1:6" x14ac:dyDescent="0.25">
      <c r="A153" s="1">
        <v>45842</v>
      </c>
      <c r="B153" s="2" t="s">
        <v>9</v>
      </c>
      <c r="C153" s="2" t="s">
        <v>22</v>
      </c>
      <c r="D153" s="2" t="s">
        <v>32</v>
      </c>
      <c r="E153">
        <v>1</v>
      </c>
      <c r="F153">
        <v>67.209999999999994</v>
      </c>
    </row>
    <row r="154" spans="1:6" x14ac:dyDescent="0.25">
      <c r="A154" s="1">
        <v>45848</v>
      </c>
      <c r="B154" s="2" t="s">
        <v>6</v>
      </c>
      <c r="C154" s="2" t="s">
        <v>69</v>
      </c>
      <c r="D154" s="2" t="s">
        <v>58</v>
      </c>
      <c r="E154">
        <v>8</v>
      </c>
      <c r="F154">
        <v>218.24</v>
      </c>
    </row>
    <row r="155" spans="1:6" x14ac:dyDescent="0.25">
      <c r="A155" s="1">
        <v>45852</v>
      </c>
      <c r="B155" s="2" t="s">
        <v>21</v>
      </c>
      <c r="C155" s="2" t="s">
        <v>118</v>
      </c>
      <c r="D155" s="2" t="s">
        <v>8</v>
      </c>
      <c r="E155">
        <v>3</v>
      </c>
      <c r="F155">
        <v>45.12</v>
      </c>
    </row>
    <row r="156" spans="1:6" x14ac:dyDescent="0.25">
      <c r="A156" s="1">
        <v>45856</v>
      </c>
      <c r="B156" s="2" t="s">
        <v>21</v>
      </c>
      <c r="C156" s="2" t="s">
        <v>121</v>
      </c>
      <c r="D156" s="2" t="s">
        <v>32</v>
      </c>
      <c r="E156">
        <v>1</v>
      </c>
      <c r="F156">
        <v>87.2</v>
      </c>
    </row>
    <row r="157" spans="1:6" x14ac:dyDescent="0.25">
      <c r="A157" s="1">
        <v>45856</v>
      </c>
      <c r="B157" s="2" t="s">
        <v>21</v>
      </c>
      <c r="C157" s="2" t="s">
        <v>61</v>
      </c>
      <c r="D157" s="2" t="s">
        <v>20</v>
      </c>
      <c r="E157">
        <v>10</v>
      </c>
      <c r="F157">
        <v>1979</v>
      </c>
    </row>
    <row r="158" spans="1:6" x14ac:dyDescent="0.25">
      <c r="A158" s="1">
        <v>45860</v>
      </c>
      <c r="B158" s="2" t="s">
        <v>6</v>
      </c>
      <c r="C158" s="2" t="s">
        <v>33</v>
      </c>
      <c r="D158" s="2" t="s">
        <v>11</v>
      </c>
      <c r="E158">
        <v>1</v>
      </c>
      <c r="F158">
        <v>63.76</v>
      </c>
    </row>
    <row r="159" spans="1:6" x14ac:dyDescent="0.25">
      <c r="A159" s="1">
        <v>45861</v>
      </c>
      <c r="B159" s="2" t="s">
        <v>18</v>
      </c>
      <c r="C159" s="2" t="s">
        <v>122</v>
      </c>
      <c r="D159" s="2" t="s">
        <v>58</v>
      </c>
      <c r="E159">
        <v>2</v>
      </c>
      <c r="F159">
        <v>69.36</v>
      </c>
    </row>
    <row r="160" spans="1:6" x14ac:dyDescent="0.25">
      <c r="A160" s="1">
        <v>45862</v>
      </c>
      <c r="B160" s="2" t="s">
        <v>14</v>
      </c>
      <c r="C160" s="2" t="s">
        <v>123</v>
      </c>
      <c r="D160" s="2" t="s">
        <v>40</v>
      </c>
      <c r="E160">
        <v>2</v>
      </c>
      <c r="F160">
        <v>35.46</v>
      </c>
    </row>
    <row r="161" spans="1:6" x14ac:dyDescent="0.25">
      <c r="A161" s="1">
        <v>45865</v>
      </c>
      <c r="B161" s="2" t="s">
        <v>9</v>
      </c>
      <c r="C161" s="2" t="s">
        <v>124</v>
      </c>
      <c r="D161" s="2" t="s">
        <v>34</v>
      </c>
      <c r="E161">
        <v>1</v>
      </c>
      <c r="F161">
        <v>29.84</v>
      </c>
    </row>
    <row r="162" spans="1:6" x14ac:dyDescent="0.25">
      <c r="A162" s="1">
        <v>45866</v>
      </c>
      <c r="B162" s="2" t="s">
        <v>21</v>
      </c>
      <c r="C162" s="2" t="s">
        <v>71</v>
      </c>
      <c r="D162" s="2" t="s">
        <v>20</v>
      </c>
      <c r="E162">
        <v>2</v>
      </c>
      <c r="F162">
        <v>607.82000000000005</v>
      </c>
    </row>
    <row r="163" spans="1:6" x14ac:dyDescent="0.25">
      <c r="A163" s="1">
        <v>45866</v>
      </c>
      <c r="B163" s="2" t="s">
        <v>21</v>
      </c>
      <c r="C163" s="2" t="s">
        <v>103</v>
      </c>
      <c r="D163" s="2" t="s">
        <v>34</v>
      </c>
      <c r="E163">
        <v>2</v>
      </c>
      <c r="F163">
        <v>66.28</v>
      </c>
    </row>
    <row r="164" spans="1:6" x14ac:dyDescent="0.25">
      <c r="A164" s="1">
        <v>45868</v>
      </c>
      <c r="B164" s="2" t="s">
        <v>14</v>
      </c>
      <c r="C164" s="2" t="s">
        <v>42</v>
      </c>
      <c r="D164" s="2" t="s">
        <v>23</v>
      </c>
      <c r="E164">
        <v>2</v>
      </c>
      <c r="F164">
        <v>440.18</v>
      </c>
    </row>
    <row r="165" spans="1:6" x14ac:dyDescent="0.25">
      <c r="A165" s="1">
        <v>45868</v>
      </c>
      <c r="B165" s="2" t="s">
        <v>21</v>
      </c>
      <c r="C165" s="2" t="s">
        <v>53</v>
      </c>
      <c r="D165" s="2" t="s">
        <v>23</v>
      </c>
      <c r="E165">
        <v>1</v>
      </c>
      <c r="F165">
        <v>217.92</v>
      </c>
    </row>
    <row r="166" spans="1:6" x14ac:dyDescent="0.25">
      <c r="A166" s="1">
        <v>45869</v>
      </c>
      <c r="B166" s="2" t="s">
        <v>18</v>
      </c>
      <c r="C166" s="2" t="s">
        <v>64</v>
      </c>
      <c r="D166" s="2" t="s">
        <v>23</v>
      </c>
      <c r="E166">
        <v>2</v>
      </c>
      <c r="F166">
        <v>350.32</v>
      </c>
    </row>
    <row r="167" spans="1:6" x14ac:dyDescent="0.25">
      <c r="A167" s="1">
        <v>45870</v>
      </c>
      <c r="B167" s="2" t="s">
        <v>9</v>
      </c>
      <c r="C167" s="2" t="s">
        <v>111</v>
      </c>
      <c r="D167" s="2" t="s">
        <v>70</v>
      </c>
      <c r="E167">
        <v>8</v>
      </c>
      <c r="F167">
        <v>324.16000000000003</v>
      </c>
    </row>
    <row r="168" spans="1:6" x14ac:dyDescent="0.25">
      <c r="A168" s="1">
        <v>45872</v>
      </c>
      <c r="B168" s="2" t="s">
        <v>6</v>
      </c>
      <c r="C168" s="2" t="s">
        <v>125</v>
      </c>
      <c r="D168" s="2" t="s">
        <v>17</v>
      </c>
      <c r="E168">
        <v>8</v>
      </c>
      <c r="F168">
        <v>105.92</v>
      </c>
    </row>
    <row r="169" spans="1:6" x14ac:dyDescent="0.25">
      <c r="A169" s="1">
        <v>45875</v>
      </c>
      <c r="B169" s="2" t="s">
        <v>21</v>
      </c>
      <c r="C169" s="2" t="s">
        <v>126</v>
      </c>
      <c r="D169" s="2" t="s">
        <v>32</v>
      </c>
      <c r="E169">
        <v>2</v>
      </c>
      <c r="F169">
        <v>278.45999999999998</v>
      </c>
    </row>
    <row r="170" spans="1:6" x14ac:dyDescent="0.25">
      <c r="A170" s="1">
        <v>45877</v>
      </c>
      <c r="B170" s="2" t="s">
        <v>18</v>
      </c>
      <c r="C170" s="2" t="s">
        <v>124</v>
      </c>
      <c r="D170" s="2" t="s">
        <v>37</v>
      </c>
      <c r="E170">
        <v>4</v>
      </c>
      <c r="F170">
        <v>231.4</v>
      </c>
    </row>
    <row r="171" spans="1:6" x14ac:dyDescent="0.25">
      <c r="A171" s="1">
        <v>45880</v>
      </c>
      <c r="B171" s="2" t="s">
        <v>6</v>
      </c>
      <c r="C171" s="2" t="s">
        <v>74</v>
      </c>
      <c r="D171" s="2" t="s">
        <v>13</v>
      </c>
      <c r="E171">
        <v>2</v>
      </c>
      <c r="F171">
        <v>56.96</v>
      </c>
    </row>
    <row r="172" spans="1:6" x14ac:dyDescent="0.25">
      <c r="A172" s="1">
        <v>45881</v>
      </c>
      <c r="B172" s="2" t="s">
        <v>6</v>
      </c>
      <c r="C172" s="2" t="s">
        <v>76</v>
      </c>
      <c r="D172" s="2" t="s">
        <v>70</v>
      </c>
      <c r="E172">
        <v>2</v>
      </c>
      <c r="F172">
        <v>48.38</v>
      </c>
    </row>
    <row r="173" spans="1:6" x14ac:dyDescent="0.25">
      <c r="A173" s="1">
        <v>45881</v>
      </c>
      <c r="B173" s="2" t="s">
        <v>18</v>
      </c>
      <c r="C173" s="2" t="s">
        <v>41</v>
      </c>
      <c r="D173" s="2" t="s">
        <v>51</v>
      </c>
      <c r="E173">
        <v>3</v>
      </c>
      <c r="F173">
        <v>305.07</v>
      </c>
    </row>
    <row r="174" spans="1:6" x14ac:dyDescent="0.25">
      <c r="A174" s="1">
        <v>45881</v>
      </c>
      <c r="B174" s="2" t="s">
        <v>9</v>
      </c>
      <c r="C174" s="2" t="s">
        <v>127</v>
      </c>
      <c r="D174" s="2" t="s">
        <v>58</v>
      </c>
      <c r="E174">
        <v>3</v>
      </c>
      <c r="F174">
        <v>65.67</v>
      </c>
    </row>
    <row r="175" spans="1:6" x14ac:dyDescent="0.25">
      <c r="A175" s="1">
        <v>45883</v>
      </c>
      <c r="B175" s="2" t="s">
        <v>6</v>
      </c>
      <c r="C175" s="2" t="s">
        <v>128</v>
      </c>
      <c r="D175" s="2" t="s">
        <v>37</v>
      </c>
      <c r="E175">
        <v>3</v>
      </c>
      <c r="F175">
        <v>148.29</v>
      </c>
    </row>
    <row r="176" spans="1:6" x14ac:dyDescent="0.25">
      <c r="A176" s="1">
        <v>45883</v>
      </c>
      <c r="B176" s="2" t="s">
        <v>21</v>
      </c>
      <c r="C176" s="2" t="s">
        <v>129</v>
      </c>
      <c r="D176" s="2" t="s">
        <v>37</v>
      </c>
      <c r="E176">
        <v>2</v>
      </c>
      <c r="F176">
        <v>103</v>
      </c>
    </row>
    <row r="177" spans="1:6" x14ac:dyDescent="0.25">
      <c r="A177" s="1">
        <v>45884</v>
      </c>
      <c r="B177" s="2" t="s">
        <v>18</v>
      </c>
      <c r="C177" s="2" t="s">
        <v>45</v>
      </c>
      <c r="D177" s="2" t="s">
        <v>37</v>
      </c>
      <c r="E177">
        <v>4</v>
      </c>
      <c r="F177">
        <v>269.56</v>
      </c>
    </row>
    <row r="178" spans="1:6" x14ac:dyDescent="0.25">
      <c r="A178" s="1">
        <v>45884</v>
      </c>
      <c r="B178" s="2" t="s">
        <v>6</v>
      </c>
      <c r="C178" s="2" t="s">
        <v>130</v>
      </c>
      <c r="D178" s="2" t="s">
        <v>11</v>
      </c>
      <c r="E178">
        <v>3</v>
      </c>
      <c r="F178">
        <v>202.44</v>
      </c>
    </row>
    <row r="179" spans="1:6" x14ac:dyDescent="0.25">
      <c r="A179" s="1">
        <v>45885</v>
      </c>
      <c r="B179" s="2" t="s">
        <v>9</v>
      </c>
      <c r="C179" s="2" t="s">
        <v>54</v>
      </c>
      <c r="D179" s="2" t="s">
        <v>51</v>
      </c>
      <c r="E179">
        <v>5</v>
      </c>
      <c r="F179">
        <v>556.29999999999995</v>
      </c>
    </row>
    <row r="180" spans="1:6" x14ac:dyDescent="0.25">
      <c r="A180" s="1">
        <v>45886</v>
      </c>
      <c r="B180" s="2" t="s">
        <v>14</v>
      </c>
      <c r="C180" s="2" t="s">
        <v>131</v>
      </c>
      <c r="D180" s="2" t="s">
        <v>11</v>
      </c>
      <c r="E180">
        <v>2</v>
      </c>
      <c r="F180">
        <v>80.64</v>
      </c>
    </row>
    <row r="181" spans="1:6" x14ac:dyDescent="0.25">
      <c r="A181" s="1">
        <v>45888</v>
      </c>
      <c r="B181" s="2" t="s">
        <v>21</v>
      </c>
      <c r="C181" s="2" t="s">
        <v>111</v>
      </c>
      <c r="D181" s="2" t="s">
        <v>70</v>
      </c>
      <c r="E181">
        <v>3</v>
      </c>
      <c r="F181">
        <v>128.61000000000001</v>
      </c>
    </row>
    <row r="182" spans="1:6" x14ac:dyDescent="0.25">
      <c r="A182" s="1">
        <v>45889</v>
      </c>
      <c r="B182" s="2" t="s">
        <v>9</v>
      </c>
      <c r="C182" s="2" t="s">
        <v>59</v>
      </c>
      <c r="D182" s="2" t="s">
        <v>20</v>
      </c>
      <c r="E182">
        <v>3</v>
      </c>
      <c r="F182">
        <v>601.65</v>
      </c>
    </row>
    <row r="183" spans="1:6" x14ac:dyDescent="0.25">
      <c r="A183" s="1">
        <v>45889</v>
      </c>
      <c r="B183" s="2" t="s">
        <v>6</v>
      </c>
      <c r="C183" s="2" t="s">
        <v>105</v>
      </c>
      <c r="D183" s="2" t="s">
        <v>27</v>
      </c>
      <c r="E183">
        <v>10</v>
      </c>
      <c r="F183">
        <v>597.29999999999995</v>
      </c>
    </row>
    <row r="184" spans="1:6" x14ac:dyDescent="0.25">
      <c r="A184" s="1">
        <v>45889</v>
      </c>
      <c r="B184" s="2" t="s">
        <v>6</v>
      </c>
      <c r="C184" s="2" t="s">
        <v>122</v>
      </c>
      <c r="D184" s="2" t="s">
        <v>23</v>
      </c>
      <c r="E184">
        <v>6</v>
      </c>
      <c r="F184">
        <v>1336.26</v>
      </c>
    </row>
    <row r="185" spans="1:6" x14ac:dyDescent="0.25">
      <c r="A185" s="1">
        <v>45889</v>
      </c>
      <c r="B185" s="2" t="s">
        <v>21</v>
      </c>
      <c r="C185" s="2" t="s">
        <v>41</v>
      </c>
      <c r="D185" s="2" t="s">
        <v>29</v>
      </c>
      <c r="E185">
        <v>6</v>
      </c>
      <c r="F185">
        <v>2339.4</v>
      </c>
    </row>
    <row r="186" spans="1:6" x14ac:dyDescent="0.25">
      <c r="A186" s="1">
        <v>45893</v>
      </c>
      <c r="B186" s="2" t="s">
        <v>9</v>
      </c>
      <c r="C186" s="2" t="s">
        <v>12</v>
      </c>
      <c r="D186" s="2" t="s">
        <v>13</v>
      </c>
      <c r="E186">
        <v>6</v>
      </c>
      <c r="F186">
        <v>189.9</v>
      </c>
    </row>
    <row r="187" spans="1:6" x14ac:dyDescent="0.25">
      <c r="A187" s="1">
        <v>45893</v>
      </c>
      <c r="B187" s="2" t="s">
        <v>18</v>
      </c>
      <c r="C187" s="2" t="s">
        <v>115</v>
      </c>
      <c r="D187" s="2" t="s">
        <v>37</v>
      </c>
      <c r="E187">
        <v>1</v>
      </c>
      <c r="F187">
        <v>66.97</v>
      </c>
    </row>
    <row r="188" spans="1:6" x14ac:dyDescent="0.25">
      <c r="A188" s="1">
        <v>45894</v>
      </c>
      <c r="B188" s="2" t="s">
        <v>14</v>
      </c>
      <c r="C188" s="2" t="s">
        <v>132</v>
      </c>
      <c r="D188" s="2" t="s">
        <v>58</v>
      </c>
      <c r="E188">
        <v>2</v>
      </c>
      <c r="F188">
        <v>50.22</v>
      </c>
    </row>
    <row r="189" spans="1:6" x14ac:dyDescent="0.25">
      <c r="A189" s="1">
        <v>45896</v>
      </c>
      <c r="B189" s="2" t="s">
        <v>21</v>
      </c>
      <c r="C189" s="2" t="s">
        <v>92</v>
      </c>
      <c r="D189" s="2" t="s">
        <v>70</v>
      </c>
      <c r="E189">
        <v>5</v>
      </c>
      <c r="F189">
        <v>100.35</v>
      </c>
    </row>
    <row r="190" spans="1:6" x14ac:dyDescent="0.25">
      <c r="A190" s="1">
        <v>45897</v>
      </c>
      <c r="B190" s="2" t="s">
        <v>6</v>
      </c>
      <c r="C190" s="2" t="s">
        <v>118</v>
      </c>
      <c r="D190" s="2" t="s">
        <v>32</v>
      </c>
      <c r="E190">
        <v>8</v>
      </c>
      <c r="F190">
        <v>820.56</v>
      </c>
    </row>
    <row r="191" spans="1:6" x14ac:dyDescent="0.25">
      <c r="A191" s="1">
        <v>45897</v>
      </c>
      <c r="B191" s="2" t="s">
        <v>9</v>
      </c>
      <c r="C191" s="2" t="s">
        <v>25</v>
      </c>
      <c r="D191" s="2" t="s">
        <v>37</v>
      </c>
      <c r="E191">
        <v>10</v>
      </c>
      <c r="F191">
        <v>613.70000000000005</v>
      </c>
    </row>
    <row r="192" spans="1:6" x14ac:dyDescent="0.25">
      <c r="A192" s="1">
        <v>45897</v>
      </c>
      <c r="B192" s="2" t="s">
        <v>6</v>
      </c>
      <c r="C192" s="2" t="s">
        <v>100</v>
      </c>
      <c r="D192" s="2" t="s">
        <v>8</v>
      </c>
      <c r="E192">
        <v>1</v>
      </c>
      <c r="F192">
        <v>15.03</v>
      </c>
    </row>
    <row r="193" spans="1:6" x14ac:dyDescent="0.25">
      <c r="A193" s="1">
        <v>45898</v>
      </c>
      <c r="B193" s="2" t="s">
        <v>6</v>
      </c>
      <c r="C193" s="2" t="s">
        <v>85</v>
      </c>
      <c r="D193" s="2" t="s">
        <v>40</v>
      </c>
      <c r="E193">
        <v>5</v>
      </c>
      <c r="F193">
        <v>68.45</v>
      </c>
    </row>
    <row r="194" spans="1:6" x14ac:dyDescent="0.25">
      <c r="A194" s="1">
        <v>45900</v>
      </c>
      <c r="B194" s="2" t="s">
        <v>18</v>
      </c>
      <c r="C194" s="2" t="s">
        <v>112</v>
      </c>
      <c r="D194" s="2" t="s">
        <v>40</v>
      </c>
      <c r="E194">
        <v>3</v>
      </c>
      <c r="F194">
        <v>31.11</v>
      </c>
    </row>
    <row r="195" spans="1:6" x14ac:dyDescent="0.25">
      <c r="A195" s="1">
        <v>45901</v>
      </c>
      <c r="B195" s="2" t="s">
        <v>6</v>
      </c>
      <c r="C195" s="2" t="s">
        <v>114</v>
      </c>
      <c r="D195" s="2" t="s">
        <v>70</v>
      </c>
      <c r="E195">
        <v>8</v>
      </c>
      <c r="F195">
        <v>316.8</v>
      </c>
    </row>
    <row r="196" spans="1:6" x14ac:dyDescent="0.25">
      <c r="A196" s="1">
        <v>45902</v>
      </c>
      <c r="B196" s="2" t="s">
        <v>21</v>
      </c>
      <c r="C196" s="2" t="s">
        <v>69</v>
      </c>
      <c r="D196" s="2" t="s">
        <v>34</v>
      </c>
      <c r="E196">
        <v>6</v>
      </c>
      <c r="F196">
        <v>236.22</v>
      </c>
    </row>
    <row r="197" spans="1:6" x14ac:dyDescent="0.25">
      <c r="A197" s="1">
        <v>45902</v>
      </c>
      <c r="B197" s="2" t="s">
        <v>18</v>
      </c>
      <c r="C197" s="2" t="s">
        <v>115</v>
      </c>
      <c r="D197" s="2" t="s">
        <v>29</v>
      </c>
      <c r="E197">
        <v>1</v>
      </c>
      <c r="F197">
        <v>340.99</v>
      </c>
    </row>
    <row r="198" spans="1:6" x14ac:dyDescent="0.25">
      <c r="A198" s="1">
        <v>45902</v>
      </c>
      <c r="B198" s="2" t="s">
        <v>21</v>
      </c>
      <c r="C198" s="2" t="s">
        <v>106</v>
      </c>
      <c r="D198" s="2" t="s">
        <v>34</v>
      </c>
      <c r="E198">
        <v>2</v>
      </c>
      <c r="F198">
        <v>81.599999999999994</v>
      </c>
    </row>
    <row r="199" spans="1:6" x14ac:dyDescent="0.25">
      <c r="A199" s="1">
        <v>45903</v>
      </c>
      <c r="B199" s="2" t="s">
        <v>18</v>
      </c>
      <c r="C199" s="2" t="s">
        <v>133</v>
      </c>
      <c r="D199" s="2" t="s">
        <v>34</v>
      </c>
      <c r="E199">
        <v>1</v>
      </c>
      <c r="F199">
        <v>32.26</v>
      </c>
    </row>
    <row r="200" spans="1:6" x14ac:dyDescent="0.25">
      <c r="A200" s="1">
        <v>45904</v>
      </c>
      <c r="B200" s="2" t="s">
        <v>6</v>
      </c>
      <c r="C200" s="2" t="s">
        <v>111</v>
      </c>
      <c r="D200" s="2" t="s">
        <v>13</v>
      </c>
      <c r="E200">
        <v>3</v>
      </c>
      <c r="F200">
        <v>141.99</v>
      </c>
    </row>
    <row r="201" spans="1:6" x14ac:dyDescent="0.25">
      <c r="A201" s="1">
        <v>45904</v>
      </c>
      <c r="B201" s="2" t="s">
        <v>18</v>
      </c>
      <c r="C201" s="2" t="s">
        <v>12</v>
      </c>
      <c r="D201" s="2" t="s">
        <v>58</v>
      </c>
      <c r="E201">
        <v>1</v>
      </c>
      <c r="F201">
        <v>20.63</v>
      </c>
    </row>
    <row r="202" spans="1:6" x14ac:dyDescent="0.25">
      <c r="A202" s="1">
        <v>45904</v>
      </c>
      <c r="B202" s="2" t="s">
        <v>18</v>
      </c>
      <c r="C202" s="2" t="s">
        <v>134</v>
      </c>
      <c r="D202" s="2" t="s">
        <v>37</v>
      </c>
      <c r="E202">
        <v>2</v>
      </c>
      <c r="F202">
        <v>81.38</v>
      </c>
    </row>
    <row r="203" spans="1:6" x14ac:dyDescent="0.25">
      <c r="A203" s="1">
        <v>45906</v>
      </c>
      <c r="B203" s="2" t="s">
        <v>14</v>
      </c>
      <c r="C203" s="2" t="s">
        <v>46</v>
      </c>
      <c r="D203" s="2" t="s">
        <v>17</v>
      </c>
      <c r="E203">
        <v>6</v>
      </c>
      <c r="F203">
        <v>136.86000000000001</v>
      </c>
    </row>
    <row r="204" spans="1:6" x14ac:dyDescent="0.25">
      <c r="A204" s="1">
        <v>45906</v>
      </c>
      <c r="B204" s="2" t="s">
        <v>21</v>
      </c>
      <c r="C204" s="2" t="s">
        <v>26</v>
      </c>
      <c r="D204" s="2" t="s">
        <v>32</v>
      </c>
      <c r="E204">
        <v>6</v>
      </c>
      <c r="F204">
        <v>402.72</v>
      </c>
    </row>
    <row r="205" spans="1:6" x14ac:dyDescent="0.25">
      <c r="A205" s="1">
        <v>45907</v>
      </c>
      <c r="B205" s="2" t="s">
        <v>21</v>
      </c>
      <c r="C205" s="2" t="s">
        <v>94</v>
      </c>
      <c r="D205" s="2" t="s">
        <v>20</v>
      </c>
      <c r="E205">
        <v>4</v>
      </c>
      <c r="F205">
        <v>961.04</v>
      </c>
    </row>
    <row r="206" spans="1:6" x14ac:dyDescent="0.25">
      <c r="A206" s="1">
        <v>45907</v>
      </c>
      <c r="B206" s="2" t="s">
        <v>6</v>
      </c>
      <c r="C206" s="2" t="s">
        <v>92</v>
      </c>
      <c r="D206" s="2" t="s">
        <v>11</v>
      </c>
      <c r="E206">
        <v>2</v>
      </c>
      <c r="F206">
        <v>151.4</v>
      </c>
    </row>
    <row r="207" spans="1:6" x14ac:dyDescent="0.25">
      <c r="A207" s="1">
        <v>45907</v>
      </c>
      <c r="B207" s="2" t="s">
        <v>9</v>
      </c>
      <c r="C207" s="2" t="s">
        <v>120</v>
      </c>
      <c r="D207" s="2" t="s">
        <v>51</v>
      </c>
      <c r="E207">
        <v>1</v>
      </c>
      <c r="F207">
        <v>89.86</v>
      </c>
    </row>
    <row r="208" spans="1:6" x14ac:dyDescent="0.25">
      <c r="A208" s="1">
        <v>45911</v>
      </c>
      <c r="B208" s="2" t="s">
        <v>18</v>
      </c>
      <c r="C208" s="2" t="s">
        <v>83</v>
      </c>
      <c r="D208" s="2" t="s">
        <v>58</v>
      </c>
      <c r="E208">
        <v>2</v>
      </c>
      <c r="F208">
        <v>67.819999999999993</v>
      </c>
    </row>
    <row r="209" spans="1:6" x14ac:dyDescent="0.25">
      <c r="A209" s="1">
        <v>45911</v>
      </c>
      <c r="B209" s="2" t="s">
        <v>21</v>
      </c>
      <c r="C209" s="2" t="s">
        <v>129</v>
      </c>
      <c r="D209" s="2" t="s">
        <v>20</v>
      </c>
      <c r="E209">
        <v>2</v>
      </c>
      <c r="F209">
        <v>418.52</v>
      </c>
    </row>
    <row r="210" spans="1:6" x14ac:dyDescent="0.25">
      <c r="A210" s="1">
        <v>45912</v>
      </c>
      <c r="B210" s="2" t="s">
        <v>14</v>
      </c>
      <c r="C210" s="2" t="s">
        <v>126</v>
      </c>
      <c r="D210" s="2" t="s">
        <v>11</v>
      </c>
      <c r="E210">
        <v>2</v>
      </c>
      <c r="F210">
        <v>99.14</v>
      </c>
    </row>
    <row r="211" spans="1:6" x14ac:dyDescent="0.25">
      <c r="A211" s="1">
        <v>45913</v>
      </c>
      <c r="B211" s="2" t="s">
        <v>14</v>
      </c>
      <c r="C211" s="2" t="s">
        <v>122</v>
      </c>
      <c r="D211" s="2" t="s">
        <v>8</v>
      </c>
      <c r="E211">
        <v>1</v>
      </c>
      <c r="F211">
        <v>27.48</v>
      </c>
    </row>
    <row r="212" spans="1:6" x14ac:dyDescent="0.25">
      <c r="A212" s="1">
        <v>45914</v>
      </c>
      <c r="B212" s="2" t="s">
        <v>14</v>
      </c>
      <c r="C212" s="2" t="s">
        <v>100</v>
      </c>
      <c r="D212" s="2" t="s">
        <v>13</v>
      </c>
      <c r="E212">
        <v>6</v>
      </c>
      <c r="F212">
        <v>325.56</v>
      </c>
    </row>
    <row r="213" spans="1:6" x14ac:dyDescent="0.25">
      <c r="A213" s="1">
        <v>45914</v>
      </c>
      <c r="B213" s="2" t="s">
        <v>18</v>
      </c>
      <c r="C213" s="2" t="s">
        <v>83</v>
      </c>
      <c r="D213" s="2" t="s">
        <v>40</v>
      </c>
      <c r="E213">
        <v>6</v>
      </c>
      <c r="F213">
        <v>118.2</v>
      </c>
    </row>
    <row r="214" spans="1:6" x14ac:dyDescent="0.25">
      <c r="A214" s="1">
        <v>45914</v>
      </c>
      <c r="B214" s="2" t="s">
        <v>18</v>
      </c>
      <c r="C214" s="2" t="s">
        <v>135</v>
      </c>
      <c r="D214" s="2" t="s">
        <v>34</v>
      </c>
      <c r="E214">
        <v>6</v>
      </c>
      <c r="F214">
        <v>174.48</v>
      </c>
    </row>
    <row r="215" spans="1:6" x14ac:dyDescent="0.25">
      <c r="A215" s="1">
        <v>45916</v>
      </c>
      <c r="B215" s="2" t="s">
        <v>6</v>
      </c>
      <c r="C215" s="2" t="s">
        <v>106</v>
      </c>
      <c r="D215" s="2" t="s">
        <v>17</v>
      </c>
      <c r="E215">
        <v>1</v>
      </c>
      <c r="F215">
        <v>19.21</v>
      </c>
    </row>
    <row r="216" spans="1:6" x14ac:dyDescent="0.25">
      <c r="A216" s="1">
        <v>45919</v>
      </c>
      <c r="B216" s="2" t="s">
        <v>21</v>
      </c>
      <c r="C216" s="2" t="s">
        <v>87</v>
      </c>
      <c r="D216" s="2" t="s">
        <v>27</v>
      </c>
      <c r="E216">
        <v>1</v>
      </c>
      <c r="F216">
        <v>64.87</v>
      </c>
    </row>
    <row r="217" spans="1:6" x14ac:dyDescent="0.25">
      <c r="A217" s="1">
        <v>45924</v>
      </c>
      <c r="B217" s="2" t="s">
        <v>6</v>
      </c>
      <c r="C217" s="2" t="s">
        <v>87</v>
      </c>
      <c r="D217" s="2" t="s">
        <v>13</v>
      </c>
      <c r="E217">
        <v>3</v>
      </c>
      <c r="F217">
        <v>109.32</v>
      </c>
    </row>
    <row r="218" spans="1:6" x14ac:dyDescent="0.25">
      <c r="A218" s="1">
        <v>45925</v>
      </c>
      <c r="B218" s="2" t="s">
        <v>21</v>
      </c>
      <c r="C218" s="2" t="s">
        <v>73</v>
      </c>
      <c r="D218" s="2" t="s">
        <v>58</v>
      </c>
      <c r="E218">
        <v>6</v>
      </c>
      <c r="F218">
        <v>104.16</v>
      </c>
    </row>
    <row r="219" spans="1:6" x14ac:dyDescent="0.25">
      <c r="A219" s="1">
        <v>45926</v>
      </c>
      <c r="B219" s="2" t="s">
        <v>9</v>
      </c>
      <c r="C219" s="2" t="s">
        <v>59</v>
      </c>
      <c r="D219" s="2" t="s">
        <v>17</v>
      </c>
      <c r="E219">
        <v>6</v>
      </c>
      <c r="F219">
        <v>173.58</v>
      </c>
    </row>
    <row r="220" spans="1:6" x14ac:dyDescent="0.25">
      <c r="A220" s="1">
        <v>45926</v>
      </c>
      <c r="B220" s="2" t="s">
        <v>6</v>
      </c>
      <c r="C220" s="2" t="s">
        <v>110</v>
      </c>
      <c r="D220" s="2" t="s">
        <v>29</v>
      </c>
      <c r="E220">
        <v>2</v>
      </c>
      <c r="F220">
        <v>698.48</v>
      </c>
    </row>
    <row r="221" spans="1:6" x14ac:dyDescent="0.25">
      <c r="A221" s="1">
        <v>45928</v>
      </c>
      <c r="B221" s="2" t="s">
        <v>9</v>
      </c>
      <c r="C221" s="2" t="s">
        <v>136</v>
      </c>
      <c r="D221" s="2" t="s">
        <v>20</v>
      </c>
      <c r="E221">
        <v>2</v>
      </c>
      <c r="F221">
        <v>528.76</v>
      </c>
    </row>
    <row r="222" spans="1:6" x14ac:dyDescent="0.25">
      <c r="A222" s="1">
        <v>45928</v>
      </c>
      <c r="B222" s="2" t="s">
        <v>21</v>
      </c>
      <c r="C222" s="2" t="s">
        <v>56</v>
      </c>
      <c r="D222" s="2" t="s">
        <v>32</v>
      </c>
      <c r="E222">
        <v>1</v>
      </c>
      <c r="F222">
        <v>96.05</v>
      </c>
    </row>
    <row r="223" spans="1:6" x14ac:dyDescent="0.25">
      <c r="A223" s="1">
        <v>45928</v>
      </c>
      <c r="B223" s="2" t="s">
        <v>9</v>
      </c>
      <c r="C223" s="2" t="s">
        <v>117</v>
      </c>
      <c r="D223" s="2" t="s">
        <v>13</v>
      </c>
      <c r="E223">
        <v>2</v>
      </c>
      <c r="F223">
        <v>69.540000000000006</v>
      </c>
    </row>
    <row r="224" spans="1:6" x14ac:dyDescent="0.25">
      <c r="A224" s="1">
        <v>45929</v>
      </c>
      <c r="B224" s="2" t="s">
        <v>14</v>
      </c>
      <c r="C224" s="2" t="s">
        <v>30</v>
      </c>
      <c r="D224" s="2" t="s">
        <v>23</v>
      </c>
      <c r="E224">
        <v>3</v>
      </c>
      <c r="F224">
        <v>435.93</v>
      </c>
    </row>
    <row r="225" spans="1:6" x14ac:dyDescent="0.25">
      <c r="A225" s="1">
        <v>45931</v>
      </c>
      <c r="B225" s="2" t="s">
        <v>14</v>
      </c>
      <c r="C225" s="2" t="s">
        <v>137</v>
      </c>
      <c r="D225" s="2" t="s">
        <v>37</v>
      </c>
      <c r="E225">
        <v>8</v>
      </c>
      <c r="F225">
        <v>484</v>
      </c>
    </row>
    <row r="226" spans="1:6" x14ac:dyDescent="0.25">
      <c r="A226" s="1">
        <v>45931</v>
      </c>
      <c r="B226" s="2" t="s">
        <v>21</v>
      </c>
      <c r="C226" s="2" t="s">
        <v>46</v>
      </c>
      <c r="D226" s="2" t="s">
        <v>23</v>
      </c>
      <c r="E226">
        <v>8</v>
      </c>
      <c r="F226">
        <v>1453.28</v>
      </c>
    </row>
    <row r="227" spans="1:6" x14ac:dyDescent="0.25">
      <c r="A227" s="1">
        <v>45931</v>
      </c>
      <c r="B227" s="2" t="s">
        <v>9</v>
      </c>
      <c r="C227" s="2" t="s">
        <v>83</v>
      </c>
      <c r="D227" s="2" t="s">
        <v>34</v>
      </c>
      <c r="E227">
        <v>10</v>
      </c>
      <c r="F227">
        <v>435.7</v>
      </c>
    </row>
    <row r="228" spans="1:6" x14ac:dyDescent="0.25">
      <c r="A228" s="1">
        <v>45932</v>
      </c>
      <c r="B228" s="2" t="s">
        <v>21</v>
      </c>
      <c r="C228" s="2" t="s">
        <v>81</v>
      </c>
      <c r="D228" s="2" t="s">
        <v>17</v>
      </c>
      <c r="E228">
        <v>1</v>
      </c>
      <c r="F228">
        <v>17.02</v>
      </c>
    </row>
    <row r="229" spans="1:6" x14ac:dyDescent="0.25">
      <c r="A229" s="1">
        <v>45933</v>
      </c>
      <c r="B229" s="2" t="s">
        <v>6</v>
      </c>
      <c r="C229" s="2" t="s">
        <v>52</v>
      </c>
      <c r="D229" s="2" t="s">
        <v>20</v>
      </c>
      <c r="E229">
        <v>1</v>
      </c>
      <c r="F229">
        <v>257.72000000000003</v>
      </c>
    </row>
    <row r="230" spans="1:6" x14ac:dyDescent="0.25">
      <c r="A230" s="1">
        <v>45934</v>
      </c>
      <c r="B230" s="2" t="s">
        <v>9</v>
      </c>
      <c r="C230" s="2" t="s">
        <v>124</v>
      </c>
      <c r="D230" s="2" t="s">
        <v>70</v>
      </c>
      <c r="E230">
        <v>3</v>
      </c>
      <c r="F230">
        <v>94.86</v>
      </c>
    </row>
    <row r="231" spans="1:6" x14ac:dyDescent="0.25">
      <c r="A231" s="1">
        <v>45937</v>
      </c>
      <c r="B231" s="2" t="s">
        <v>6</v>
      </c>
      <c r="C231" s="2" t="s">
        <v>138</v>
      </c>
      <c r="D231" s="2" t="s">
        <v>13</v>
      </c>
      <c r="E231">
        <v>2</v>
      </c>
      <c r="F231">
        <v>88.72</v>
      </c>
    </row>
    <row r="232" spans="1:6" x14ac:dyDescent="0.25">
      <c r="A232" s="1">
        <v>45938</v>
      </c>
      <c r="B232" s="2" t="s">
        <v>21</v>
      </c>
      <c r="C232" s="2" t="s">
        <v>136</v>
      </c>
      <c r="D232" s="2" t="s">
        <v>23</v>
      </c>
      <c r="E232">
        <v>6</v>
      </c>
      <c r="F232">
        <v>1061.46</v>
      </c>
    </row>
    <row r="233" spans="1:6" x14ac:dyDescent="0.25">
      <c r="A233" s="1">
        <v>45939</v>
      </c>
      <c r="B233" s="2" t="s">
        <v>9</v>
      </c>
      <c r="C233" s="2" t="s">
        <v>139</v>
      </c>
      <c r="D233" s="2" t="s">
        <v>58</v>
      </c>
      <c r="E233">
        <v>4</v>
      </c>
      <c r="F233">
        <v>125.04</v>
      </c>
    </row>
    <row r="234" spans="1:6" x14ac:dyDescent="0.25">
      <c r="A234" s="1">
        <v>45940</v>
      </c>
      <c r="B234" s="2" t="s">
        <v>9</v>
      </c>
      <c r="C234" s="2" t="s">
        <v>140</v>
      </c>
      <c r="D234" s="2" t="s">
        <v>51</v>
      </c>
      <c r="E234">
        <v>2</v>
      </c>
      <c r="F234">
        <v>150.28</v>
      </c>
    </row>
    <row r="235" spans="1:6" x14ac:dyDescent="0.25">
      <c r="A235" s="1">
        <v>45940</v>
      </c>
      <c r="B235" s="2" t="s">
        <v>18</v>
      </c>
      <c r="C235" s="2" t="s">
        <v>141</v>
      </c>
      <c r="D235" s="2" t="s">
        <v>58</v>
      </c>
      <c r="E235">
        <v>10</v>
      </c>
      <c r="F235">
        <v>282</v>
      </c>
    </row>
    <row r="236" spans="1:6" x14ac:dyDescent="0.25">
      <c r="A236" s="1">
        <v>45941</v>
      </c>
      <c r="B236" s="2" t="s">
        <v>9</v>
      </c>
      <c r="C236" s="2" t="s">
        <v>119</v>
      </c>
      <c r="D236" s="2" t="s">
        <v>29</v>
      </c>
      <c r="E236">
        <v>2</v>
      </c>
      <c r="F236">
        <v>537.29999999999995</v>
      </c>
    </row>
    <row r="237" spans="1:6" x14ac:dyDescent="0.25">
      <c r="A237" s="1">
        <v>45941</v>
      </c>
      <c r="B237" s="2" t="s">
        <v>9</v>
      </c>
      <c r="C237" s="2" t="s">
        <v>134</v>
      </c>
      <c r="D237" s="2" t="s">
        <v>23</v>
      </c>
      <c r="E237">
        <v>2</v>
      </c>
      <c r="F237">
        <v>493.76</v>
      </c>
    </row>
    <row r="238" spans="1:6" x14ac:dyDescent="0.25">
      <c r="A238" s="1">
        <v>45942</v>
      </c>
      <c r="B238" s="2" t="s">
        <v>18</v>
      </c>
      <c r="C238" s="2" t="s">
        <v>101</v>
      </c>
      <c r="D238" s="2" t="s">
        <v>29</v>
      </c>
      <c r="E238">
        <v>3</v>
      </c>
      <c r="F238">
        <v>1326.78</v>
      </c>
    </row>
    <row r="239" spans="1:6" x14ac:dyDescent="0.25">
      <c r="A239" s="1">
        <v>45945</v>
      </c>
      <c r="B239" s="2" t="s">
        <v>9</v>
      </c>
      <c r="C239" s="2" t="s">
        <v>129</v>
      </c>
      <c r="D239" s="2" t="s">
        <v>34</v>
      </c>
      <c r="E239">
        <v>2</v>
      </c>
      <c r="F239">
        <v>40.94</v>
      </c>
    </row>
    <row r="240" spans="1:6" x14ac:dyDescent="0.25">
      <c r="A240" s="1">
        <v>45950</v>
      </c>
      <c r="B240" s="2" t="s">
        <v>21</v>
      </c>
      <c r="C240" s="2" t="s">
        <v>142</v>
      </c>
      <c r="D240" s="2" t="s">
        <v>17</v>
      </c>
      <c r="E240">
        <v>6</v>
      </c>
      <c r="F240">
        <v>107.82</v>
      </c>
    </row>
    <row r="241" spans="1:6" x14ac:dyDescent="0.25">
      <c r="A241" s="1">
        <v>45952</v>
      </c>
      <c r="B241" s="2" t="s">
        <v>18</v>
      </c>
      <c r="C241" s="2" t="s">
        <v>100</v>
      </c>
      <c r="D241" s="2" t="s">
        <v>11</v>
      </c>
      <c r="E241">
        <v>1</v>
      </c>
      <c r="F241">
        <v>66.819999999999993</v>
      </c>
    </row>
    <row r="242" spans="1:6" x14ac:dyDescent="0.25">
      <c r="A242" s="1">
        <v>45952</v>
      </c>
      <c r="B242" s="2" t="s">
        <v>9</v>
      </c>
      <c r="C242" s="2" t="s">
        <v>143</v>
      </c>
      <c r="D242" s="2" t="s">
        <v>27</v>
      </c>
      <c r="E242">
        <v>3</v>
      </c>
      <c r="F242">
        <v>261.77999999999997</v>
      </c>
    </row>
    <row r="243" spans="1:6" x14ac:dyDescent="0.25">
      <c r="A243" s="1">
        <v>45952</v>
      </c>
      <c r="B243" s="2" t="s">
        <v>21</v>
      </c>
      <c r="C243" s="2" t="s">
        <v>139</v>
      </c>
      <c r="D243" s="2" t="s">
        <v>29</v>
      </c>
      <c r="E243">
        <v>1</v>
      </c>
      <c r="F243">
        <v>426.98</v>
      </c>
    </row>
    <row r="244" spans="1:6" x14ac:dyDescent="0.25">
      <c r="A244" s="1">
        <v>45954</v>
      </c>
      <c r="B244" s="2" t="s">
        <v>14</v>
      </c>
      <c r="C244" s="2" t="s">
        <v>140</v>
      </c>
      <c r="D244" s="2" t="s">
        <v>37</v>
      </c>
      <c r="E244">
        <v>5</v>
      </c>
      <c r="F244">
        <v>270.55</v>
      </c>
    </row>
    <row r="245" spans="1:6" x14ac:dyDescent="0.25">
      <c r="A245" s="1">
        <v>45955</v>
      </c>
      <c r="B245" s="2" t="s">
        <v>21</v>
      </c>
      <c r="C245" s="2" t="s">
        <v>143</v>
      </c>
      <c r="D245" s="2" t="s">
        <v>8</v>
      </c>
      <c r="E245">
        <v>8</v>
      </c>
      <c r="F245">
        <v>305.44</v>
      </c>
    </row>
    <row r="246" spans="1:6" x14ac:dyDescent="0.25">
      <c r="A246" s="1">
        <v>45956</v>
      </c>
      <c r="B246" s="2" t="s">
        <v>9</v>
      </c>
      <c r="C246" s="2" t="s">
        <v>49</v>
      </c>
      <c r="D246" s="2" t="s">
        <v>11</v>
      </c>
      <c r="E246">
        <v>3</v>
      </c>
      <c r="F246">
        <v>236.73</v>
      </c>
    </row>
    <row r="247" spans="1:6" x14ac:dyDescent="0.25">
      <c r="A247" s="1">
        <v>45960</v>
      </c>
      <c r="B247" s="2" t="s">
        <v>9</v>
      </c>
      <c r="C247" s="2" t="s">
        <v>60</v>
      </c>
      <c r="D247" s="2" t="s">
        <v>13</v>
      </c>
      <c r="E247">
        <v>3</v>
      </c>
      <c r="F247">
        <v>144.81</v>
      </c>
    </row>
    <row r="248" spans="1:6" x14ac:dyDescent="0.25">
      <c r="A248" s="1">
        <v>45960</v>
      </c>
      <c r="B248" s="2" t="s">
        <v>14</v>
      </c>
      <c r="C248" s="2" t="s">
        <v>69</v>
      </c>
      <c r="D248" s="2" t="s">
        <v>37</v>
      </c>
      <c r="E248">
        <v>1</v>
      </c>
      <c r="F248">
        <v>52.64</v>
      </c>
    </row>
    <row r="249" spans="1:6" x14ac:dyDescent="0.25">
      <c r="A249" s="1">
        <v>45960</v>
      </c>
      <c r="B249" s="2" t="s">
        <v>14</v>
      </c>
      <c r="C249" s="2" t="s">
        <v>71</v>
      </c>
      <c r="D249" s="2" t="s">
        <v>70</v>
      </c>
      <c r="E249">
        <v>4</v>
      </c>
      <c r="F249">
        <v>163.52000000000001</v>
      </c>
    </row>
    <row r="250" spans="1:6" x14ac:dyDescent="0.25">
      <c r="A250" s="1">
        <v>45960</v>
      </c>
      <c r="B250" s="2" t="s">
        <v>21</v>
      </c>
      <c r="C250" s="2" t="s">
        <v>144</v>
      </c>
      <c r="D250" s="2" t="s">
        <v>23</v>
      </c>
      <c r="E250">
        <v>8</v>
      </c>
      <c r="F250">
        <v>1265.44</v>
      </c>
    </row>
    <row r="251" spans="1:6" x14ac:dyDescent="0.25">
      <c r="A251" s="1">
        <v>45960</v>
      </c>
      <c r="B251" s="2" t="s">
        <v>6</v>
      </c>
      <c r="C251" s="2" t="s">
        <v>19</v>
      </c>
      <c r="D251" s="2" t="s">
        <v>27</v>
      </c>
      <c r="E251">
        <v>8</v>
      </c>
      <c r="F251">
        <v>376.64</v>
      </c>
    </row>
    <row r="252" spans="1:6" x14ac:dyDescent="0.25">
      <c r="A252" s="1">
        <v>45963</v>
      </c>
      <c r="B252" s="2" t="s">
        <v>6</v>
      </c>
      <c r="C252" s="2" t="s">
        <v>145</v>
      </c>
      <c r="D252" s="2" t="s">
        <v>51</v>
      </c>
      <c r="E252">
        <v>8</v>
      </c>
      <c r="F252">
        <v>912.64</v>
      </c>
    </row>
    <row r="253" spans="1:6" x14ac:dyDescent="0.25">
      <c r="A253" s="1">
        <v>45963</v>
      </c>
      <c r="B253" s="2" t="s">
        <v>9</v>
      </c>
      <c r="C253" s="2" t="s">
        <v>138</v>
      </c>
      <c r="D253" s="2" t="s">
        <v>17</v>
      </c>
      <c r="E253">
        <v>1</v>
      </c>
      <c r="F253">
        <v>20.04</v>
      </c>
    </row>
    <row r="254" spans="1:6" x14ac:dyDescent="0.25">
      <c r="A254" s="1">
        <v>45963</v>
      </c>
      <c r="B254" s="2" t="s">
        <v>18</v>
      </c>
      <c r="C254" s="2" t="s">
        <v>146</v>
      </c>
      <c r="D254" s="2" t="s">
        <v>70</v>
      </c>
      <c r="E254">
        <v>2</v>
      </c>
      <c r="F254">
        <v>75.239999999999995</v>
      </c>
    </row>
    <row r="255" spans="1:6" x14ac:dyDescent="0.25">
      <c r="A255" s="1">
        <v>45965</v>
      </c>
      <c r="B255" s="2" t="s">
        <v>9</v>
      </c>
      <c r="C255" s="2" t="s">
        <v>96</v>
      </c>
      <c r="D255" s="2" t="s">
        <v>29</v>
      </c>
      <c r="E255">
        <v>3</v>
      </c>
      <c r="F255">
        <v>844.65</v>
      </c>
    </row>
    <row r="256" spans="1:6" x14ac:dyDescent="0.25">
      <c r="A256" s="1">
        <v>45965</v>
      </c>
      <c r="B256" s="2" t="s">
        <v>6</v>
      </c>
      <c r="C256" s="2" t="s">
        <v>98</v>
      </c>
      <c r="D256" s="2" t="s">
        <v>70</v>
      </c>
      <c r="E256">
        <v>4</v>
      </c>
      <c r="F256">
        <v>127.36</v>
      </c>
    </row>
    <row r="257" spans="1:6" x14ac:dyDescent="0.25">
      <c r="A257" s="1">
        <v>45967</v>
      </c>
      <c r="B257" s="2" t="s">
        <v>18</v>
      </c>
      <c r="C257" s="2" t="s">
        <v>147</v>
      </c>
      <c r="D257" s="2" t="s">
        <v>17</v>
      </c>
      <c r="E257">
        <v>3</v>
      </c>
      <c r="F257">
        <v>41.76</v>
      </c>
    </row>
    <row r="258" spans="1:6" x14ac:dyDescent="0.25">
      <c r="A258" s="1">
        <v>45967</v>
      </c>
      <c r="B258" s="2" t="s">
        <v>18</v>
      </c>
      <c r="C258" s="2" t="s">
        <v>135</v>
      </c>
      <c r="D258" s="2" t="s">
        <v>27</v>
      </c>
      <c r="E258">
        <v>6</v>
      </c>
      <c r="F258">
        <v>348.12</v>
      </c>
    </row>
    <row r="259" spans="1:6" x14ac:dyDescent="0.25">
      <c r="A259" s="1">
        <v>45968</v>
      </c>
      <c r="B259" s="2" t="s">
        <v>21</v>
      </c>
      <c r="C259" s="2" t="s">
        <v>47</v>
      </c>
      <c r="D259" s="2" t="s">
        <v>32</v>
      </c>
      <c r="E259">
        <v>4</v>
      </c>
      <c r="F259">
        <v>266.72000000000003</v>
      </c>
    </row>
    <row r="260" spans="1:6" x14ac:dyDescent="0.25">
      <c r="A260" s="1">
        <v>45969</v>
      </c>
      <c r="B260" s="2" t="s">
        <v>21</v>
      </c>
      <c r="C260" s="2" t="s">
        <v>42</v>
      </c>
      <c r="D260" s="2" t="s">
        <v>11</v>
      </c>
      <c r="E260">
        <v>10</v>
      </c>
      <c r="F260">
        <v>569</v>
      </c>
    </row>
    <row r="261" spans="1:6" x14ac:dyDescent="0.25">
      <c r="A261" s="1">
        <v>45969</v>
      </c>
      <c r="B261" s="2" t="s">
        <v>14</v>
      </c>
      <c r="C261" s="2" t="s">
        <v>43</v>
      </c>
      <c r="D261" s="2" t="s">
        <v>27</v>
      </c>
      <c r="E261">
        <v>4</v>
      </c>
      <c r="F261">
        <v>312.88</v>
      </c>
    </row>
    <row r="262" spans="1:6" x14ac:dyDescent="0.25">
      <c r="A262" s="1">
        <v>45969</v>
      </c>
      <c r="B262" s="2" t="s">
        <v>6</v>
      </c>
      <c r="C262" s="2" t="s">
        <v>49</v>
      </c>
      <c r="D262" s="2" t="s">
        <v>51</v>
      </c>
      <c r="E262">
        <v>4</v>
      </c>
      <c r="F262">
        <v>398.52</v>
      </c>
    </row>
    <row r="263" spans="1:6" x14ac:dyDescent="0.25">
      <c r="A263" s="1">
        <v>45971</v>
      </c>
      <c r="B263" s="2" t="s">
        <v>21</v>
      </c>
      <c r="C263" s="2" t="s">
        <v>86</v>
      </c>
      <c r="D263" s="2" t="s">
        <v>27</v>
      </c>
      <c r="E263">
        <v>8</v>
      </c>
      <c r="F263">
        <v>397.04</v>
      </c>
    </row>
    <row r="264" spans="1:6" x14ac:dyDescent="0.25">
      <c r="A264" s="1">
        <v>45972</v>
      </c>
      <c r="B264" s="2" t="s">
        <v>9</v>
      </c>
      <c r="C264" s="2" t="s">
        <v>139</v>
      </c>
      <c r="D264" s="2" t="s">
        <v>20</v>
      </c>
      <c r="E264">
        <v>1</v>
      </c>
      <c r="F264">
        <v>229.68</v>
      </c>
    </row>
    <row r="265" spans="1:6" x14ac:dyDescent="0.25">
      <c r="A265" s="1">
        <v>45972</v>
      </c>
      <c r="B265" s="2" t="s">
        <v>18</v>
      </c>
      <c r="C265" s="2" t="s">
        <v>56</v>
      </c>
      <c r="D265" s="2" t="s">
        <v>29</v>
      </c>
      <c r="E265">
        <v>4</v>
      </c>
      <c r="F265">
        <v>1723.12</v>
      </c>
    </row>
    <row r="266" spans="1:6" x14ac:dyDescent="0.25">
      <c r="A266" s="1">
        <v>45973</v>
      </c>
      <c r="B266" s="2" t="s">
        <v>6</v>
      </c>
      <c r="C266" s="2" t="s">
        <v>97</v>
      </c>
      <c r="D266" s="2" t="s">
        <v>27</v>
      </c>
      <c r="E266">
        <v>3</v>
      </c>
      <c r="F266">
        <v>195.81</v>
      </c>
    </row>
    <row r="267" spans="1:6" x14ac:dyDescent="0.25">
      <c r="A267" s="1">
        <v>45973</v>
      </c>
      <c r="B267" s="2" t="s">
        <v>6</v>
      </c>
      <c r="C267" s="2" t="s">
        <v>82</v>
      </c>
      <c r="D267" s="2" t="s">
        <v>70</v>
      </c>
      <c r="E267">
        <v>2</v>
      </c>
      <c r="F267">
        <v>45.12</v>
      </c>
    </row>
    <row r="268" spans="1:6" x14ac:dyDescent="0.25">
      <c r="A268" s="1">
        <v>45974</v>
      </c>
      <c r="B268" s="2" t="s">
        <v>6</v>
      </c>
      <c r="C268" s="2" t="s">
        <v>129</v>
      </c>
      <c r="D268" s="2" t="s">
        <v>23</v>
      </c>
      <c r="E268">
        <v>2</v>
      </c>
      <c r="F268">
        <v>414.36</v>
      </c>
    </row>
    <row r="269" spans="1:6" x14ac:dyDescent="0.25">
      <c r="A269" s="1">
        <v>45976</v>
      </c>
      <c r="B269" s="2" t="s">
        <v>14</v>
      </c>
      <c r="C269" s="2" t="s">
        <v>22</v>
      </c>
      <c r="D269" s="2" t="s">
        <v>32</v>
      </c>
      <c r="E269">
        <v>5</v>
      </c>
      <c r="F269">
        <v>399.4</v>
      </c>
    </row>
    <row r="270" spans="1:6" x14ac:dyDescent="0.25">
      <c r="A270" s="1">
        <v>45977</v>
      </c>
      <c r="B270" s="2" t="s">
        <v>9</v>
      </c>
      <c r="C270" s="2" t="s">
        <v>52</v>
      </c>
      <c r="D270" s="2" t="s">
        <v>11</v>
      </c>
      <c r="E270">
        <v>8</v>
      </c>
      <c r="F270">
        <v>287.27999999999997</v>
      </c>
    </row>
    <row r="271" spans="1:6" x14ac:dyDescent="0.25">
      <c r="A271" s="1">
        <v>45977</v>
      </c>
      <c r="B271" s="2" t="s">
        <v>21</v>
      </c>
      <c r="C271" s="2" t="s">
        <v>148</v>
      </c>
      <c r="D271" s="2" t="s">
        <v>70</v>
      </c>
      <c r="E271">
        <v>2</v>
      </c>
      <c r="F271">
        <v>66.06</v>
      </c>
    </row>
    <row r="272" spans="1:6" x14ac:dyDescent="0.25">
      <c r="A272" s="1">
        <v>45978</v>
      </c>
      <c r="B272" s="2" t="s">
        <v>6</v>
      </c>
      <c r="C272" s="2" t="s">
        <v>123</v>
      </c>
      <c r="D272" s="2" t="s">
        <v>29</v>
      </c>
      <c r="E272">
        <v>2</v>
      </c>
      <c r="F272">
        <v>587.16</v>
      </c>
    </row>
    <row r="273" spans="1:6" x14ac:dyDescent="0.25">
      <c r="A273" s="1">
        <v>45978</v>
      </c>
      <c r="B273" s="2" t="s">
        <v>18</v>
      </c>
      <c r="C273" s="2" t="s">
        <v>143</v>
      </c>
      <c r="D273" s="2" t="s">
        <v>20</v>
      </c>
      <c r="E273">
        <v>4</v>
      </c>
      <c r="F273">
        <v>917.44</v>
      </c>
    </row>
    <row r="274" spans="1:6" x14ac:dyDescent="0.25">
      <c r="A274" s="1">
        <v>45979</v>
      </c>
      <c r="B274" s="2" t="s">
        <v>6</v>
      </c>
      <c r="C274" s="2" t="s">
        <v>95</v>
      </c>
      <c r="D274" s="2" t="s">
        <v>27</v>
      </c>
      <c r="E274">
        <v>3</v>
      </c>
      <c r="F274">
        <v>254.94</v>
      </c>
    </row>
    <row r="275" spans="1:6" x14ac:dyDescent="0.25">
      <c r="A275" s="1">
        <v>45979</v>
      </c>
      <c r="B275" s="2" t="s">
        <v>18</v>
      </c>
      <c r="C275" s="2" t="s">
        <v>69</v>
      </c>
      <c r="D275" s="2" t="s">
        <v>32</v>
      </c>
      <c r="E275">
        <v>2</v>
      </c>
      <c r="F275">
        <v>252.28</v>
      </c>
    </row>
    <row r="276" spans="1:6" x14ac:dyDescent="0.25">
      <c r="A276" s="1">
        <v>45980</v>
      </c>
      <c r="B276" s="2" t="s">
        <v>6</v>
      </c>
      <c r="C276" s="2" t="s">
        <v>35</v>
      </c>
      <c r="D276" s="2" t="s">
        <v>17</v>
      </c>
      <c r="E276">
        <v>2</v>
      </c>
      <c r="F276">
        <v>58.26</v>
      </c>
    </row>
    <row r="277" spans="1:6" x14ac:dyDescent="0.25">
      <c r="A277" s="1">
        <v>45984</v>
      </c>
      <c r="B277" s="2" t="s">
        <v>14</v>
      </c>
      <c r="C277" s="2" t="s">
        <v>146</v>
      </c>
      <c r="D277" s="2" t="s">
        <v>58</v>
      </c>
      <c r="E277">
        <v>10</v>
      </c>
      <c r="F277">
        <v>292.2</v>
      </c>
    </row>
    <row r="278" spans="1:6" x14ac:dyDescent="0.25">
      <c r="A278" s="1">
        <v>45985</v>
      </c>
      <c r="B278" s="2" t="s">
        <v>18</v>
      </c>
      <c r="C278" s="2" t="s">
        <v>94</v>
      </c>
      <c r="D278" s="2" t="s">
        <v>32</v>
      </c>
      <c r="E278">
        <v>3</v>
      </c>
      <c r="F278">
        <v>192.33</v>
      </c>
    </row>
    <row r="279" spans="1:6" x14ac:dyDescent="0.25">
      <c r="A279" s="1">
        <v>45987</v>
      </c>
      <c r="B279" s="2" t="s">
        <v>6</v>
      </c>
      <c r="C279" s="2" t="s">
        <v>74</v>
      </c>
      <c r="D279" s="2" t="s">
        <v>20</v>
      </c>
      <c r="E279">
        <v>6</v>
      </c>
      <c r="F279">
        <v>1117.98</v>
      </c>
    </row>
    <row r="280" spans="1:6" x14ac:dyDescent="0.25">
      <c r="A280" s="1">
        <v>45987</v>
      </c>
      <c r="B280" s="2" t="s">
        <v>18</v>
      </c>
      <c r="C280" s="2" t="s">
        <v>149</v>
      </c>
      <c r="D280" s="2" t="s">
        <v>20</v>
      </c>
      <c r="E280">
        <v>1</v>
      </c>
      <c r="F280">
        <v>248.16</v>
      </c>
    </row>
    <row r="281" spans="1:6" x14ac:dyDescent="0.25">
      <c r="A281" s="1">
        <v>45988</v>
      </c>
      <c r="B281" s="2" t="s">
        <v>21</v>
      </c>
      <c r="C281" s="2" t="s">
        <v>132</v>
      </c>
      <c r="D281" s="2" t="s">
        <v>20</v>
      </c>
      <c r="E281">
        <v>1</v>
      </c>
      <c r="F281">
        <v>229.72</v>
      </c>
    </row>
    <row r="282" spans="1:6" x14ac:dyDescent="0.25">
      <c r="A282" s="1">
        <v>45988</v>
      </c>
      <c r="B282" s="2" t="s">
        <v>18</v>
      </c>
      <c r="C282" s="2" t="s">
        <v>75</v>
      </c>
      <c r="D282" s="2" t="s">
        <v>51</v>
      </c>
      <c r="E282">
        <v>2</v>
      </c>
      <c r="F282">
        <v>241.52</v>
      </c>
    </row>
    <row r="283" spans="1:6" x14ac:dyDescent="0.25">
      <c r="A283" s="1">
        <v>45988</v>
      </c>
      <c r="B283" s="2" t="s">
        <v>21</v>
      </c>
      <c r="C283" s="2" t="s">
        <v>150</v>
      </c>
      <c r="D283" s="2" t="s">
        <v>51</v>
      </c>
      <c r="E283">
        <v>5</v>
      </c>
      <c r="F283">
        <v>389.2</v>
      </c>
    </row>
    <row r="284" spans="1:6" x14ac:dyDescent="0.25">
      <c r="A284" s="1">
        <v>45989</v>
      </c>
      <c r="B284" s="2" t="s">
        <v>14</v>
      </c>
      <c r="C284" s="2" t="s">
        <v>56</v>
      </c>
      <c r="D284" s="2" t="s">
        <v>17</v>
      </c>
      <c r="E284">
        <v>4</v>
      </c>
      <c r="F284">
        <v>107.4</v>
      </c>
    </row>
    <row r="285" spans="1:6" x14ac:dyDescent="0.25">
      <c r="A285" s="1">
        <v>45990</v>
      </c>
      <c r="B285" s="2" t="s">
        <v>6</v>
      </c>
      <c r="C285" s="2" t="s">
        <v>31</v>
      </c>
      <c r="D285" s="2" t="s">
        <v>37</v>
      </c>
      <c r="E285">
        <v>3</v>
      </c>
      <c r="F285">
        <v>136.53</v>
      </c>
    </row>
    <row r="286" spans="1:6" x14ac:dyDescent="0.25">
      <c r="A286" s="1">
        <v>45995</v>
      </c>
      <c r="B286" s="2" t="s">
        <v>6</v>
      </c>
      <c r="C286" s="2" t="s">
        <v>16</v>
      </c>
      <c r="D286" s="2" t="s">
        <v>11</v>
      </c>
      <c r="E286">
        <v>6</v>
      </c>
      <c r="F286">
        <v>471.48</v>
      </c>
    </row>
    <row r="287" spans="1:6" x14ac:dyDescent="0.25">
      <c r="A287" s="1">
        <v>45996</v>
      </c>
      <c r="B287" s="2" t="s">
        <v>9</v>
      </c>
      <c r="C287" s="2" t="s">
        <v>123</v>
      </c>
      <c r="D287" s="2" t="s">
        <v>29</v>
      </c>
      <c r="E287">
        <v>1</v>
      </c>
      <c r="F287">
        <v>379.94</v>
      </c>
    </row>
    <row r="288" spans="1:6" x14ac:dyDescent="0.25">
      <c r="A288" s="1">
        <v>45996</v>
      </c>
      <c r="B288" s="2" t="s">
        <v>18</v>
      </c>
      <c r="C288" s="2" t="s">
        <v>151</v>
      </c>
      <c r="D288" s="2" t="s">
        <v>29</v>
      </c>
      <c r="E288">
        <v>2</v>
      </c>
      <c r="F288">
        <v>759.3</v>
      </c>
    </row>
    <row r="289" spans="1:6" x14ac:dyDescent="0.25">
      <c r="A289" s="1">
        <v>45997</v>
      </c>
      <c r="B289" s="2" t="s">
        <v>14</v>
      </c>
      <c r="C289" s="2" t="s">
        <v>61</v>
      </c>
      <c r="D289" s="2" t="s">
        <v>27</v>
      </c>
      <c r="E289">
        <v>4</v>
      </c>
      <c r="F289">
        <v>342.08</v>
      </c>
    </row>
    <row r="290" spans="1:6" x14ac:dyDescent="0.25">
      <c r="A290" s="1">
        <v>45997</v>
      </c>
      <c r="B290" s="2" t="s">
        <v>9</v>
      </c>
      <c r="C290" s="2" t="s">
        <v>83</v>
      </c>
      <c r="D290" s="2" t="s">
        <v>40</v>
      </c>
      <c r="E290">
        <v>4</v>
      </c>
      <c r="F290">
        <v>95.16</v>
      </c>
    </row>
    <row r="291" spans="1:6" x14ac:dyDescent="0.25">
      <c r="A291" s="1">
        <v>45998</v>
      </c>
      <c r="B291" s="2" t="s">
        <v>6</v>
      </c>
      <c r="C291" s="2" t="s">
        <v>43</v>
      </c>
      <c r="D291" s="2" t="s">
        <v>37</v>
      </c>
      <c r="E291">
        <v>1</v>
      </c>
      <c r="F291">
        <v>61.49</v>
      </c>
    </row>
    <row r="292" spans="1:6" x14ac:dyDescent="0.25">
      <c r="A292" s="1">
        <v>45998</v>
      </c>
      <c r="B292" s="2" t="s">
        <v>21</v>
      </c>
      <c r="C292" s="2" t="s">
        <v>31</v>
      </c>
      <c r="D292" s="2" t="s">
        <v>13</v>
      </c>
      <c r="E292">
        <v>2</v>
      </c>
      <c r="F292">
        <v>117.34</v>
      </c>
    </row>
    <row r="293" spans="1:6" x14ac:dyDescent="0.25">
      <c r="A293" s="1">
        <v>45999</v>
      </c>
      <c r="B293" s="2" t="s">
        <v>18</v>
      </c>
      <c r="C293" s="2" t="s">
        <v>67</v>
      </c>
      <c r="D293" s="2" t="s">
        <v>34</v>
      </c>
      <c r="E293">
        <v>8</v>
      </c>
      <c r="F293">
        <v>266.08</v>
      </c>
    </row>
    <row r="294" spans="1:6" x14ac:dyDescent="0.25">
      <c r="A294" s="1">
        <v>45999</v>
      </c>
      <c r="B294" s="2" t="s">
        <v>6</v>
      </c>
      <c r="C294" s="2" t="s">
        <v>54</v>
      </c>
      <c r="D294" s="2" t="s">
        <v>20</v>
      </c>
      <c r="E294">
        <v>1</v>
      </c>
      <c r="F294">
        <v>253.06</v>
      </c>
    </row>
    <row r="295" spans="1:6" x14ac:dyDescent="0.25">
      <c r="A295" s="1">
        <v>46001</v>
      </c>
      <c r="B295" s="2" t="s">
        <v>14</v>
      </c>
      <c r="C295" s="2" t="s">
        <v>73</v>
      </c>
      <c r="D295" s="2" t="s">
        <v>29</v>
      </c>
      <c r="E295">
        <v>2</v>
      </c>
      <c r="F295">
        <v>512.32000000000005</v>
      </c>
    </row>
    <row r="296" spans="1:6" x14ac:dyDescent="0.25">
      <c r="A296" s="1">
        <v>46001</v>
      </c>
      <c r="B296" s="2" t="s">
        <v>21</v>
      </c>
      <c r="C296" s="2" t="s">
        <v>148</v>
      </c>
      <c r="D296" s="2" t="s">
        <v>29</v>
      </c>
      <c r="E296">
        <v>4</v>
      </c>
      <c r="F296">
        <v>1324.32</v>
      </c>
    </row>
    <row r="297" spans="1:6" x14ac:dyDescent="0.25">
      <c r="A297" s="1">
        <v>46002</v>
      </c>
      <c r="B297" s="2" t="s">
        <v>14</v>
      </c>
      <c r="C297" s="2" t="s">
        <v>38</v>
      </c>
      <c r="D297" s="2" t="s">
        <v>17</v>
      </c>
      <c r="E297">
        <v>2</v>
      </c>
      <c r="F297">
        <v>30.54</v>
      </c>
    </row>
    <row r="298" spans="1:6" x14ac:dyDescent="0.25">
      <c r="A298" s="1">
        <v>46003</v>
      </c>
      <c r="B298" s="2" t="s">
        <v>9</v>
      </c>
      <c r="C298" s="2" t="s">
        <v>77</v>
      </c>
      <c r="D298" s="2" t="s">
        <v>17</v>
      </c>
      <c r="E298">
        <v>1</v>
      </c>
      <c r="F298">
        <v>13.46</v>
      </c>
    </row>
    <row r="299" spans="1:6" x14ac:dyDescent="0.25">
      <c r="A299" s="1">
        <v>46003</v>
      </c>
      <c r="B299" s="2" t="s">
        <v>21</v>
      </c>
      <c r="C299" s="2" t="s">
        <v>138</v>
      </c>
      <c r="D299" s="2" t="s">
        <v>8</v>
      </c>
      <c r="E299">
        <v>6</v>
      </c>
      <c r="F299">
        <v>200.94</v>
      </c>
    </row>
    <row r="300" spans="1:6" x14ac:dyDescent="0.25">
      <c r="A300" s="1">
        <v>46004</v>
      </c>
      <c r="B300" s="2" t="s">
        <v>14</v>
      </c>
      <c r="C300" s="2" t="s">
        <v>107</v>
      </c>
      <c r="D300" s="2" t="s">
        <v>27</v>
      </c>
      <c r="E300">
        <v>1</v>
      </c>
      <c r="F300">
        <v>77.709999999999994</v>
      </c>
    </row>
    <row r="301" spans="1:6" x14ac:dyDescent="0.25">
      <c r="A301" s="1">
        <v>46005</v>
      </c>
      <c r="B301" s="2" t="s">
        <v>21</v>
      </c>
      <c r="C301" s="2" t="s">
        <v>68</v>
      </c>
      <c r="D301" s="2" t="s">
        <v>34</v>
      </c>
      <c r="E301">
        <v>1</v>
      </c>
      <c r="F301">
        <v>36.99</v>
      </c>
    </row>
    <row r="302" spans="1:6" x14ac:dyDescent="0.25">
      <c r="A302" s="1">
        <v>46005</v>
      </c>
      <c r="B302" s="2" t="s">
        <v>18</v>
      </c>
      <c r="C302" s="2" t="s">
        <v>16</v>
      </c>
      <c r="D302" s="2" t="s">
        <v>70</v>
      </c>
      <c r="E302">
        <v>1</v>
      </c>
      <c r="F302">
        <v>21.91</v>
      </c>
    </row>
    <row r="303" spans="1:6" x14ac:dyDescent="0.25">
      <c r="A303" s="1">
        <v>46005</v>
      </c>
      <c r="B303" s="2" t="s">
        <v>9</v>
      </c>
      <c r="C303" s="2" t="s">
        <v>105</v>
      </c>
      <c r="D303" s="2" t="s">
        <v>70</v>
      </c>
      <c r="E303">
        <v>1</v>
      </c>
      <c r="F303">
        <v>24.98</v>
      </c>
    </row>
    <row r="304" spans="1:6" x14ac:dyDescent="0.25">
      <c r="A304" s="1">
        <v>46006</v>
      </c>
      <c r="B304" s="2" t="s">
        <v>9</v>
      </c>
      <c r="C304" s="2" t="s">
        <v>111</v>
      </c>
      <c r="D304" s="2" t="s">
        <v>32</v>
      </c>
      <c r="E304">
        <v>8</v>
      </c>
      <c r="F304">
        <v>709.92</v>
      </c>
    </row>
    <row r="305" spans="1:6" x14ac:dyDescent="0.25">
      <c r="A305" s="1">
        <v>46007</v>
      </c>
      <c r="B305" s="2" t="s">
        <v>6</v>
      </c>
      <c r="C305" s="2" t="s">
        <v>131</v>
      </c>
      <c r="D305" s="2" t="s">
        <v>13</v>
      </c>
      <c r="E305">
        <v>1</v>
      </c>
      <c r="F305">
        <v>30.42</v>
      </c>
    </row>
    <row r="306" spans="1:6" x14ac:dyDescent="0.25">
      <c r="A306" s="1">
        <v>46009</v>
      </c>
      <c r="B306" s="2" t="s">
        <v>14</v>
      </c>
      <c r="C306" s="2" t="s">
        <v>71</v>
      </c>
      <c r="D306" s="2" t="s">
        <v>29</v>
      </c>
      <c r="E306">
        <v>1</v>
      </c>
      <c r="F306">
        <v>209.79</v>
      </c>
    </row>
    <row r="307" spans="1:6" x14ac:dyDescent="0.25">
      <c r="A307" s="1">
        <v>46011</v>
      </c>
      <c r="B307" s="2" t="s">
        <v>6</v>
      </c>
      <c r="C307" s="2" t="s">
        <v>141</v>
      </c>
      <c r="D307" s="2" t="s">
        <v>37</v>
      </c>
      <c r="E307">
        <v>6</v>
      </c>
      <c r="F307">
        <v>342.84</v>
      </c>
    </row>
    <row r="308" spans="1:6" x14ac:dyDescent="0.25">
      <c r="A308" s="1">
        <v>46011</v>
      </c>
      <c r="B308" s="2" t="s">
        <v>6</v>
      </c>
      <c r="C308" s="2" t="s">
        <v>90</v>
      </c>
      <c r="D308" s="2" t="s">
        <v>70</v>
      </c>
      <c r="E308">
        <v>2</v>
      </c>
      <c r="F308">
        <v>65.739999999999995</v>
      </c>
    </row>
    <row r="309" spans="1:6" x14ac:dyDescent="0.25">
      <c r="A309" s="1">
        <v>46014</v>
      </c>
      <c r="B309" s="2" t="s">
        <v>6</v>
      </c>
      <c r="C309" s="2" t="s">
        <v>83</v>
      </c>
      <c r="D309" s="2" t="s">
        <v>20</v>
      </c>
      <c r="E309">
        <v>8</v>
      </c>
      <c r="F309">
        <v>2147.6</v>
      </c>
    </row>
    <row r="310" spans="1:6" x14ac:dyDescent="0.25">
      <c r="A310" s="1">
        <v>46016</v>
      </c>
      <c r="B310" s="2" t="s">
        <v>21</v>
      </c>
      <c r="C310" s="2" t="s">
        <v>149</v>
      </c>
      <c r="D310" s="2" t="s">
        <v>34</v>
      </c>
      <c r="E310">
        <v>5</v>
      </c>
      <c r="F310">
        <v>206.35</v>
      </c>
    </row>
    <row r="311" spans="1:6" x14ac:dyDescent="0.25">
      <c r="A311" s="1">
        <v>46019</v>
      </c>
      <c r="B311" s="2" t="s">
        <v>9</v>
      </c>
      <c r="C311" s="2" t="s">
        <v>101</v>
      </c>
      <c r="D311" s="2" t="s">
        <v>37</v>
      </c>
      <c r="E311">
        <v>6</v>
      </c>
      <c r="F311">
        <v>415.2</v>
      </c>
    </row>
    <row r="312" spans="1:6" x14ac:dyDescent="0.25">
      <c r="A312" s="1">
        <v>46020</v>
      </c>
      <c r="B312" s="2" t="s">
        <v>9</v>
      </c>
      <c r="C312" s="2" t="s">
        <v>24</v>
      </c>
      <c r="D312" s="2" t="s">
        <v>23</v>
      </c>
      <c r="E312">
        <v>8</v>
      </c>
      <c r="F312">
        <v>917.84</v>
      </c>
    </row>
    <row r="313" spans="1:6" x14ac:dyDescent="0.25">
      <c r="A313" s="1">
        <v>46021</v>
      </c>
      <c r="B313" s="2" t="s">
        <v>18</v>
      </c>
      <c r="C313" s="2" t="s">
        <v>118</v>
      </c>
      <c r="D313" s="2" t="s">
        <v>23</v>
      </c>
      <c r="E313">
        <v>6</v>
      </c>
      <c r="F313">
        <v>1190.4000000000001</v>
      </c>
    </row>
    <row r="314" spans="1:6" x14ac:dyDescent="0.25">
      <c r="A314" s="1">
        <v>46028</v>
      </c>
      <c r="B314" s="2" t="s">
        <v>9</v>
      </c>
      <c r="C314" s="2" t="s">
        <v>48</v>
      </c>
      <c r="D314" s="2" t="s">
        <v>29</v>
      </c>
      <c r="E314">
        <v>3</v>
      </c>
      <c r="F314">
        <v>1170</v>
      </c>
    </row>
    <row r="315" spans="1:6" x14ac:dyDescent="0.25">
      <c r="A315" s="1">
        <v>46028</v>
      </c>
      <c r="B315" s="2" t="s">
        <v>9</v>
      </c>
      <c r="C315" s="2" t="s">
        <v>30</v>
      </c>
      <c r="D315" s="2" t="s">
        <v>20</v>
      </c>
      <c r="E315">
        <v>4</v>
      </c>
      <c r="F315">
        <v>750.64</v>
      </c>
    </row>
    <row r="316" spans="1:6" x14ac:dyDescent="0.25">
      <c r="A316" s="1">
        <v>46028</v>
      </c>
      <c r="B316" s="2" t="s">
        <v>14</v>
      </c>
      <c r="C316" s="2" t="s">
        <v>82</v>
      </c>
      <c r="D316" s="2" t="s">
        <v>37</v>
      </c>
      <c r="E316">
        <v>1</v>
      </c>
      <c r="F316">
        <v>68.05</v>
      </c>
    </row>
    <row r="317" spans="1:6" x14ac:dyDescent="0.25">
      <c r="A317" s="1">
        <v>46028</v>
      </c>
      <c r="B317" s="2" t="s">
        <v>14</v>
      </c>
      <c r="C317" s="2" t="s">
        <v>141</v>
      </c>
      <c r="D317" s="2" t="s">
        <v>58</v>
      </c>
      <c r="E317">
        <v>4</v>
      </c>
      <c r="F317">
        <v>132.24</v>
      </c>
    </row>
    <row r="318" spans="1:6" x14ac:dyDescent="0.25">
      <c r="A318" s="1">
        <v>46033</v>
      </c>
      <c r="B318" s="2" t="s">
        <v>21</v>
      </c>
      <c r="C318" s="2" t="s">
        <v>147</v>
      </c>
      <c r="D318" s="2" t="s">
        <v>23</v>
      </c>
      <c r="E318">
        <v>1</v>
      </c>
      <c r="F318">
        <v>186.82</v>
      </c>
    </row>
    <row r="319" spans="1:6" x14ac:dyDescent="0.25">
      <c r="A319" s="1">
        <v>46034</v>
      </c>
      <c r="B319" s="2" t="s">
        <v>9</v>
      </c>
      <c r="C319" s="2" t="s">
        <v>89</v>
      </c>
      <c r="D319" s="2" t="s">
        <v>58</v>
      </c>
      <c r="E319">
        <v>3</v>
      </c>
      <c r="F319">
        <v>61.56</v>
      </c>
    </row>
    <row r="320" spans="1:6" x14ac:dyDescent="0.25">
      <c r="A320" s="1">
        <v>46035</v>
      </c>
      <c r="B320" s="2" t="s">
        <v>6</v>
      </c>
      <c r="C320" s="2" t="s">
        <v>90</v>
      </c>
      <c r="D320" s="2" t="s">
        <v>23</v>
      </c>
      <c r="E320">
        <v>1</v>
      </c>
      <c r="F320">
        <v>100.52</v>
      </c>
    </row>
    <row r="321" spans="1:6" x14ac:dyDescent="0.25">
      <c r="A321" s="1">
        <v>46035</v>
      </c>
      <c r="B321" s="2" t="s">
        <v>6</v>
      </c>
      <c r="C321" s="2" t="s">
        <v>119</v>
      </c>
      <c r="D321" s="2" t="s">
        <v>32</v>
      </c>
      <c r="E321">
        <v>5</v>
      </c>
      <c r="F321">
        <v>301.10000000000002</v>
      </c>
    </row>
    <row r="322" spans="1:6" x14ac:dyDescent="0.25">
      <c r="A322" s="1">
        <v>46037</v>
      </c>
      <c r="B322" s="2" t="s">
        <v>14</v>
      </c>
      <c r="C322" s="2" t="s">
        <v>71</v>
      </c>
      <c r="D322" s="2" t="s">
        <v>29</v>
      </c>
      <c r="E322">
        <v>2</v>
      </c>
      <c r="F322">
        <v>406.32</v>
      </c>
    </row>
    <row r="323" spans="1:6" x14ac:dyDescent="0.25">
      <c r="A323" s="1">
        <v>46039</v>
      </c>
      <c r="B323" s="2" t="s">
        <v>21</v>
      </c>
      <c r="C323" s="2" t="s">
        <v>152</v>
      </c>
      <c r="D323" s="2" t="s">
        <v>11</v>
      </c>
      <c r="E323">
        <v>10</v>
      </c>
      <c r="F323">
        <v>436.1</v>
      </c>
    </row>
    <row r="324" spans="1:6" x14ac:dyDescent="0.25">
      <c r="A324" s="1">
        <v>46040</v>
      </c>
      <c r="B324" s="2" t="s">
        <v>6</v>
      </c>
      <c r="C324" s="2" t="s">
        <v>103</v>
      </c>
      <c r="D324" s="2" t="s">
        <v>40</v>
      </c>
      <c r="E324">
        <v>3</v>
      </c>
      <c r="F324">
        <v>64.08</v>
      </c>
    </row>
    <row r="325" spans="1:6" x14ac:dyDescent="0.25">
      <c r="A325" s="1">
        <v>46040</v>
      </c>
      <c r="B325" s="2" t="s">
        <v>14</v>
      </c>
      <c r="C325" s="2" t="s">
        <v>117</v>
      </c>
      <c r="D325" s="2" t="s">
        <v>29</v>
      </c>
      <c r="E325">
        <v>3</v>
      </c>
      <c r="F325">
        <v>611.79</v>
      </c>
    </row>
    <row r="326" spans="1:6" x14ac:dyDescent="0.25">
      <c r="A326" s="1">
        <v>46042</v>
      </c>
      <c r="B326" s="2" t="s">
        <v>6</v>
      </c>
      <c r="C326" s="2" t="s">
        <v>98</v>
      </c>
      <c r="D326" s="2" t="s">
        <v>29</v>
      </c>
      <c r="E326">
        <v>5</v>
      </c>
      <c r="F326">
        <v>1825.85</v>
      </c>
    </row>
    <row r="327" spans="1:6" x14ac:dyDescent="0.25">
      <c r="A327" s="1">
        <v>46043</v>
      </c>
      <c r="B327" s="2" t="s">
        <v>18</v>
      </c>
      <c r="C327" s="2" t="s">
        <v>72</v>
      </c>
      <c r="D327" s="2" t="s">
        <v>34</v>
      </c>
      <c r="E327">
        <v>8</v>
      </c>
      <c r="F327">
        <v>345.04</v>
      </c>
    </row>
    <row r="328" spans="1:6" x14ac:dyDescent="0.25">
      <c r="A328" s="1">
        <v>46046</v>
      </c>
      <c r="B328" s="2" t="s">
        <v>18</v>
      </c>
      <c r="C328" s="2" t="s">
        <v>46</v>
      </c>
      <c r="D328" s="2" t="s">
        <v>11</v>
      </c>
      <c r="E328">
        <v>4</v>
      </c>
      <c r="F328">
        <v>283.39999999999998</v>
      </c>
    </row>
    <row r="329" spans="1:6" x14ac:dyDescent="0.25">
      <c r="A329" s="1">
        <v>46046</v>
      </c>
      <c r="B329" s="2" t="s">
        <v>21</v>
      </c>
      <c r="C329" s="2" t="s">
        <v>145</v>
      </c>
      <c r="D329" s="2" t="s">
        <v>37</v>
      </c>
      <c r="E329">
        <v>1</v>
      </c>
      <c r="F329">
        <v>48.81</v>
      </c>
    </row>
    <row r="330" spans="1:6" x14ac:dyDescent="0.25">
      <c r="A330" s="1">
        <v>46046</v>
      </c>
      <c r="B330" s="2" t="s">
        <v>9</v>
      </c>
      <c r="C330" s="2" t="s">
        <v>81</v>
      </c>
      <c r="D330" s="2" t="s">
        <v>20</v>
      </c>
      <c r="E330">
        <v>4</v>
      </c>
      <c r="F330">
        <v>1045.1199999999999</v>
      </c>
    </row>
    <row r="331" spans="1:6" x14ac:dyDescent="0.25">
      <c r="A331" s="1">
        <v>46047</v>
      </c>
      <c r="B331" s="2" t="s">
        <v>18</v>
      </c>
      <c r="C331" s="2" t="s">
        <v>153</v>
      </c>
      <c r="D331" s="2" t="s">
        <v>37</v>
      </c>
      <c r="E331">
        <v>2</v>
      </c>
      <c r="F331">
        <v>81.48</v>
      </c>
    </row>
    <row r="332" spans="1:6" x14ac:dyDescent="0.25">
      <c r="A332" s="1">
        <v>46048</v>
      </c>
      <c r="B332" s="2" t="s">
        <v>6</v>
      </c>
      <c r="C332" s="2" t="s">
        <v>132</v>
      </c>
      <c r="D332" s="2" t="s">
        <v>20</v>
      </c>
      <c r="E332">
        <v>1</v>
      </c>
      <c r="F332">
        <v>171.46</v>
      </c>
    </row>
    <row r="333" spans="1:6" x14ac:dyDescent="0.25">
      <c r="A333" s="1">
        <v>46048</v>
      </c>
      <c r="B333" s="2" t="s">
        <v>9</v>
      </c>
      <c r="C333" s="2" t="s">
        <v>89</v>
      </c>
      <c r="D333" s="2" t="s">
        <v>23</v>
      </c>
      <c r="E333">
        <v>2</v>
      </c>
      <c r="F333">
        <v>497.66</v>
      </c>
    </row>
    <row r="334" spans="1:6" x14ac:dyDescent="0.25">
      <c r="A334" s="1">
        <v>46048</v>
      </c>
      <c r="B334" s="2" t="s">
        <v>9</v>
      </c>
      <c r="C334" s="2" t="s">
        <v>113</v>
      </c>
      <c r="D334" s="2" t="s">
        <v>8</v>
      </c>
      <c r="E334">
        <v>3</v>
      </c>
      <c r="F334">
        <v>75.63</v>
      </c>
    </row>
    <row r="335" spans="1:6" x14ac:dyDescent="0.25">
      <c r="A335" s="1">
        <v>46049</v>
      </c>
      <c r="B335" s="2" t="s">
        <v>9</v>
      </c>
      <c r="C335" s="2" t="s">
        <v>110</v>
      </c>
      <c r="D335" s="2" t="s">
        <v>11</v>
      </c>
      <c r="E335">
        <v>1</v>
      </c>
      <c r="F335">
        <v>69.930000000000007</v>
      </c>
    </row>
    <row r="336" spans="1:6" x14ac:dyDescent="0.25">
      <c r="A336" s="1">
        <v>46051</v>
      </c>
      <c r="B336" s="2" t="s">
        <v>6</v>
      </c>
      <c r="C336" s="2" t="s">
        <v>62</v>
      </c>
      <c r="D336" s="2" t="s">
        <v>13</v>
      </c>
      <c r="E336">
        <v>1</v>
      </c>
      <c r="F336">
        <v>47.96</v>
      </c>
    </row>
    <row r="337" spans="1:6" x14ac:dyDescent="0.25">
      <c r="A337" s="1">
        <v>46053</v>
      </c>
      <c r="B337" s="2" t="s">
        <v>21</v>
      </c>
      <c r="C337" s="2" t="s">
        <v>154</v>
      </c>
      <c r="D337" s="2" t="s">
        <v>8</v>
      </c>
      <c r="E337">
        <v>6</v>
      </c>
      <c r="F337">
        <v>234.66</v>
      </c>
    </row>
    <row r="338" spans="1:6" x14ac:dyDescent="0.25">
      <c r="A338" s="1">
        <v>46053</v>
      </c>
      <c r="B338" s="2" t="s">
        <v>14</v>
      </c>
      <c r="C338" s="2" t="s">
        <v>130</v>
      </c>
      <c r="D338" s="2" t="s">
        <v>13</v>
      </c>
      <c r="E338">
        <v>1</v>
      </c>
      <c r="F338">
        <v>36.15</v>
      </c>
    </row>
    <row r="339" spans="1:6" x14ac:dyDescent="0.25">
      <c r="A339" s="1">
        <v>46053</v>
      </c>
      <c r="B339" s="2" t="s">
        <v>21</v>
      </c>
      <c r="C339" s="2" t="s">
        <v>98</v>
      </c>
      <c r="D339" s="2" t="s">
        <v>20</v>
      </c>
      <c r="E339">
        <v>8</v>
      </c>
      <c r="F339">
        <v>1876.64</v>
      </c>
    </row>
    <row r="340" spans="1:6" x14ac:dyDescent="0.25">
      <c r="A340" s="1">
        <v>46053</v>
      </c>
      <c r="B340" s="2" t="s">
        <v>9</v>
      </c>
      <c r="C340" s="2" t="s">
        <v>108</v>
      </c>
      <c r="D340" s="2" t="s">
        <v>70</v>
      </c>
      <c r="E340">
        <v>4</v>
      </c>
      <c r="F340">
        <v>107.96</v>
      </c>
    </row>
    <row r="341" spans="1:6" x14ac:dyDescent="0.25">
      <c r="A341" s="1">
        <v>46054</v>
      </c>
      <c r="B341" s="2" t="s">
        <v>21</v>
      </c>
      <c r="C341" s="2" t="s">
        <v>154</v>
      </c>
      <c r="D341" s="2" t="s">
        <v>8</v>
      </c>
      <c r="E341">
        <v>1</v>
      </c>
      <c r="F341">
        <v>23.93</v>
      </c>
    </row>
    <row r="342" spans="1:6" x14ac:dyDescent="0.25">
      <c r="A342" s="1">
        <v>46054</v>
      </c>
      <c r="B342" s="2" t="s">
        <v>9</v>
      </c>
      <c r="C342" s="2" t="s">
        <v>85</v>
      </c>
      <c r="D342" s="2" t="s">
        <v>37</v>
      </c>
      <c r="E342">
        <v>10</v>
      </c>
      <c r="F342">
        <v>404.1</v>
      </c>
    </row>
    <row r="343" spans="1:6" x14ac:dyDescent="0.25">
      <c r="A343" s="1">
        <v>46056</v>
      </c>
      <c r="B343" s="2" t="s">
        <v>21</v>
      </c>
      <c r="C343" s="2" t="s">
        <v>56</v>
      </c>
      <c r="D343" s="2" t="s">
        <v>8</v>
      </c>
      <c r="E343">
        <v>1</v>
      </c>
      <c r="F343">
        <v>36.01</v>
      </c>
    </row>
    <row r="344" spans="1:6" x14ac:dyDescent="0.25">
      <c r="A344" s="1">
        <v>46056</v>
      </c>
      <c r="B344" s="2" t="s">
        <v>9</v>
      </c>
      <c r="C344" s="2" t="s">
        <v>28</v>
      </c>
      <c r="D344" s="2" t="s">
        <v>11</v>
      </c>
      <c r="E344">
        <v>10</v>
      </c>
      <c r="F344">
        <v>656.9</v>
      </c>
    </row>
    <row r="345" spans="1:6" x14ac:dyDescent="0.25">
      <c r="A345" s="1">
        <v>46059</v>
      </c>
      <c r="B345" s="2" t="s">
        <v>9</v>
      </c>
      <c r="C345" s="2" t="s">
        <v>106</v>
      </c>
      <c r="D345" s="2" t="s">
        <v>32</v>
      </c>
      <c r="E345">
        <v>2</v>
      </c>
      <c r="F345">
        <v>272.2</v>
      </c>
    </row>
    <row r="346" spans="1:6" x14ac:dyDescent="0.25">
      <c r="A346" s="1">
        <v>46060</v>
      </c>
      <c r="B346" s="2" t="s">
        <v>9</v>
      </c>
      <c r="C346" s="2" t="s">
        <v>146</v>
      </c>
      <c r="D346" s="2" t="s">
        <v>23</v>
      </c>
      <c r="E346">
        <v>2</v>
      </c>
      <c r="F346">
        <v>342.34</v>
      </c>
    </row>
    <row r="347" spans="1:6" x14ac:dyDescent="0.25">
      <c r="A347" s="1">
        <v>46060</v>
      </c>
      <c r="B347" s="2" t="s">
        <v>9</v>
      </c>
      <c r="C347" s="2" t="s">
        <v>60</v>
      </c>
      <c r="D347" s="2" t="s">
        <v>8</v>
      </c>
      <c r="E347">
        <v>2</v>
      </c>
      <c r="F347">
        <v>71.739999999999995</v>
      </c>
    </row>
    <row r="348" spans="1:6" x14ac:dyDescent="0.25">
      <c r="A348" s="1">
        <v>46060</v>
      </c>
      <c r="B348" s="2" t="s">
        <v>21</v>
      </c>
      <c r="C348" s="2" t="s">
        <v>106</v>
      </c>
      <c r="D348" s="2" t="s">
        <v>40</v>
      </c>
      <c r="E348">
        <v>5</v>
      </c>
      <c r="F348">
        <v>65</v>
      </c>
    </row>
    <row r="349" spans="1:6" x14ac:dyDescent="0.25">
      <c r="A349" s="1">
        <v>46062</v>
      </c>
      <c r="B349" s="2" t="s">
        <v>21</v>
      </c>
      <c r="C349" s="2" t="s">
        <v>92</v>
      </c>
      <c r="D349" s="2" t="s">
        <v>37</v>
      </c>
      <c r="E349">
        <v>1</v>
      </c>
      <c r="F349">
        <v>41.51</v>
      </c>
    </row>
    <row r="350" spans="1:6" x14ac:dyDescent="0.25">
      <c r="A350" s="1">
        <v>46064</v>
      </c>
      <c r="B350" s="2" t="s">
        <v>18</v>
      </c>
      <c r="C350" s="2" t="s">
        <v>109</v>
      </c>
      <c r="D350" s="2" t="s">
        <v>70</v>
      </c>
      <c r="E350">
        <v>2</v>
      </c>
      <c r="F350">
        <v>59.04</v>
      </c>
    </row>
    <row r="351" spans="1:6" x14ac:dyDescent="0.25">
      <c r="A351" s="1">
        <v>46064</v>
      </c>
      <c r="B351" s="2" t="s">
        <v>14</v>
      </c>
      <c r="C351" s="2" t="s">
        <v>130</v>
      </c>
      <c r="D351" s="2" t="s">
        <v>11</v>
      </c>
      <c r="E351">
        <v>3</v>
      </c>
      <c r="F351">
        <v>168.24</v>
      </c>
    </row>
    <row r="352" spans="1:6" x14ac:dyDescent="0.25">
      <c r="A352" s="1">
        <v>46065</v>
      </c>
      <c r="B352" s="2" t="s">
        <v>6</v>
      </c>
      <c r="C352" s="2" t="s">
        <v>134</v>
      </c>
      <c r="D352" s="2" t="s">
        <v>11</v>
      </c>
      <c r="E352">
        <v>10</v>
      </c>
      <c r="F352">
        <v>475.2</v>
      </c>
    </row>
    <row r="353" spans="1:6" x14ac:dyDescent="0.25">
      <c r="A353" s="1">
        <v>46065</v>
      </c>
      <c r="B353" s="2" t="s">
        <v>18</v>
      </c>
      <c r="C353" s="2" t="s">
        <v>33</v>
      </c>
      <c r="D353" s="2" t="s">
        <v>17</v>
      </c>
      <c r="E353">
        <v>2</v>
      </c>
      <c r="F353">
        <v>41.8</v>
      </c>
    </row>
    <row r="354" spans="1:6" x14ac:dyDescent="0.25">
      <c r="A354" s="1">
        <v>46067</v>
      </c>
      <c r="B354" s="2" t="s">
        <v>21</v>
      </c>
      <c r="C354" s="2" t="s">
        <v>84</v>
      </c>
      <c r="D354" s="2" t="s">
        <v>27</v>
      </c>
      <c r="E354">
        <v>1</v>
      </c>
      <c r="F354">
        <v>44.93</v>
      </c>
    </row>
    <row r="355" spans="1:6" x14ac:dyDescent="0.25">
      <c r="A355" s="1">
        <v>46068</v>
      </c>
      <c r="B355" s="2" t="s">
        <v>9</v>
      </c>
      <c r="C355" s="2" t="s">
        <v>63</v>
      </c>
      <c r="D355" s="2" t="s">
        <v>20</v>
      </c>
      <c r="E355">
        <v>1</v>
      </c>
      <c r="F355">
        <v>203.47</v>
      </c>
    </row>
    <row r="356" spans="1:6" x14ac:dyDescent="0.25">
      <c r="A356" s="1">
        <v>46068</v>
      </c>
      <c r="B356" s="2" t="s">
        <v>14</v>
      </c>
      <c r="C356" s="2" t="s">
        <v>111</v>
      </c>
      <c r="D356" s="2" t="s">
        <v>8</v>
      </c>
      <c r="E356">
        <v>6</v>
      </c>
      <c r="F356">
        <v>235.8</v>
      </c>
    </row>
    <row r="357" spans="1:6" x14ac:dyDescent="0.25">
      <c r="A357" s="1">
        <v>46074</v>
      </c>
      <c r="B357" s="2" t="s">
        <v>6</v>
      </c>
      <c r="C357" s="2" t="s">
        <v>25</v>
      </c>
      <c r="D357" s="2" t="s">
        <v>8</v>
      </c>
      <c r="E357">
        <v>3</v>
      </c>
      <c r="F357">
        <v>93.45</v>
      </c>
    </row>
    <row r="358" spans="1:6" x14ac:dyDescent="0.25">
      <c r="A358" s="1">
        <v>46075</v>
      </c>
      <c r="B358" s="2" t="s">
        <v>14</v>
      </c>
      <c r="C358" s="2" t="s">
        <v>122</v>
      </c>
      <c r="D358" s="2" t="s">
        <v>27</v>
      </c>
      <c r="E358">
        <v>2</v>
      </c>
      <c r="F358">
        <v>135.41999999999999</v>
      </c>
    </row>
    <row r="359" spans="1:6" x14ac:dyDescent="0.25">
      <c r="A359" s="1">
        <v>46076</v>
      </c>
      <c r="B359" s="2" t="s">
        <v>6</v>
      </c>
      <c r="C359" s="2" t="s">
        <v>153</v>
      </c>
      <c r="D359" s="2" t="s">
        <v>29</v>
      </c>
      <c r="E359">
        <v>2</v>
      </c>
      <c r="F359">
        <v>521.02</v>
      </c>
    </row>
    <row r="360" spans="1:6" x14ac:dyDescent="0.25">
      <c r="A360" s="1">
        <v>46081</v>
      </c>
      <c r="B360" s="2" t="s">
        <v>21</v>
      </c>
      <c r="C360" s="2" t="s">
        <v>148</v>
      </c>
      <c r="D360" s="2" t="s">
        <v>11</v>
      </c>
      <c r="E360">
        <v>3</v>
      </c>
      <c r="F360">
        <v>195.39</v>
      </c>
    </row>
    <row r="361" spans="1:6" x14ac:dyDescent="0.25">
      <c r="A361" s="1">
        <v>46082</v>
      </c>
      <c r="B361" s="2" t="s">
        <v>21</v>
      </c>
      <c r="C361" s="2" t="s">
        <v>71</v>
      </c>
      <c r="D361" s="2" t="s">
        <v>37</v>
      </c>
      <c r="E361">
        <v>1</v>
      </c>
      <c r="F361">
        <v>41.31</v>
      </c>
    </row>
    <row r="362" spans="1:6" x14ac:dyDescent="0.25">
      <c r="A362" s="1">
        <v>46086</v>
      </c>
      <c r="B362" s="2" t="s">
        <v>18</v>
      </c>
      <c r="C362" s="2" t="s">
        <v>143</v>
      </c>
      <c r="D362" s="2" t="s">
        <v>17</v>
      </c>
      <c r="E362">
        <v>2</v>
      </c>
      <c r="F362">
        <v>57.62</v>
      </c>
    </row>
    <row r="363" spans="1:6" x14ac:dyDescent="0.25">
      <c r="A363" s="1">
        <v>46086</v>
      </c>
      <c r="B363" s="2" t="s">
        <v>9</v>
      </c>
      <c r="C363" s="2" t="s">
        <v>63</v>
      </c>
      <c r="D363" s="2" t="s">
        <v>70</v>
      </c>
      <c r="E363">
        <v>2</v>
      </c>
      <c r="F363">
        <v>75.08</v>
      </c>
    </row>
    <row r="364" spans="1:6" x14ac:dyDescent="0.25">
      <c r="A364" s="1">
        <v>46088</v>
      </c>
      <c r="B364" s="2" t="s">
        <v>6</v>
      </c>
      <c r="C364" s="2" t="s">
        <v>30</v>
      </c>
      <c r="D364" s="2" t="s">
        <v>11</v>
      </c>
      <c r="E364">
        <v>2</v>
      </c>
      <c r="F364">
        <v>119.92</v>
      </c>
    </row>
    <row r="365" spans="1:6" x14ac:dyDescent="0.25">
      <c r="A365" s="1">
        <v>46088</v>
      </c>
      <c r="B365" s="2" t="s">
        <v>21</v>
      </c>
      <c r="C365" s="2" t="s">
        <v>59</v>
      </c>
      <c r="D365" s="2" t="s">
        <v>20</v>
      </c>
      <c r="E365">
        <v>3</v>
      </c>
      <c r="F365">
        <v>641.58000000000004</v>
      </c>
    </row>
    <row r="366" spans="1:6" x14ac:dyDescent="0.25">
      <c r="A366" s="1">
        <v>46089</v>
      </c>
      <c r="B366" s="2" t="s">
        <v>9</v>
      </c>
      <c r="C366" s="2" t="s">
        <v>106</v>
      </c>
      <c r="D366" s="2" t="s">
        <v>8</v>
      </c>
      <c r="E366">
        <v>1</v>
      </c>
      <c r="F366">
        <v>26.91</v>
      </c>
    </row>
    <row r="367" spans="1:6" x14ac:dyDescent="0.25">
      <c r="A367" s="1">
        <v>46091</v>
      </c>
      <c r="B367" s="2" t="s">
        <v>14</v>
      </c>
      <c r="C367" s="2" t="s">
        <v>139</v>
      </c>
      <c r="D367" s="2" t="s">
        <v>23</v>
      </c>
      <c r="E367">
        <v>2</v>
      </c>
      <c r="F367">
        <v>292.52</v>
      </c>
    </row>
    <row r="368" spans="1:6" x14ac:dyDescent="0.25">
      <c r="A368" s="1">
        <v>46091</v>
      </c>
      <c r="B368" s="2" t="s">
        <v>18</v>
      </c>
      <c r="C368" s="2" t="s">
        <v>119</v>
      </c>
      <c r="D368" s="2" t="s">
        <v>29</v>
      </c>
      <c r="E368">
        <v>4</v>
      </c>
      <c r="F368">
        <v>1493.44</v>
      </c>
    </row>
    <row r="369" spans="1:6" x14ac:dyDescent="0.25">
      <c r="A369" s="1">
        <v>46093</v>
      </c>
      <c r="B369" s="2" t="s">
        <v>9</v>
      </c>
      <c r="C369" s="2" t="s">
        <v>28</v>
      </c>
      <c r="D369" s="2" t="s">
        <v>32</v>
      </c>
      <c r="E369">
        <v>8</v>
      </c>
      <c r="F369">
        <v>806.72</v>
      </c>
    </row>
    <row r="370" spans="1:6" x14ac:dyDescent="0.25">
      <c r="A370" s="1">
        <v>46094</v>
      </c>
      <c r="B370" s="2" t="s">
        <v>6</v>
      </c>
      <c r="C370" s="2" t="s">
        <v>86</v>
      </c>
      <c r="D370" s="2" t="s">
        <v>70</v>
      </c>
      <c r="E370">
        <v>3</v>
      </c>
      <c r="F370">
        <v>107.22</v>
      </c>
    </row>
    <row r="371" spans="1:6" x14ac:dyDescent="0.25">
      <c r="A371" s="1">
        <v>46095</v>
      </c>
      <c r="B371" s="2" t="s">
        <v>9</v>
      </c>
      <c r="C371" s="2" t="s">
        <v>140</v>
      </c>
      <c r="D371" s="2" t="s">
        <v>27</v>
      </c>
      <c r="E371">
        <v>1</v>
      </c>
      <c r="F371">
        <v>87.25</v>
      </c>
    </row>
    <row r="372" spans="1:6" x14ac:dyDescent="0.25">
      <c r="A372" s="1">
        <v>46098</v>
      </c>
      <c r="B372" s="2" t="s">
        <v>18</v>
      </c>
      <c r="C372" s="2" t="s">
        <v>90</v>
      </c>
      <c r="D372" s="2" t="s">
        <v>11</v>
      </c>
      <c r="E372">
        <v>4</v>
      </c>
      <c r="F372">
        <v>254.8</v>
      </c>
    </row>
    <row r="373" spans="1:6" x14ac:dyDescent="0.25">
      <c r="A373" s="1">
        <v>46098</v>
      </c>
      <c r="B373" s="2" t="s">
        <v>18</v>
      </c>
      <c r="C373" s="2" t="s">
        <v>30</v>
      </c>
      <c r="D373" s="2" t="s">
        <v>40</v>
      </c>
      <c r="E373">
        <v>1</v>
      </c>
      <c r="F373">
        <v>17.87</v>
      </c>
    </row>
    <row r="374" spans="1:6" x14ac:dyDescent="0.25">
      <c r="A374" s="1">
        <v>46105</v>
      </c>
      <c r="B374" s="2" t="s">
        <v>14</v>
      </c>
      <c r="C374" s="2" t="s">
        <v>128</v>
      </c>
      <c r="D374" s="2" t="s">
        <v>17</v>
      </c>
      <c r="E374">
        <v>3</v>
      </c>
      <c r="F374">
        <v>83.76</v>
      </c>
    </row>
    <row r="375" spans="1:6" x14ac:dyDescent="0.25">
      <c r="A375" s="1">
        <v>46106</v>
      </c>
      <c r="B375" s="2" t="s">
        <v>6</v>
      </c>
      <c r="C375" s="2" t="s">
        <v>134</v>
      </c>
      <c r="D375" s="2" t="s">
        <v>51</v>
      </c>
      <c r="E375">
        <v>5</v>
      </c>
      <c r="F375">
        <v>397.6</v>
      </c>
    </row>
    <row r="376" spans="1:6" x14ac:dyDescent="0.25">
      <c r="A376" s="1">
        <v>46106</v>
      </c>
      <c r="B376" s="2" t="s">
        <v>14</v>
      </c>
      <c r="C376" s="2" t="s">
        <v>60</v>
      </c>
      <c r="D376" s="2" t="s">
        <v>27</v>
      </c>
      <c r="E376">
        <v>2</v>
      </c>
      <c r="F376">
        <v>157.86000000000001</v>
      </c>
    </row>
    <row r="377" spans="1:6" x14ac:dyDescent="0.25">
      <c r="A377" s="1">
        <v>46107</v>
      </c>
      <c r="B377" s="2" t="s">
        <v>18</v>
      </c>
      <c r="C377" s="2" t="s">
        <v>57</v>
      </c>
      <c r="D377" s="2" t="s">
        <v>13</v>
      </c>
      <c r="E377">
        <v>10</v>
      </c>
      <c r="F377">
        <v>552.29999999999995</v>
      </c>
    </row>
    <row r="378" spans="1:6" x14ac:dyDescent="0.25">
      <c r="A378" s="1">
        <v>46110</v>
      </c>
      <c r="B378" s="2" t="s">
        <v>6</v>
      </c>
      <c r="C378" s="2" t="s">
        <v>49</v>
      </c>
      <c r="D378" s="2" t="s">
        <v>13</v>
      </c>
      <c r="E378">
        <v>10</v>
      </c>
      <c r="F378">
        <v>429.3</v>
      </c>
    </row>
    <row r="379" spans="1:6" x14ac:dyDescent="0.25">
      <c r="A379" s="1">
        <v>46112</v>
      </c>
      <c r="B379" s="2" t="s">
        <v>14</v>
      </c>
      <c r="C379" s="2" t="s">
        <v>41</v>
      </c>
      <c r="D379" s="2" t="s">
        <v>32</v>
      </c>
      <c r="E379">
        <v>5</v>
      </c>
      <c r="F379">
        <v>366.75</v>
      </c>
    </row>
    <row r="380" spans="1:6" x14ac:dyDescent="0.25">
      <c r="A380" s="1">
        <v>46112</v>
      </c>
      <c r="B380" s="2" t="s">
        <v>21</v>
      </c>
      <c r="C380" s="2" t="s">
        <v>144</v>
      </c>
      <c r="D380" s="2" t="s">
        <v>58</v>
      </c>
      <c r="E380">
        <v>8</v>
      </c>
      <c r="F380">
        <v>259.2</v>
      </c>
    </row>
    <row r="381" spans="1:6" x14ac:dyDescent="0.25">
      <c r="A381" s="1">
        <v>46112</v>
      </c>
      <c r="B381" s="2" t="s">
        <v>6</v>
      </c>
      <c r="C381" s="2" t="s">
        <v>80</v>
      </c>
      <c r="D381" s="2" t="s">
        <v>27</v>
      </c>
      <c r="E381">
        <v>5</v>
      </c>
      <c r="F381">
        <v>207.7</v>
      </c>
    </row>
    <row r="382" spans="1:6" x14ac:dyDescent="0.25">
      <c r="A382" s="1">
        <v>46114</v>
      </c>
      <c r="B382" s="2" t="s">
        <v>18</v>
      </c>
      <c r="C382" s="2" t="s">
        <v>139</v>
      </c>
      <c r="D382" s="2" t="s">
        <v>8</v>
      </c>
      <c r="E382">
        <v>3</v>
      </c>
      <c r="F382">
        <v>60</v>
      </c>
    </row>
    <row r="383" spans="1:6" x14ac:dyDescent="0.25">
      <c r="A383" s="1">
        <v>46115</v>
      </c>
      <c r="B383" s="2" t="s">
        <v>9</v>
      </c>
      <c r="C383" s="2" t="s">
        <v>142</v>
      </c>
      <c r="D383" s="2" t="s">
        <v>13</v>
      </c>
      <c r="E383">
        <v>8</v>
      </c>
      <c r="F383">
        <v>212.4</v>
      </c>
    </row>
    <row r="384" spans="1:6" x14ac:dyDescent="0.25">
      <c r="A384" s="1">
        <v>46118</v>
      </c>
      <c r="B384" s="2" t="s">
        <v>21</v>
      </c>
      <c r="C384" s="2" t="s">
        <v>130</v>
      </c>
      <c r="D384" s="2" t="s">
        <v>20</v>
      </c>
      <c r="E384">
        <v>10</v>
      </c>
      <c r="F384">
        <v>1630.7</v>
      </c>
    </row>
    <row r="385" spans="1:6" x14ac:dyDescent="0.25">
      <c r="A385" s="1">
        <v>46118</v>
      </c>
      <c r="B385" s="2" t="s">
        <v>21</v>
      </c>
      <c r="C385" s="2" t="s">
        <v>100</v>
      </c>
      <c r="D385" s="2" t="s">
        <v>51</v>
      </c>
      <c r="E385">
        <v>8</v>
      </c>
      <c r="F385">
        <v>958.08</v>
      </c>
    </row>
    <row r="386" spans="1:6" x14ac:dyDescent="0.25">
      <c r="A386" s="1">
        <v>46119</v>
      </c>
      <c r="B386" s="2" t="s">
        <v>18</v>
      </c>
      <c r="C386" s="2" t="s">
        <v>10</v>
      </c>
      <c r="D386" s="2" t="s">
        <v>23</v>
      </c>
      <c r="E386">
        <v>5</v>
      </c>
      <c r="F386">
        <v>984.55</v>
      </c>
    </row>
    <row r="387" spans="1:6" x14ac:dyDescent="0.25">
      <c r="A387" s="1">
        <v>46122</v>
      </c>
      <c r="B387" s="2" t="s">
        <v>14</v>
      </c>
      <c r="C387" s="2" t="s">
        <v>86</v>
      </c>
      <c r="D387" s="2" t="s">
        <v>40</v>
      </c>
      <c r="E387">
        <v>2</v>
      </c>
      <c r="F387">
        <v>43.64</v>
      </c>
    </row>
    <row r="388" spans="1:6" x14ac:dyDescent="0.25">
      <c r="A388" s="1">
        <v>46123</v>
      </c>
      <c r="B388" s="2" t="s">
        <v>21</v>
      </c>
      <c r="C388" s="2" t="s">
        <v>15</v>
      </c>
      <c r="D388" s="2" t="s">
        <v>8</v>
      </c>
      <c r="E388">
        <v>8</v>
      </c>
      <c r="F388">
        <v>319.12</v>
      </c>
    </row>
    <row r="389" spans="1:6" x14ac:dyDescent="0.25">
      <c r="A389" s="1">
        <v>46124</v>
      </c>
      <c r="B389" s="2" t="s">
        <v>21</v>
      </c>
      <c r="C389" s="2" t="s">
        <v>44</v>
      </c>
      <c r="D389" s="2" t="s">
        <v>8</v>
      </c>
      <c r="E389">
        <v>2</v>
      </c>
      <c r="F389">
        <v>58.58</v>
      </c>
    </row>
    <row r="390" spans="1:6" x14ac:dyDescent="0.25">
      <c r="A390" s="1">
        <v>46126</v>
      </c>
      <c r="B390" s="2" t="s">
        <v>21</v>
      </c>
      <c r="C390" s="2" t="s">
        <v>127</v>
      </c>
      <c r="D390" s="2" t="s">
        <v>58</v>
      </c>
      <c r="E390">
        <v>3</v>
      </c>
      <c r="F390">
        <v>82.26</v>
      </c>
    </row>
    <row r="391" spans="1:6" x14ac:dyDescent="0.25">
      <c r="A391" s="1">
        <v>46126</v>
      </c>
      <c r="B391" s="2" t="s">
        <v>14</v>
      </c>
      <c r="C391" s="2" t="s">
        <v>141</v>
      </c>
      <c r="D391" s="2" t="s">
        <v>17</v>
      </c>
      <c r="E391">
        <v>3</v>
      </c>
      <c r="F391">
        <v>68.22</v>
      </c>
    </row>
    <row r="392" spans="1:6" x14ac:dyDescent="0.25">
      <c r="A392" s="1">
        <v>46128</v>
      </c>
      <c r="B392" s="2" t="s">
        <v>18</v>
      </c>
      <c r="C392" s="2" t="s">
        <v>101</v>
      </c>
      <c r="D392" s="2" t="s">
        <v>34</v>
      </c>
      <c r="E392">
        <v>8</v>
      </c>
      <c r="F392">
        <v>285.2</v>
      </c>
    </row>
    <row r="393" spans="1:6" x14ac:dyDescent="0.25">
      <c r="A393" s="1">
        <v>46128</v>
      </c>
      <c r="B393" s="2" t="s">
        <v>21</v>
      </c>
      <c r="C393" s="2" t="s">
        <v>140</v>
      </c>
      <c r="D393" s="2" t="s">
        <v>40</v>
      </c>
      <c r="E393">
        <v>10</v>
      </c>
      <c r="F393">
        <v>169.8</v>
      </c>
    </row>
    <row r="394" spans="1:6" x14ac:dyDescent="0.25">
      <c r="A394" s="1">
        <v>46128</v>
      </c>
      <c r="B394" s="2" t="s">
        <v>14</v>
      </c>
      <c r="C394" s="2" t="s">
        <v>136</v>
      </c>
      <c r="D394" s="2" t="s">
        <v>40</v>
      </c>
      <c r="E394">
        <v>1</v>
      </c>
      <c r="F394">
        <v>16.62</v>
      </c>
    </row>
    <row r="395" spans="1:6" x14ac:dyDescent="0.25">
      <c r="A395" s="1">
        <v>46129</v>
      </c>
      <c r="B395" s="2" t="s">
        <v>21</v>
      </c>
      <c r="C395" s="2" t="s">
        <v>155</v>
      </c>
      <c r="D395" s="2" t="s">
        <v>17</v>
      </c>
      <c r="E395">
        <v>10</v>
      </c>
      <c r="F395">
        <v>276.8</v>
      </c>
    </row>
    <row r="396" spans="1:6" x14ac:dyDescent="0.25">
      <c r="A396" s="1">
        <v>46129</v>
      </c>
      <c r="B396" s="2" t="s">
        <v>21</v>
      </c>
      <c r="C396" s="2" t="s">
        <v>156</v>
      </c>
      <c r="D396" s="2" t="s">
        <v>11</v>
      </c>
      <c r="E396">
        <v>1</v>
      </c>
      <c r="F396">
        <v>38.380000000000003</v>
      </c>
    </row>
    <row r="397" spans="1:6" x14ac:dyDescent="0.25">
      <c r="A397" s="1">
        <v>46129</v>
      </c>
      <c r="B397" s="2" t="s">
        <v>18</v>
      </c>
      <c r="C397" s="2" t="s">
        <v>12</v>
      </c>
      <c r="D397" s="2" t="s">
        <v>34</v>
      </c>
      <c r="E397">
        <v>1</v>
      </c>
      <c r="F397">
        <v>41.61</v>
      </c>
    </row>
    <row r="398" spans="1:6" x14ac:dyDescent="0.25">
      <c r="A398" s="1">
        <v>46130</v>
      </c>
      <c r="B398" s="2" t="s">
        <v>6</v>
      </c>
      <c r="C398" s="2" t="s">
        <v>63</v>
      </c>
      <c r="D398" s="2" t="s">
        <v>58</v>
      </c>
      <c r="E398">
        <v>2</v>
      </c>
      <c r="F398">
        <v>63.26</v>
      </c>
    </row>
    <row r="399" spans="1:6" x14ac:dyDescent="0.25">
      <c r="A399" s="1">
        <v>46131</v>
      </c>
      <c r="B399" s="2" t="s">
        <v>21</v>
      </c>
      <c r="C399" s="2" t="s">
        <v>97</v>
      </c>
      <c r="D399" s="2" t="s">
        <v>11</v>
      </c>
      <c r="E399">
        <v>2</v>
      </c>
      <c r="F399">
        <v>139.80000000000001</v>
      </c>
    </row>
    <row r="400" spans="1:6" x14ac:dyDescent="0.25">
      <c r="A400" s="1">
        <v>46133</v>
      </c>
      <c r="B400" s="2" t="s">
        <v>21</v>
      </c>
      <c r="C400" s="2" t="s">
        <v>24</v>
      </c>
      <c r="D400" s="2" t="s">
        <v>27</v>
      </c>
      <c r="E400">
        <v>1</v>
      </c>
      <c r="F400">
        <v>42.27</v>
      </c>
    </row>
    <row r="401" spans="1:6" x14ac:dyDescent="0.25">
      <c r="A401" s="1">
        <v>46135</v>
      </c>
      <c r="B401" s="2" t="s">
        <v>6</v>
      </c>
      <c r="C401" s="2" t="s">
        <v>64</v>
      </c>
      <c r="D401" s="2" t="s">
        <v>13</v>
      </c>
      <c r="E401">
        <v>3</v>
      </c>
      <c r="F401">
        <v>115.89</v>
      </c>
    </row>
    <row r="402" spans="1:6" x14ac:dyDescent="0.25">
      <c r="A402" s="1">
        <v>46135</v>
      </c>
      <c r="B402" s="2" t="s">
        <v>9</v>
      </c>
      <c r="C402" s="2" t="s">
        <v>75</v>
      </c>
      <c r="D402" s="2" t="s">
        <v>34</v>
      </c>
      <c r="E402">
        <v>10</v>
      </c>
      <c r="F402">
        <v>365.4</v>
      </c>
    </row>
    <row r="403" spans="1:6" x14ac:dyDescent="0.25">
      <c r="A403" s="1">
        <v>46138</v>
      </c>
      <c r="B403" s="2" t="s">
        <v>6</v>
      </c>
      <c r="C403" s="2" t="s">
        <v>61</v>
      </c>
      <c r="D403" s="2" t="s">
        <v>32</v>
      </c>
      <c r="E403">
        <v>1</v>
      </c>
      <c r="F403">
        <v>146.88999999999999</v>
      </c>
    </row>
    <row r="404" spans="1:6" x14ac:dyDescent="0.25">
      <c r="A404" s="1">
        <v>46139</v>
      </c>
      <c r="B404" s="2" t="s">
        <v>21</v>
      </c>
      <c r="C404" s="2" t="s">
        <v>129</v>
      </c>
      <c r="D404" s="2" t="s">
        <v>13</v>
      </c>
      <c r="E404">
        <v>2</v>
      </c>
      <c r="F404">
        <v>99.48</v>
      </c>
    </row>
    <row r="405" spans="1:6" x14ac:dyDescent="0.25">
      <c r="A405" s="1">
        <v>46139</v>
      </c>
      <c r="B405" s="2" t="s">
        <v>21</v>
      </c>
      <c r="C405" s="2" t="s">
        <v>24</v>
      </c>
      <c r="D405" s="2" t="s">
        <v>32</v>
      </c>
      <c r="E405">
        <v>2</v>
      </c>
      <c r="F405">
        <v>240.62</v>
      </c>
    </row>
    <row r="406" spans="1:6" x14ac:dyDescent="0.25">
      <c r="A406" s="1">
        <v>46139</v>
      </c>
      <c r="B406" s="2" t="s">
        <v>21</v>
      </c>
      <c r="C406" s="2" t="s">
        <v>124</v>
      </c>
      <c r="D406" s="2" t="s">
        <v>58</v>
      </c>
      <c r="E406">
        <v>1</v>
      </c>
      <c r="F406">
        <v>23.62</v>
      </c>
    </row>
    <row r="407" spans="1:6" x14ac:dyDescent="0.25">
      <c r="A407" s="1">
        <v>46140</v>
      </c>
      <c r="B407" s="2" t="s">
        <v>14</v>
      </c>
      <c r="C407" s="2" t="s">
        <v>153</v>
      </c>
      <c r="D407" s="2" t="s">
        <v>51</v>
      </c>
      <c r="E407">
        <v>2</v>
      </c>
      <c r="F407">
        <v>207.3</v>
      </c>
    </row>
    <row r="408" spans="1:6" x14ac:dyDescent="0.25">
      <c r="A408" s="1">
        <v>46141</v>
      </c>
      <c r="B408" s="2" t="s">
        <v>18</v>
      </c>
      <c r="C408" s="2" t="s">
        <v>93</v>
      </c>
      <c r="D408" s="2" t="s">
        <v>20</v>
      </c>
      <c r="E408">
        <v>5</v>
      </c>
      <c r="F408">
        <v>754.45</v>
      </c>
    </row>
    <row r="409" spans="1:6" x14ac:dyDescent="0.25">
      <c r="A409" s="1">
        <v>46141</v>
      </c>
      <c r="B409" s="2" t="s">
        <v>14</v>
      </c>
      <c r="C409" s="2" t="s">
        <v>153</v>
      </c>
      <c r="D409" s="2" t="s">
        <v>58</v>
      </c>
      <c r="E409">
        <v>4</v>
      </c>
      <c r="F409">
        <v>138.24</v>
      </c>
    </row>
    <row r="410" spans="1:6" x14ac:dyDescent="0.25">
      <c r="A410" s="1">
        <v>46141</v>
      </c>
      <c r="B410" s="2" t="s">
        <v>14</v>
      </c>
      <c r="C410" s="2" t="s">
        <v>139</v>
      </c>
      <c r="D410" s="2" t="s">
        <v>11</v>
      </c>
      <c r="E410">
        <v>1</v>
      </c>
      <c r="F410">
        <v>67.290000000000006</v>
      </c>
    </row>
    <row r="411" spans="1:6" x14ac:dyDescent="0.25">
      <c r="A411" s="1">
        <v>46142</v>
      </c>
      <c r="B411" s="2" t="s">
        <v>18</v>
      </c>
      <c r="C411" s="2" t="s">
        <v>19</v>
      </c>
      <c r="D411" s="2" t="s">
        <v>37</v>
      </c>
      <c r="E411">
        <v>4</v>
      </c>
      <c r="F411">
        <v>226.2</v>
      </c>
    </row>
    <row r="412" spans="1:6" x14ac:dyDescent="0.25">
      <c r="A412" s="1">
        <v>46144</v>
      </c>
      <c r="B412" s="2" t="s">
        <v>6</v>
      </c>
      <c r="C412" s="2" t="s">
        <v>126</v>
      </c>
      <c r="D412" s="2" t="s">
        <v>70</v>
      </c>
      <c r="E412">
        <v>2</v>
      </c>
      <c r="F412">
        <v>82</v>
      </c>
    </row>
    <row r="413" spans="1:6" x14ac:dyDescent="0.25">
      <c r="A413" s="1">
        <v>46147</v>
      </c>
      <c r="B413" s="2" t="s">
        <v>9</v>
      </c>
      <c r="C413" s="2" t="s">
        <v>52</v>
      </c>
      <c r="D413" s="2" t="s">
        <v>32</v>
      </c>
      <c r="E413">
        <v>1</v>
      </c>
      <c r="F413">
        <v>101.37</v>
      </c>
    </row>
    <row r="414" spans="1:6" x14ac:dyDescent="0.25">
      <c r="A414" s="1">
        <v>46148</v>
      </c>
      <c r="B414" s="2" t="s">
        <v>9</v>
      </c>
      <c r="C414" s="2" t="s">
        <v>62</v>
      </c>
      <c r="D414" s="2" t="s">
        <v>51</v>
      </c>
      <c r="E414">
        <v>4</v>
      </c>
      <c r="F414">
        <v>501.64</v>
      </c>
    </row>
    <row r="415" spans="1:6" x14ac:dyDescent="0.25">
      <c r="A415" s="1">
        <v>46152</v>
      </c>
      <c r="B415" s="2" t="s">
        <v>18</v>
      </c>
      <c r="C415" s="2" t="s">
        <v>56</v>
      </c>
      <c r="D415" s="2" t="s">
        <v>37</v>
      </c>
      <c r="E415">
        <v>3</v>
      </c>
      <c r="F415">
        <v>98.76</v>
      </c>
    </row>
    <row r="416" spans="1:6" x14ac:dyDescent="0.25">
      <c r="A416" s="1">
        <v>46153</v>
      </c>
      <c r="B416" s="2" t="s">
        <v>21</v>
      </c>
      <c r="C416" s="2" t="s">
        <v>16</v>
      </c>
      <c r="D416" s="2" t="s">
        <v>51</v>
      </c>
      <c r="E416">
        <v>10</v>
      </c>
      <c r="F416">
        <v>1026.0999999999999</v>
      </c>
    </row>
    <row r="417" spans="1:6" x14ac:dyDescent="0.25">
      <c r="A417" s="1">
        <v>46153</v>
      </c>
      <c r="B417" s="2" t="s">
        <v>14</v>
      </c>
      <c r="C417" s="2" t="s">
        <v>82</v>
      </c>
      <c r="D417" s="2" t="s">
        <v>37</v>
      </c>
      <c r="E417">
        <v>2</v>
      </c>
      <c r="F417">
        <v>117.68</v>
      </c>
    </row>
    <row r="418" spans="1:6" x14ac:dyDescent="0.25">
      <c r="A418" s="1">
        <v>46154</v>
      </c>
      <c r="B418" s="2" t="s">
        <v>14</v>
      </c>
      <c r="C418" s="2" t="s">
        <v>157</v>
      </c>
      <c r="D418" s="2" t="s">
        <v>29</v>
      </c>
      <c r="E418">
        <v>5</v>
      </c>
      <c r="F418">
        <v>1999.15</v>
      </c>
    </row>
    <row r="419" spans="1:6" x14ac:dyDescent="0.25">
      <c r="A419" s="1">
        <v>46154</v>
      </c>
      <c r="B419" s="2" t="s">
        <v>18</v>
      </c>
      <c r="C419" s="2" t="s">
        <v>131</v>
      </c>
      <c r="D419" s="2" t="s">
        <v>17</v>
      </c>
      <c r="E419">
        <v>3</v>
      </c>
      <c r="F419">
        <v>88.05</v>
      </c>
    </row>
    <row r="420" spans="1:6" x14ac:dyDescent="0.25">
      <c r="A420" s="1">
        <v>46154</v>
      </c>
      <c r="B420" s="2" t="s">
        <v>21</v>
      </c>
      <c r="C420" s="2" t="s">
        <v>142</v>
      </c>
      <c r="D420" s="2" t="s">
        <v>58</v>
      </c>
      <c r="E420">
        <v>1</v>
      </c>
      <c r="F420">
        <v>27.52</v>
      </c>
    </row>
    <row r="421" spans="1:6" x14ac:dyDescent="0.25">
      <c r="A421" s="1">
        <v>46156</v>
      </c>
      <c r="B421" s="2" t="s">
        <v>9</v>
      </c>
      <c r="C421" s="2" t="s">
        <v>155</v>
      </c>
      <c r="D421" s="2" t="s">
        <v>58</v>
      </c>
      <c r="E421">
        <v>2</v>
      </c>
      <c r="F421">
        <v>45.82</v>
      </c>
    </row>
    <row r="422" spans="1:6" x14ac:dyDescent="0.25">
      <c r="A422" s="1">
        <v>46157</v>
      </c>
      <c r="B422" s="2" t="s">
        <v>9</v>
      </c>
      <c r="C422" s="2" t="s">
        <v>63</v>
      </c>
      <c r="D422" s="2" t="s">
        <v>23</v>
      </c>
      <c r="E422">
        <v>1</v>
      </c>
      <c r="F422">
        <v>127.56</v>
      </c>
    </row>
    <row r="423" spans="1:6" x14ac:dyDescent="0.25">
      <c r="A423" s="1">
        <v>46158</v>
      </c>
      <c r="B423" s="2" t="s">
        <v>21</v>
      </c>
      <c r="C423" s="2" t="s">
        <v>50</v>
      </c>
      <c r="D423" s="2" t="s">
        <v>32</v>
      </c>
      <c r="E423">
        <v>4</v>
      </c>
      <c r="F423">
        <v>576.12</v>
      </c>
    </row>
    <row r="424" spans="1:6" x14ac:dyDescent="0.25">
      <c r="A424" s="1">
        <v>46158</v>
      </c>
      <c r="B424" s="2" t="s">
        <v>14</v>
      </c>
      <c r="C424" s="2" t="s">
        <v>95</v>
      </c>
      <c r="D424" s="2" t="s">
        <v>20</v>
      </c>
      <c r="E424">
        <v>10</v>
      </c>
      <c r="F424">
        <v>1594.6</v>
      </c>
    </row>
    <row r="425" spans="1:6" x14ac:dyDescent="0.25">
      <c r="A425" s="1">
        <v>46158</v>
      </c>
      <c r="B425" s="2" t="s">
        <v>18</v>
      </c>
      <c r="C425" s="2" t="s">
        <v>57</v>
      </c>
      <c r="D425" s="2" t="s">
        <v>29</v>
      </c>
      <c r="E425">
        <v>1</v>
      </c>
      <c r="F425">
        <v>330.99</v>
      </c>
    </row>
    <row r="426" spans="1:6" x14ac:dyDescent="0.25">
      <c r="A426" s="1">
        <v>46159</v>
      </c>
      <c r="B426" s="2" t="s">
        <v>9</v>
      </c>
      <c r="C426" s="2" t="s">
        <v>24</v>
      </c>
      <c r="D426" s="2" t="s">
        <v>37</v>
      </c>
      <c r="E426">
        <v>1</v>
      </c>
      <c r="F426">
        <v>57.61</v>
      </c>
    </row>
    <row r="427" spans="1:6" x14ac:dyDescent="0.25">
      <c r="A427" s="1">
        <v>46160</v>
      </c>
      <c r="B427" s="2" t="s">
        <v>6</v>
      </c>
      <c r="C427" s="2" t="s">
        <v>45</v>
      </c>
      <c r="D427" s="2" t="s">
        <v>27</v>
      </c>
      <c r="E427">
        <v>2</v>
      </c>
      <c r="F427">
        <v>102.16</v>
      </c>
    </row>
    <row r="428" spans="1:6" x14ac:dyDescent="0.25">
      <c r="A428" s="1">
        <v>46160</v>
      </c>
      <c r="B428" s="2" t="s">
        <v>9</v>
      </c>
      <c r="C428" s="2" t="s">
        <v>81</v>
      </c>
      <c r="D428" s="2" t="s">
        <v>32</v>
      </c>
      <c r="E428">
        <v>3</v>
      </c>
      <c r="F428">
        <v>255.69</v>
      </c>
    </row>
    <row r="429" spans="1:6" x14ac:dyDescent="0.25">
      <c r="A429" s="1">
        <v>46165</v>
      </c>
      <c r="B429" s="2" t="s">
        <v>9</v>
      </c>
      <c r="C429" s="2" t="s">
        <v>158</v>
      </c>
      <c r="D429" s="2" t="s">
        <v>20</v>
      </c>
      <c r="E429">
        <v>1</v>
      </c>
      <c r="F429">
        <v>173.03</v>
      </c>
    </row>
    <row r="430" spans="1:6" x14ac:dyDescent="0.25">
      <c r="A430" s="1">
        <v>46167</v>
      </c>
      <c r="B430" s="2" t="s">
        <v>6</v>
      </c>
      <c r="C430" s="2" t="s">
        <v>159</v>
      </c>
      <c r="D430" s="2" t="s">
        <v>70</v>
      </c>
      <c r="E430">
        <v>8</v>
      </c>
      <c r="F430">
        <v>253.92</v>
      </c>
    </row>
    <row r="431" spans="1:6" x14ac:dyDescent="0.25">
      <c r="A431" s="1">
        <v>46170</v>
      </c>
      <c r="B431" s="2" t="s">
        <v>9</v>
      </c>
      <c r="C431" s="2" t="s">
        <v>12</v>
      </c>
      <c r="D431" s="2" t="s">
        <v>27</v>
      </c>
      <c r="E431">
        <v>3</v>
      </c>
      <c r="F431">
        <v>249.27</v>
      </c>
    </row>
    <row r="432" spans="1:6" x14ac:dyDescent="0.25">
      <c r="A432" s="1">
        <v>46174</v>
      </c>
      <c r="B432" s="2" t="s">
        <v>6</v>
      </c>
      <c r="C432" s="2" t="s">
        <v>103</v>
      </c>
      <c r="D432" s="2" t="s">
        <v>20</v>
      </c>
      <c r="E432">
        <v>1</v>
      </c>
      <c r="F432">
        <v>276.42</v>
      </c>
    </row>
    <row r="433" spans="1:6" x14ac:dyDescent="0.25">
      <c r="A433" s="1">
        <v>46175</v>
      </c>
      <c r="B433" s="2" t="s">
        <v>6</v>
      </c>
      <c r="C433" s="2" t="s">
        <v>24</v>
      </c>
      <c r="D433" s="2" t="s">
        <v>29</v>
      </c>
      <c r="E433">
        <v>3</v>
      </c>
      <c r="F433">
        <v>911.73</v>
      </c>
    </row>
    <row r="434" spans="1:6" x14ac:dyDescent="0.25">
      <c r="A434" s="1">
        <v>46177</v>
      </c>
      <c r="B434" s="2" t="s">
        <v>9</v>
      </c>
      <c r="C434" s="2" t="s">
        <v>97</v>
      </c>
      <c r="D434" s="2" t="s">
        <v>11</v>
      </c>
      <c r="E434">
        <v>3</v>
      </c>
      <c r="F434">
        <v>82.17</v>
      </c>
    </row>
    <row r="435" spans="1:6" x14ac:dyDescent="0.25">
      <c r="A435" s="1">
        <v>46178</v>
      </c>
      <c r="B435" s="2" t="s">
        <v>14</v>
      </c>
      <c r="C435" s="2" t="s">
        <v>98</v>
      </c>
      <c r="D435" s="2" t="s">
        <v>27</v>
      </c>
      <c r="E435">
        <v>5</v>
      </c>
      <c r="F435">
        <v>217</v>
      </c>
    </row>
    <row r="436" spans="1:6" x14ac:dyDescent="0.25">
      <c r="A436" s="1">
        <v>46178</v>
      </c>
      <c r="B436" s="2" t="s">
        <v>18</v>
      </c>
      <c r="C436" s="2" t="s">
        <v>104</v>
      </c>
      <c r="D436" s="2" t="s">
        <v>37</v>
      </c>
      <c r="E436">
        <v>10</v>
      </c>
      <c r="F436">
        <v>616</v>
      </c>
    </row>
    <row r="437" spans="1:6" x14ac:dyDescent="0.25">
      <c r="A437" s="1">
        <v>46179</v>
      </c>
      <c r="B437" s="2" t="s">
        <v>6</v>
      </c>
      <c r="C437" s="2" t="s">
        <v>55</v>
      </c>
      <c r="D437" s="2" t="s">
        <v>58</v>
      </c>
      <c r="E437">
        <v>1</v>
      </c>
      <c r="F437">
        <v>15.78</v>
      </c>
    </row>
    <row r="438" spans="1:6" x14ac:dyDescent="0.25">
      <c r="A438" s="1">
        <v>46179</v>
      </c>
      <c r="B438" s="2" t="s">
        <v>9</v>
      </c>
      <c r="C438" s="2" t="s">
        <v>138</v>
      </c>
      <c r="D438" s="2" t="s">
        <v>8</v>
      </c>
      <c r="E438">
        <v>5</v>
      </c>
      <c r="F438">
        <v>112.45</v>
      </c>
    </row>
    <row r="439" spans="1:6" x14ac:dyDescent="0.25">
      <c r="A439" s="1">
        <v>46181</v>
      </c>
      <c r="B439" s="2" t="s">
        <v>6</v>
      </c>
      <c r="C439" s="2" t="s">
        <v>145</v>
      </c>
      <c r="D439" s="2" t="s">
        <v>23</v>
      </c>
      <c r="E439">
        <v>1</v>
      </c>
      <c r="F439">
        <v>181.97</v>
      </c>
    </row>
    <row r="440" spans="1:6" x14ac:dyDescent="0.25">
      <c r="A440" s="1">
        <v>46185</v>
      </c>
      <c r="B440" s="2" t="s">
        <v>18</v>
      </c>
      <c r="C440" s="2" t="s">
        <v>87</v>
      </c>
      <c r="D440" s="2" t="s">
        <v>40</v>
      </c>
      <c r="E440">
        <v>5</v>
      </c>
      <c r="F440">
        <v>73.900000000000006</v>
      </c>
    </row>
    <row r="441" spans="1:6" x14ac:dyDescent="0.25">
      <c r="A441" s="1">
        <v>46188</v>
      </c>
      <c r="B441" s="2" t="s">
        <v>6</v>
      </c>
      <c r="C441" s="2" t="s">
        <v>142</v>
      </c>
      <c r="D441" s="2" t="s">
        <v>51</v>
      </c>
      <c r="E441">
        <v>2</v>
      </c>
      <c r="F441">
        <v>250.1</v>
      </c>
    </row>
    <row r="442" spans="1:6" x14ac:dyDescent="0.25">
      <c r="A442" s="1">
        <v>46189</v>
      </c>
      <c r="B442" s="2" t="s">
        <v>21</v>
      </c>
      <c r="C442" s="2" t="s">
        <v>19</v>
      </c>
      <c r="D442" s="2" t="s">
        <v>8</v>
      </c>
      <c r="E442">
        <v>3</v>
      </c>
      <c r="F442">
        <v>50.91</v>
      </c>
    </row>
    <row r="443" spans="1:6" x14ac:dyDescent="0.25">
      <c r="A443" s="1">
        <v>46190</v>
      </c>
      <c r="B443" s="2" t="s">
        <v>6</v>
      </c>
      <c r="C443" s="2" t="s">
        <v>106</v>
      </c>
      <c r="D443" s="2" t="s">
        <v>29</v>
      </c>
      <c r="E443">
        <v>2</v>
      </c>
      <c r="F443">
        <v>758.46</v>
      </c>
    </row>
    <row r="444" spans="1:6" x14ac:dyDescent="0.25">
      <c r="A444" s="1">
        <v>46191</v>
      </c>
      <c r="B444" s="2" t="s">
        <v>18</v>
      </c>
      <c r="C444" s="2" t="s">
        <v>116</v>
      </c>
      <c r="D444" s="2" t="s">
        <v>37</v>
      </c>
      <c r="E444">
        <v>2</v>
      </c>
      <c r="F444">
        <v>64.88</v>
      </c>
    </row>
    <row r="445" spans="1:6" x14ac:dyDescent="0.25">
      <c r="A445" s="1">
        <v>46193</v>
      </c>
      <c r="B445" s="2" t="s">
        <v>21</v>
      </c>
      <c r="C445" s="2" t="s">
        <v>126</v>
      </c>
      <c r="D445" s="2" t="s">
        <v>13</v>
      </c>
      <c r="E445">
        <v>6</v>
      </c>
      <c r="F445">
        <v>300.42</v>
      </c>
    </row>
    <row r="446" spans="1:6" x14ac:dyDescent="0.25">
      <c r="A446" s="1">
        <v>46197</v>
      </c>
      <c r="B446" s="2" t="s">
        <v>14</v>
      </c>
      <c r="C446" s="2" t="s">
        <v>150</v>
      </c>
      <c r="D446" s="2" t="s">
        <v>40</v>
      </c>
      <c r="E446">
        <v>10</v>
      </c>
      <c r="F446">
        <v>192.7</v>
      </c>
    </row>
    <row r="447" spans="1:6" x14ac:dyDescent="0.25">
      <c r="A447" s="1">
        <v>46198</v>
      </c>
      <c r="B447" s="2" t="s">
        <v>6</v>
      </c>
      <c r="C447" s="2" t="s">
        <v>141</v>
      </c>
      <c r="D447" s="2" t="s">
        <v>70</v>
      </c>
      <c r="E447">
        <v>2</v>
      </c>
      <c r="F447">
        <v>51.88</v>
      </c>
    </row>
    <row r="448" spans="1:6" x14ac:dyDescent="0.25">
      <c r="A448" s="1">
        <v>46199</v>
      </c>
      <c r="B448" s="2" t="s">
        <v>14</v>
      </c>
      <c r="C448" s="2" t="s">
        <v>146</v>
      </c>
      <c r="D448" s="2" t="s">
        <v>40</v>
      </c>
      <c r="E448">
        <v>6</v>
      </c>
      <c r="F448">
        <v>69.3</v>
      </c>
    </row>
    <row r="449" spans="1:6" x14ac:dyDescent="0.25">
      <c r="A449" s="1">
        <v>46201</v>
      </c>
      <c r="B449" s="2" t="s">
        <v>21</v>
      </c>
      <c r="C449" s="2" t="s">
        <v>148</v>
      </c>
      <c r="D449" s="2" t="s">
        <v>51</v>
      </c>
      <c r="E449">
        <v>5</v>
      </c>
      <c r="F449">
        <v>479.05</v>
      </c>
    </row>
    <row r="450" spans="1:6" x14ac:dyDescent="0.25">
      <c r="A450" s="1">
        <v>46201</v>
      </c>
      <c r="B450" s="2" t="s">
        <v>18</v>
      </c>
      <c r="C450" s="2" t="s">
        <v>86</v>
      </c>
      <c r="D450" s="2" t="s">
        <v>58</v>
      </c>
      <c r="E450">
        <v>1</v>
      </c>
      <c r="F450">
        <v>23.27</v>
      </c>
    </row>
    <row r="451" spans="1:6" x14ac:dyDescent="0.25">
      <c r="A451" s="1">
        <v>46202</v>
      </c>
      <c r="B451" s="2" t="s">
        <v>6</v>
      </c>
      <c r="C451" s="2" t="s">
        <v>121</v>
      </c>
      <c r="D451" s="2" t="s">
        <v>13</v>
      </c>
      <c r="E451">
        <v>3</v>
      </c>
      <c r="F451">
        <v>111.36</v>
      </c>
    </row>
    <row r="452" spans="1:6" x14ac:dyDescent="0.25">
      <c r="A452" s="1">
        <v>46202</v>
      </c>
      <c r="B452" s="2" t="s">
        <v>9</v>
      </c>
      <c r="C452" s="2" t="s">
        <v>116</v>
      </c>
      <c r="D452" s="2" t="s">
        <v>58</v>
      </c>
      <c r="E452">
        <v>1</v>
      </c>
      <c r="F452">
        <v>25.59</v>
      </c>
    </row>
    <row r="453" spans="1:6" x14ac:dyDescent="0.25">
      <c r="A453" s="1">
        <v>46203</v>
      </c>
      <c r="B453" s="2" t="s">
        <v>21</v>
      </c>
      <c r="C453" s="2" t="s">
        <v>36</v>
      </c>
      <c r="D453" s="2" t="s">
        <v>32</v>
      </c>
      <c r="E453">
        <v>6</v>
      </c>
      <c r="F453">
        <v>776.88</v>
      </c>
    </row>
    <row r="454" spans="1:6" x14ac:dyDescent="0.25">
      <c r="A454" s="1">
        <v>46204</v>
      </c>
      <c r="B454" s="2" t="s">
        <v>18</v>
      </c>
      <c r="C454" s="2" t="s">
        <v>135</v>
      </c>
      <c r="D454" s="2" t="s">
        <v>58</v>
      </c>
      <c r="E454">
        <v>1</v>
      </c>
      <c r="F454">
        <v>26.07</v>
      </c>
    </row>
    <row r="455" spans="1:6" x14ac:dyDescent="0.25">
      <c r="A455" s="1">
        <v>46204</v>
      </c>
      <c r="B455" s="2" t="s">
        <v>14</v>
      </c>
      <c r="C455" s="2" t="s">
        <v>55</v>
      </c>
      <c r="D455" s="2" t="s">
        <v>29</v>
      </c>
      <c r="E455">
        <v>1</v>
      </c>
      <c r="F455">
        <v>347.95</v>
      </c>
    </row>
    <row r="456" spans="1:6" x14ac:dyDescent="0.25">
      <c r="A456" s="1">
        <v>46204</v>
      </c>
      <c r="B456" s="2" t="s">
        <v>21</v>
      </c>
      <c r="C456" s="2" t="s">
        <v>155</v>
      </c>
      <c r="D456" s="2" t="s">
        <v>37</v>
      </c>
      <c r="E456">
        <v>2</v>
      </c>
      <c r="F456">
        <v>101.02</v>
      </c>
    </row>
    <row r="457" spans="1:6" x14ac:dyDescent="0.25">
      <c r="A457" s="1">
        <v>46207</v>
      </c>
      <c r="B457" s="2" t="s">
        <v>21</v>
      </c>
      <c r="C457" s="2" t="s">
        <v>157</v>
      </c>
      <c r="D457" s="2" t="s">
        <v>27</v>
      </c>
      <c r="E457">
        <v>2</v>
      </c>
      <c r="F457">
        <v>97.86</v>
      </c>
    </row>
    <row r="458" spans="1:6" x14ac:dyDescent="0.25">
      <c r="A458" s="1">
        <v>46207</v>
      </c>
      <c r="B458" s="2" t="s">
        <v>9</v>
      </c>
      <c r="C458" s="2" t="s">
        <v>19</v>
      </c>
      <c r="D458" s="2" t="s">
        <v>27</v>
      </c>
      <c r="E458">
        <v>10</v>
      </c>
      <c r="F458">
        <v>524.1</v>
      </c>
    </row>
    <row r="459" spans="1:6" x14ac:dyDescent="0.25">
      <c r="A459" s="1">
        <v>46207</v>
      </c>
      <c r="B459" s="2" t="s">
        <v>18</v>
      </c>
      <c r="C459" s="2" t="s">
        <v>105</v>
      </c>
      <c r="D459" s="2" t="s">
        <v>32</v>
      </c>
      <c r="E459">
        <v>2</v>
      </c>
      <c r="F459">
        <v>202.36</v>
      </c>
    </row>
    <row r="460" spans="1:6" x14ac:dyDescent="0.25">
      <c r="A460" s="1">
        <v>46208</v>
      </c>
      <c r="B460" s="2" t="s">
        <v>18</v>
      </c>
      <c r="C460" s="2" t="s">
        <v>152</v>
      </c>
      <c r="D460" s="2" t="s">
        <v>20</v>
      </c>
      <c r="E460">
        <v>2</v>
      </c>
      <c r="F460">
        <v>527.96</v>
      </c>
    </row>
    <row r="461" spans="1:6" x14ac:dyDescent="0.25">
      <c r="A461" s="1">
        <v>46209</v>
      </c>
      <c r="B461" s="2" t="s">
        <v>18</v>
      </c>
      <c r="C461" s="2" t="s">
        <v>105</v>
      </c>
      <c r="D461" s="2" t="s">
        <v>11</v>
      </c>
      <c r="E461">
        <v>1</v>
      </c>
      <c r="F461">
        <v>77.19</v>
      </c>
    </row>
    <row r="462" spans="1:6" x14ac:dyDescent="0.25">
      <c r="A462" s="1">
        <v>46209</v>
      </c>
      <c r="B462" s="2" t="s">
        <v>18</v>
      </c>
      <c r="C462" s="2" t="s">
        <v>109</v>
      </c>
      <c r="D462" s="2" t="s">
        <v>8</v>
      </c>
      <c r="E462">
        <v>2</v>
      </c>
      <c r="F462">
        <v>44.46</v>
      </c>
    </row>
    <row r="463" spans="1:6" x14ac:dyDescent="0.25">
      <c r="A463" s="1">
        <v>46210</v>
      </c>
      <c r="B463" s="2" t="s">
        <v>14</v>
      </c>
      <c r="C463" s="2" t="s">
        <v>65</v>
      </c>
      <c r="D463" s="2" t="s">
        <v>13</v>
      </c>
      <c r="E463">
        <v>6</v>
      </c>
      <c r="F463">
        <v>164.4</v>
      </c>
    </row>
    <row r="464" spans="1:6" x14ac:dyDescent="0.25">
      <c r="A464" s="1">
        <v>46210</v>
      </c>
      <c r="B464" s="2" t="s">
        <v>18</v>
      </c>
      <c r="C464" s="2" t="s">
        <v>65</v>
      </c>
      <c r="D464" s="2" t="s">
        <v>27</v>
      </c>
      <c r="E464">
        <v>1</v>
      </c>
      <c r="F464">
        <v>89.64</v>
      </c>
    </row>
    <row r="465" spans="1:6" x14ac:dyDescent="0.25">
      <c r="A465" s="1">
        <v>46211</v>
      </c>
      <c r="B465" s="2" t="s">
        <v>14</v>
      </c>
      <c r="C465" s="2" t="s">
        <v>100</v>
      </c>
      <c r="D465" s="2" t="s">
        <v>40</v>
      </c>
      <c r="E465">
        <v>10</v>
      </c>
      <c r="F465">
        <v>227.3</v>
      </c>
    </row>
    <row r="466" spans="1:6" x14ac:dyDescent="0.25">
      <c r="A466" s="1">
        <v>46211</v>
      </c>
      <c r="B466" s="2" t="s">
        <v>14</v>
      </c>
      <c r="C466" s="2" t="s">
        <v>153</v>
      </c>
      <c r="D466" s="2" t="s">
        <v>34</v>
      </c>
      <c r="E466">
        <v>2</v>
      </c>
      <c r="F466">
        <v>62.98</v>
      </c>
    </row>
    <row r="467" spans="1:6" x14ac:dyDescent="0.25">
      <c r="A467" s="1">
        <v>46211</v>
      </c>
      <c r="B467" s="2" t="s">
        <v>6</v>
      </c>
      <c r="C467" s="2" t="s">
        <v>79</v>
      </c>
      <c r="D467" s="2" t="s">
        <v>40</v>
      </c>
      <c r="E467">
        <v>3</v>
      </c>
      <c r="F467">
        <v>59.46</v>
      </c>
    </row>
    <row r="468" spans="1:6" x14ac:dyDescent="0.25">
      <c r="A468" s="1">
        <v>46214</v>
      </c>
      <c r="B468" s="2" t="s">
        <v>6</v>
      </c>
      <c r="C468" s="2" t="s">
        <v>154</v>
      </c>
      <c r="D468" s="2" t="s">
        <v>58</v>
      </c>
      <c r="E468">
        <v>10</v>
      </c>
      <c r="F468">
        <v>279.39999999999998</v>
      </c>
    </row>
    <row r="469" spans="1:6" x14ac:dyDescent="0.25">
      <c r="A469" s="1">
        <v>46216</v>
      </c>
      <c r="B469" s="2" t="s">
        <v>18</v>
      </c>
      <c r="C469" s="2" t="s">
        <v>103</v>
      </c>
      <c r="D469" s="2" t="s">
        <v>58</v>
      </c>
      <c r="E469">
        <v>8</v>
      </c>
      <c r="F469">
        <v>193.84</v>
      </c>
    </row>
    <row r="470" spans="1:6" x14ac:dyDescent="0.25">
      <c r="A470" s="1">
        <v>46225</v>
      </c>
      <c r="B470" s="2" t="s">
        <v>14</v>
      </c>
      <c r="C470" s="2" t="s">
        <v>54</v>
      </c>
      <c r="D470" s="2" t="s">
        <v>17</v>
      </c>
      <c r="E470">
        <v>1</v>
      </c>
      <c r="F470">
        <v>17.13</v>
      </c>
    </row>
    <row r="471" spans="1:6" x14ac:dyDescent="0.25">
      <c r="A471" s="1">
        <v>46227</v>
      </c>
      <c r="B471" s="2" t="s">
        <v>6</v>
      </c>
      <c r="C471" s="2" t="s">
        <v>79</v>
      </c>
      <c r="D471" s="2" t="s">
        <v>13</v>
      </c>
      <c r="E471">
        <v>2</v>
      </c>
      <c r="F471">
        <v>65.239999999999995</v>
      </c>
    </row>
    <row r="472" spans="1:6" x14ac:dyDescent="0.25">
      <c r="A472" s="1">
        <v>46230</v>
      </c>
      <c r="B472" s="2" t="s">
        <v>9</v>
      </c>
      <c r="C472" s="2" t="s">
        <v>113</v>
      </c>
      <c r="D472" s="2" t="s">
        <v>70</v>
      </c>
      <c r="E472">
        <v>3</v>
      </c>
      <c r="F472">
        <v>105.96</v>
      </c>
    </row>
    <row r="473" spans="1:6" x14ac:dyDescent="0.25">
      <c r="A473" s="1">
        <v>46232</v>
      </c>
      <c r="B473" s="2" t="s">
        <v>21</v>
      </c>
      <c r="C473" s="2" t="s">
        <v>128</v>
      </c>
      <c r="D473" s="2" t="s">
        <v>29</v>
      </c>
      <c r="E473">
        <v>1</v>
      </c>
      <c r="F473">
        <v>358.85</v>
      </c>
    </row>
    <row r="474" spans="1:6" x14ac:dyDescent="0.25">
      <c r="A474" s="1">
        <v>46233</v>
      </c>
      <c r="B474" s="2" t="s">
        <v>9</v>
      </c>
      <c r="C474" s="2" t="s">
        <v>28</v>
      </c>
      <c r="D474" s="2" t="s">
        <v>29</v>
      </c>
      <c r="E474">
        <v>1</v>
      </c>
      <c r="F474">
        <v>302.7</v>
      </c>
    </row>
    <row r="475" spans="1:6" x14ac:dyDescent="0.25">
      <c r="A475" s="1">
        <v>46233</v>
      </c>
      <c r="B475" s="2" t="s">
        <v>6</v>
      </c>
      <c r="C475" s="2" t="s">
        <v>39</v>
      </c>
      <c r="D475" s="2" t="s">
        <v>51</v>
      </c>
      <c r="E475">
        <v>4</v>
      </c>
      <c r="F475">
        <v>312.2</v>
      </c>
    </row>
    <row r="476" spans="1:6" x14ac:dyDescent="0.25">
      <c r="A476" s="1">
        <v>46234</v>
      </c>
      <c r="B476" s="2" t="s">
        <v>14</v>
      </c>
      <c r="C476" s="2" t="s">
        <v>127</v>
      </c>
      <c r="D476" s="2" t="s">
        <v>51</v>
      </c>
      <c r="E476">
        <v>2</v>
      </c>
      <c r="F476">
        <v>200.7</v>
      </c>
    </row>
    <row r="477" spans="1:6" x14ac:dyDescent="0.25">
      <c r="A477" s="1">
        <v>46235</v>
      </c>
      <c r="B477" s="2" t="s">
        <v>9</v>
      </c>
      <c r="C477" s="2" t="s">
        <v>144</v>
      </c>
      <c r="D477" s="2" t="s">
        <v>29</v>
      </c>
      <c r="E477">
        <v>5</v>
      </c>
      <c r="F477">
        <v>1803.75</v>
      </c>
    </row>
    <row r="478" spans="1:6" x14ac:dyDescent="0.25">
      <c r="A478" s="1">
        <v>46239</v>
      </c>
      <c r="B478" s="2" t="s">
        <v>9</v>
      </c>
      <c r="C478" s="2" t="s">
        <v>19</v>
      </c>
      <c r="D478" s="2" t="s">
        <v>40</v>
      </c>
      <c r="E478">
        <v>1</v>
      </c>
      <c r="F478">
        <v>12.33</v>
      </c>
    </row>
    <row r="479" spans="1:6" x14ac:dyDescent="0.25">
      <c r="A479" s="1">
        <v>46241</v>
      </c>
      <c r="B479" s="2" t="s">
        <v>9</v>
      </c>
      <c r="C479" s="2" t="s">
        <v>131</v>
      </c>
      <c r="D479" s="2" t="s">
        <v>32</v>
      </c>
      <c r="E479">
        <v>4</v>
      </c>
      <c r="F479">
        <v>343.88</v>
      </c>
    </row>
    <row r="480" spans="1:6" x14ac:dyDescent="0.25">
      <c r="A480" s="1">
        <v>46244</v>
      </c>
      <c r="B480" s="2" t="s">
        <v>14</v>
      </c>
      <c r="C480" s="2" t="s">
        <v>44</v>
      </c>
      <c r="D480" s="2" t="s">
        <v>58</v>
      </c>
      <c r="E480">
        <v>3</v>
      </c>
      <c r="F480">
        <v>63.81</v>
      </c>
    </row>
    <row r="481" spans="1:6" x14ac:dyDescent="0.25">
      <c r="A481" s="1">
        <v>46246</v>
      </c>
      <c r="B481" s="2" t="s">
        <v>14</v>
      </c>
      <c r="C481" s="2" t="s">
        <v>60</v>
      </c>
      <c r="D481" s="2" t="s">
        <v>32</v>
      </c>
      <c r="E481">
        <v>6</v>
      </c>
      <c r="F481">
        <v>400.02</v>
      </c>
    </row>
    <row r="482" spans="1:6" x14ac:dyDescent="0.25">
      <c r="A482" s="1">
        <v>46247</v>
      </c>
      <c r="B482" s="2" t="s">
        <v>9</v>
      </c>
      <c r="C482" s="2" t="s">
        <v>97</v>
      </c>
      <c r="D482" s="2" t="s">
        <v>70</v>
      </c>
      <c r="E482">
        <v>6</v>
      </c>
      <c r="F482">
        <v>243.24</v>
      </c>
    </row>
    <row r="483" spans="1:6" x14ac:dyDescent="0.25">
      <c r="A483" s="1">
        <v>46247</v>
      </c>
      <c r="B483" s="2" t="s">
        <v>6</v>
      </c>
      <c r="C483" s="2" t="s">
        <v>56</v>
      </c>
      <c r="D483" s="2" t="s">
        <v>8</v>
      </c>
      <c r="E483">
        <v>6</v>
      </c>
      <c r="F483">
        <v>152.63999999999999</v>
      </c>
    </row>
    <row r="484" spans="1:6" x14ac:dyDescent="0.25">
      <c r="A484" s="1">
        <v>46247</v>
      </c>
      <c r="B484" s="2" t="s">
        <v>21</v>
      </c>
      <c r="C484" s="2" t="s">
        <v>109</v>
      </c>
      <c r="D484" s="2" t="s">
        <v>13</v>
      </c>
      <c r="E484">
        <v>2</v>
      </c>
      <c r="F484">
        <v>111.34</v>
      </c>
    </row>
    <row r="485" spans="1:6" x14ac:dyDescent="0.25">
      <c r="A485" s="1">
        <v>46248</v>
      </c>
      <c r="B485" s="2" t="s">
        <v>14</v>
      </c>
      <c r="C485" s="2" t="s">
        <v>120</v>
      </c>
      <c r="D485" s="2" t="s">
        <v>20</v>
      </c>
      <c r="E485">
        <v>4</v>
      </c>
      <c r="F485">
        <v>1043.04</v>
      </c>
    </row>
    <row r="486" spans="1:6" x14ac:dyDescent="0.25">
      <c r="A486" s="1">
        <v>46248</v>
      </c>
      <c r="B486" s="2" t="s">
        <v>21</v>
      </c>
      <c r="C486" s="2" t="s">
        <v>42</v>
      </c>
      <c r="D486" s="2" t="s">
        <v>70</v>
      </c>
      <c r="E486">
        <v>5</v>
      </c>
      <c r="F486">
        <v>152.05000000000001</v>
      </c>
    </row>
    <row r="487" spans="1:6" x14ac:dyDescent="0.25">
      <c r="A487" s="1">
        <v>46249</v>
      </c>
      <c r="B487" s="2" t="s">
        <v>9</v>
      </c>
      <c r="C487" s="2" t="s">
        <v>91</v>
      </c>
      <c r="D487" s="2" t="s">
        <v>34</v>
      </c>
      <c r="E487">
        <v>6</v>
      </c>
      <c r="F487">
        <v>206.82</v>
      </c>
    </row>
    <row r="488" spans="1:6" x14ac:dyDescent="0.25">
      <c r="A488" s="1">
        <v>46250</v>
      </c>
      <c r="B488" s="2" t="s">
        <v>9</v>
      </c>
      <c r="C488" s="2" t="s">
        <v>121</v>
      </c>
      <c r="D488" s="2" t="s">
        <v>8</v>
      </c>
      <c r="E488">
        <v>1</v>
      </c>
      <c r="F488">
        <v>29.59</v>
      </c>
    </row>
    <row r="489" spans="1:6" x14ac:dyDescent="0.25">
      <c r="A489" s="1">
        <v>46251</v>
      </c>
      <c r="B489" s="2" t="s">
        <v>6</v>
      </c>
      <c r="C489" s="2" t="s">
        <v>22</v>
      </c>
      <c r="D489" s="2" t="s">
        <v>34</v>
      </c>
      <c r="E489">
        <v>2</v>
      </c>
      <c r="F489">
        <v>59.8</v>
      </c>
    </row>
    <row r="490" spans="1:6" x14ac:dyDescent="0.25">
      <c r="A490" s="1">
        <v>46252</v>
      </c>
      <c r="B490" s="2" t="s">
        <v>18</v>
      </c>
      <c r="C490" s="2" t="s">
        <v>160</v>
      </c>
      <c r="D490" s="2" t="s">
        <v>29</v>
      </c>
      <c r="E490">
        <v>5</v>
      </c>
      <c r="F490">
        <v>1900.8</v>
      </c>
    </row>
    <row r="491" spans="1:6" x14ac:dyDescent="0.25">
      <c r="A491" s="1">
        <v>46253</v>
      </c>
      <c r="B491" s="2" t="s">
        <v>21</v>
      </c>
      <c r="C491" s="2" t="s">
        <v>99</v>
      </c>
      <c r="D491" s="2" t="s">
        <v>58</v>
      </c>
      <c r="E491">
        <v>2</v>
      </c>
      <c r="F491">
        <v>51.84</v>
      </c>
    </row>
    <row r="492" spans="1:6" x14ac:dyDescent="0.25">
      <c r="A492" s="1">
        <v>46255</v>
      </c>
      <c r="B492" s="2" t="s">
        <v>21</v>
      </c>
      <c r="C492" s="2" t="s">
        <v>122</v>
      </c>
      <c r="D492" s="2" t="s">
        <v>23</v>
      </c>
      <c r="E492">
        <v>3</v>
      </c>
      <c r="F492">
        <v>397.44</v>
      </c>
    </row>
    <row r="493" spans="1:6" x14ac:dyDescent="0.25">
      <c r="A493" s="1">
        <v>46256</v>
      </c>
      <c r="B493" s="2" t="s">
        <v>14</v>
      </c>
      <c r="C493" s="2" t="s">
        <v>59</v>
      </c>
      <c r="D493" s="2" t="s">
        <v>20</v>
      </c>
      <c r="E493">
        <v>1</v>
      </c>
      <c r="F493">
        <v>310.27</v>
      </c>
    </row>
    <row r="494" spans="1:6" x14ac:dyDescent="0.25">
      <c r="A494" s="1">
        <v>46259</v>
      </c>
      <c r="B494" s="2" t="s">
        <v>21</v>
      </c>
      <c r="C494" s="2" t="s">
        <v>15</v>
      </c>
      <c r="D494" s="2" t="s">
        <v>8</v>
      </c>
      <c r="E494">
        <v>2</v>
      </c>
      <c r="F494">
        <v>52.84</v>
      </c>
    </row>
    <row r="495" spans="1:6" x14ac:dyDescent="0.25">
      <c r="A495" s="1">
        <v>46259</v>
      </c>
      <c r="B495" s="2" t="s">
        <v>18</v>
      </c>
      <c r="C495" s="2" t="s">
        <v>90</v>
      </c>
      <c r="D495" s="2" t="s">
        <v>11</v>
      </c>
      <c r="E495">
        <v>4</v>
      </c>
      <c r="F495">
        <v>300.36</v>
      </c>
    </row>
    <row r="496" spans="1:6" x14ac:dyDescent="0.25">
      <c r="A496" s="1">
        <v>46260</v>
      </c>
      <c r="B496" s="2" t="s">
        <v>6</v>
      </c>
      <c r="C496" s="2" t="s">
        <v>155</v>
      </c>
      <c r="D496" s="2" t="s">
        <v>23</v>
      </c>
      <c r="E496">
        <v>5</v>
      </c>
      <c r="F496">
        <v>498.2</v>
      </c>
    </row>
    <row r="497" spans="1:6" x14ac:dyDescent="0.25">
      <c r="A497" s="1">
        <v>46260</v>
      </c>
      <c r="B497" s="2" t="s">
        <v>21</v>
      </c>
      <c r="C497" s="2" t="s">
        <v>45</v>
      </c>
      <c r="D497" s="2" t="s">
        <v>34</v>
      </c>
      <c r="E497">
        <v>2</v>
      </c>
      <c r="F497">
        <v>43.14</v>
      </c>
    </row>
    <row r="498" spans="1:6" x14ac:dyDescent="0.25">
      <c r="A498" s="1">
        <v>46260</v>
      </c>
      <c r="B498" s="2" t="s">
        <v>9</v>
      </c>
      <c r="C498" s="2" t="s">
        <v>132</v>
      </c>
      <c r="D498" s="2" t="s">
        <v>32</v>
      </c>
      <c r="E498">
        <v>1</v>
      </c>
      <c r="F498">
        <v>103.45</v>
      </c>
    </row>
    <row r="499" spans="1:6" x14ac:dyDescent="0.25">
      <c r="A499" s="1">
        <v>46260</v>
      </c>
      <c r="B499" s="2" t="s">
        <v>21</v>
      </c>
      <c r="C499" s="2" t="s">
        <v>33</v>
      </c>
      <c r="D499" s="2" t="s">
        <v>34</v>
      </c>
      <c r="E499">
        <v>5</v>
      </c>
      <c r="F499">
        <v>120.9</v>
      </c>
    </row>
    <row r="500" spans="1:6" x14ac:dyDescent="0.25">
      <c r="A500" s="1">
        <v>46261</v>
      </c>
      <c r="B500" s="2" t="s">
        <v>18</v>
      </c>
      <c r="C500" s="2" t="s">
        <v>15</v>
      </c>
      <c r="D500" s="2" t="s">
        <v>27</v>
      </c>
      <c r="E500">
        <v>4</v>
      </c>
      <c r="F500">
        <v>204.96</v>
      </c>
    </row>
    <row r="501" spans="1:6" x14ac:dyDescent="0.25">
      <c r="A501" s="1">
        <v>46261</v>
      </c>
      <c r="B501" s="2" t="s">
        <v>6</v>
      </c>
      <c r="C501" s="2" t="s">
        <v>134</v>
      </c>
      <c r="D501" s="2" t="s">
        <v>27</v>
      </c>
      <c r="E501">
        <v>3</v>
      </c>
      <c r="F501">
        <v>250.59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E61C9-3474-465F-AB43-39F0BAF0EB3D}">
  <dimension ref="B3:L19"/>
  <sheetViews>
    <sheetView workbookViewId="0">
      <selection activeCell="K3" sqref="K3"/>
    </sheetView>
  </sheetViews>
  <sheetFormatPr defaultRowHeight="15" x14ac:dyDescent="0.25"/>
  <cols>
    <col min="2" max="2" width="11.28515625" bestFit="1" customWidth="1"/>
    <col min="3" max="3" width="10.7109375" bestFit="1" customWidth="1"/>
    <col min="4" max="4" width="9" bestFit="1" customWidth="1"/>
    <col min="5" max="5" width="28" bestFit="1" customWidth="1"/>
    <col min="6" max="6" width="13.42578125" bestFit="1" customWidth="1"/>
    <col min="7" max="7" width="20.28515625" bestFit="1" customWidth="1"/>
    <col min="8" max="8" width="11.28515625" bestFit="1" customWidth="1"/>
    <col min="9" max="9" width="13.42578125" bestFit="1" customWidth="1"/>
    <col min="11" max="11" width="18.28515625" bestFit="1" customWidth="1"/>
    <col min="12" max="12" width="22.85546875" bestFit="1" customWidth="1"/>
  </cols>
  <sheetData>
    <row r="3" spans="2:12" x14ac:dyDescent="0.25">
      <c r="B3" s="3" t="s">
        <v>165</v>
      </c>
      <c r="C3" t="s">
        <v>161</v>
      </c>
      <c r="E3" s="3" t="s">
        <v>166</v>
      </c>
      <c r="F3" t="s">
        <v>5</v>
      </c>
      <c r="H3" s="3" t="s">
        <v>169</v>
      </c>
      <c r="I3" t="s">
        <v>5</v>
      </c>
      <c r="K3" t="s">
        <v>163</v>
      </c>
    </row>
    <row r="4" spans="2:12" x14ac:dyDescent="0.25">
      <c r="B4" s="4" t="s">
        <v>9</v>
      </c>
      <c r="C4" s="2">
        <v>32697.69</v>
      </c>
      <c r="E4" s="4" t="s">
        <v>11</v>
      </c>
      <c r="F4" s="2">
        <v>9577.42</v>
      </c>
      <c r="H4" s="4" t="s">
        <v>167</v>
      </c>
      <c r="I4" s="2">
        <v>108291.52</v>
      </c>
      <c r="K4" s="2">
        <v>328.93297999999999</v>
      </c>
      <c r="L4">
        <f>GETPIVOTDATA("[Measures].[Average Sales per Order]",$K$3)</f>
        <v>328.93297999999999</v>
      </c>
    </row>
    <row r="5" spans="2:12" x14ac:dyDescent="0.25">
      <c r="B5" s="4" t="s">
        <v>21</v>
      </c>
      <c r="C5" s="2">
        <v>50837.08</v>
      </c>
      <c r="E5" s="4" t="s">
        <v>8</v>
      </c>
      <c r="F5" s="2">
        <v>3172.44</v>
      </c>
      <c r="H5" s="4" t="s">
        <v>168</v>
      </c>
      <c r="I5" s="2">
        <v>56174.97</v>
      </c>
    </row>
    <row r="6" spans="2:12" x14ac:dyDescent="0.25">
      <c r="B6" s="4" t="s">
        <v>14</v>
      </c>
      <c r="C6" s="2">
        <v>19711.82</v>
      </c>
      <c r="E6" s="4" t="s">
        <v>51</v>
      </c>
      <c r="F6" s="2">
        <v>9739.44</v>
      </c>
      <c r="H6" s="4" t="s">
        <v>164</v>
      </c>
      <c r="I6" s="2">
        <v>164466.49</v>
      </c>
    </row>
    <row r="7" spans="2:12" x14ac:dyDescent="0.25">
      <c r="B7" s="4" t="s">
        <v>18</v>
      </c>
      <c r="C7" s="2">
        <v>26825.040000000001</v>
      </c>
      <c r="E7" s="4" t="s">
        <v>13</v>
      </c>
      <c r="F7" s="2">
        <v>4583</v>
      </c>
      <c r="K7" t="s">
        <v>162</v>
      </c>
    </row>
    <row r="8" spans="2:12" x14ac:dyDescent="0.25">
      <c r="B8" s="4" t="s">
        <v>6</v>
      </c>
      <c r="C8" s="2">
        <v>34394.86</v>
      </c>
      <c r="E8" s="4" t="s">
        <v>27</v>
      </c>
      <c r="F8" s="2">
        <v>8405</v>
      </c>
      <c r="K8" s="2">
        <v>1805</v>
      </c>
      <c r="L8">
        <f>GETPIVOTDATA("[Measures].[Total Quantity Sold]",$K$7)</f>
        <v>1805</v>
      </c>
    </row>
    <row r="9" spans="2:12" x14ac:dyDescent="0.25">
      <c r="B9" s="4" t="s">
        <v>164</v>
      </c>
      <c r="C9" s="2">
        <v>164466.49</v>
      </c>
      <c r="E9" s="4" t="s">
        <v>20</v>
      </c>
      <c r="F9" s="2">
        <v>32946.11</v>
      </c>
    </row>
    <row r="10" spans="2:12" x14ac:dyDescent="0.25">
      <c r="E10" s="4" t="s">
        <v>32</v>
      </c>
      <c r="F10" s="2">
        <v>12135.43</v>
      </c>
    </row>
    <row r="11" spans="2:12" x14ac:dyDescent="0.25">
      <c r="C11">
        <f>GETPIVOTDATA("[Measures].[Total Sales]",$B$3)</f>
        <v>164466.49</v>
      </c>
      <c r="E11" s="4" t="s">
        <v>23</v>
      </c>
      <c r="F11" s="2">
        <v>17346.150000000001</v>
      </c>
    </row>
    <row r="12" spans="2:12" x14ac:dyDescent="0.25">
      <c r="E12" s="4" t="s">
        <v>70</v>
      </c>
      <c r="F12" s="2">
        <v>3599.27</v>
      </c>
    </row>
    <row r="13" spans="2:12" x14ac:dyDescent="0.25">
      <c r="E13" s="4" t="s">
        <v>29</v>
      </c>
      <c r="F13" s="2">
        <v>44397.04</v>
      </c>
    </row>
    <row r="14" spans="2:12" x14ac:dyDescent="0.25">
      <c r="E14" s="4" t="s">
        <v>40</v>
      </c>
      <c r="F14" s="2">
        <v>1748.59</v>
      </c>
      <c r="K14" t="s">
        <v>170</v>
      </c>
    </row>
    <row r="15" spans="2:12" x14ac:dyDescent="0.25">
      <c r="E15" s="4" t="s">
        <v>34</v>
      </c>
      <c r="F15" s="2">
        <v>4244.26</v>
      </c>
      <c r="K15" s="6">
        <v>46262</v>
      </c>
    </row>
    <row r="16" spans="2:12" x14ac:dyDescent="0.25">
      <c r="E16" s="4" t="s">
        <v>37</v>
      </c>
      <c r="F16" s="2">
        <v>6834.28</v>
      </c>
    </row>
    <row r="17" spans="5:6" x14ac:dyDescent="0.25">
      <c r="E17" s="4" t="s">
        <v>17</v>
      </c>
      <c r="F17" s="2">
        <v>2183.75</v>
      </c>
    </row>
    <row r="18" spans="5:6" x14ac:dyDescent="0.25">
      <c r="E18" s="4" t="s">
        <v>58</v>
      </c>
      <c r="F18" s="2">
        <v>3554.31</v>
      </c>
    </row>
    <row r="19" spans="5:6" x14ac:dyDescent="0.25">
      <c r="E19" s="4" t="s">
        <v>164</v>
      </c>
      <c r="F19" s="2">
        <v>164466.49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DF628-1E96-4393-89CD-DEC069A970BA}">
  <dimension ref="A1"/>
  <sheetViews>
    <sheetView showGridLines="0" tabSelected="1" workbookViewId="0">
      <selection activeCell="O18" sqref="O18"/>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BBBD6248-EC11-4E86-999D-890A7D06A9D4}">
  <ds:schemaRefs>
    <ds:schemaRef ds:uri="http://schemas.microsoft.com/DataMashup"/>
  </ds:schemaRefs>
</ds:datastoreItem>
</file>

<file path=customXml/itemProps2.xml><?xml version="1.0" encoding="utf-8"?>
<ds:datastoreItem xmlns:ds="http://schemas.openxmlformats.org/officeDocument/2006/customXml" ds:itemID="{C2D4EDAF-B2CB-4AFE-AD70-EB2E34DBDAA0}">
  <ds:schemaRefs/>
</ds:datastoreItem>
</file>

<file path=customXml/itemProps3.xml><?xml version="1.0" encoding="utf-8"?>
<ds:datastoreItem xmlns:ds="http://schemas.openxmlformats.org/officeDocument/2006/customXml" ds:itemID="{78643210-504E-490A-9BC5-E906B097335A}">
  <ds:schemaRefs/>
</ds:datastoreItem>
</file>

<file path=customXml/itemProps4.xml><?xml version="1.0" encoding="utf-8"?>
<ds:datastoreItem xmlns:ds="http://schemas.openxmlformats.org/officeDocument/2006/customXml" ds:itemID="{9683C60E-D380-41FF-ACC6-9CB2859B965D}">
  <ds:schemaRefs/>
</ds:datastoreItem>
</file>

<file path=customXml/itemProps5.xml><?xml version="1.0" encoding="utf-8"?>
<ds:datastoreItem xmlns:ds="http://schemas.openxmlformats.org/officeDocument/2006/customXml" ds:itemID="{0ECC7A4F-7F4B-464F-90E6-FA6C9B67C797}">
  <ds:schemaRefs/>
</ds:datastoreItem>
</file>

<file path=customXml/itemProps6.xml><?xml version="1.0" encoding="utf-8"?>
<ds:datastoreItem xmlns:ds="http://schemas.openxmlformats.org/officeDocument/2006/customXml" ds:itemID="{0D6BD606-6AB1-4921-A3FA-46F0A6FA2B61}">
  <ds:schemaRefs/>
</ds:datastoreItem>
</file>

<file path=customXml/itemProps7.xml><?xml version="1.0" encoding="utf-8"?>
<ds:datastoreItem xmlns:ds="http://schemas.openxmlformats.org/officeDocument/2006/customXml" ds:itemID="{EA176208-96A7-4DCE-A5FA-74F5173809D4}">
  <ds:schemaRefs/>
</ds:datastoreItem>
</file>

<file path=customXml/itemProps8.xml><?xml version="1.0" encoding="utf-8"?>
<ds:datastoreItem xmlns:ds="http://schemas.openxmlformats.org/officeDocument/2006/customXml" ds:itemID="{493EDC88-DE84-4C93-8099-A6FB3698303C}">
  <ds:schemaRefs/>
</ds:datastoreItem>
</file>

<file path=customXml/itemProps9.xml><?xml version="1.0" encoding="utf-8"?>
<ds:datastoreItem xmlns:ds="http://schemas.openxmlformats.org/officeDocument/2006/customXml" ds:itemID="{9FFF1E1F-F905-4B8A-8F83-89BD3F24F3A6}">
  <ds:schemaRefs/>
</ds:datastoreItem>
</file>

<file path=customXml/itemProps10.xml><?xml version="1.0" encoding="utf-8"?>
<ds:datastoreItem xmlns:ds="http://schemas.openxmlformats.org/officeDocument/2006/customXml" ds:itemID="{CBA8E5BD-D3E0-404B-8690-3A16E13B0055}">
  <ds:schemaRefs/>
</ds:datastoreItem>
</file>

<file path=customXml/itemProps11.xml><?xml version="1.0" encoding="utf-8"?>
<ds:datastoreItem xmlns:ds="http://schemas.openxmlformats.org/officeDocument/2006/customXml" ds:itemID="{508AFF3A-688A-4686-870B-E95083B4F11D}">
  <ds:schemaRefs/>
</ds:datastoreItem>
</file>

<file path=customXml/itemProps12.xml><?xml version="1.0" encoding="utf-8"?>
<ds:datastoreItem xmlns:ds="http://schemas.openxmlformats.org/officeDocument/2006/customXml" ds:itemID="{A0CD6D83-6645-44B7-A911-17FFE0407379}">
  <ds:schemaRefs/>
</ds:datastoreItem>
</file>

<file path=customXml/itemProps13.xml><?xml version="1.0" encoding="utf-8"?>
<ds:datastoreItem xmlns:ds="http://schemas.openxmlformats.org/officeDocument/2006/customXml" ds:itemID="{AAB8B1E8-1A64-48B4-8847-8953429B2E2E}">
  <ds:schemaRefs/>
</ds:datastoreItem>
</file>

<file path=customXml/itemProps14.xml><?xml version="1.0" encoding="utf-8"?>
<ds:datastoreItem xmlns:ds="http://schemas.openxmlformats.org/officeDocument/2006/customXml" ds:itemID="{7EC88E6A-350F-474F-A672-437B6DEAEB06}">
  <ds:schemaRefs/>
</ds:datastoreItem>
</file>

<file path=customXml/itemProps15.xml><?xml version="1.0" encoding="utf-8"?>
<ds:datastoreItem xmlns:ds="http://schemas.openxmlformats.org/officeDocument/2006/customXml" ds:itemID="{4580ECAF-7600-4542-8ABF-F603B4B16B7F}">
  <ds:schemaRefs/>
</ds:datastoreItem>
</file>

<file path=customXml/itemProps16.xml><?xml version="1.0" encoding="utf-8"?>
<ds:datastoreItem xmlns:ds="http://schemas.openxmlformats.org/officeDocument/2006/customXml" ds:itemID="{C56F9411-0576-4B42-A1EE-A0EB383D328D}">
  <ds:schemaRefs/>
</ds:datastoreItem>
</file>

<file path=customXml/itemProps17.xml><?xml version="1.0" encoding="utf-8"?>
<ds:datastoreItem xmlns:ds="http://schemas.openxmlformats.org/officeDocument/2006/customXml" ds:itemID="{88454135-4102-47EF-83DE-DC5639A94977}">
  <ds:schemaRefs/>
</ds:datastoreItem>
</file>

<file path=customXml/itemProps18.xml><?xml version="1.0" encoding="utf-8"?>
<ds:datastoreItem xmlns:ds="http://schemas.openxmlformats.org/officeDocument/2006/customXml" ds:itemID="{3E21130E-64DC-40A5-8835-3A1C0F6FE765}">
  <ds:schemaRefs/>
</ds:datastoreItem>
</file>

<file path=customXml/itemProps19.xml><?xml version="1.0" encoding="utf-8"?>
<ds:datastoreItem xmlns:ds="http://schemas.openxmlformats.org/officeDocument/2006/customXml" ds:itemID="{9BF1ECEC-8271-4DE2-9B74-DE043CF807DB}">
  <ds:schemaRefs/>
</ds:datastoreItem>
</file>

<file path=customXml/itemProps20.xml><?xml version="1.0" encoding="utf-8"?>
<ds:datastoreItem xmlns:ds="http://schemas.openxmlformats.org/officeDocument/2006/customXml" ds:itemID="{64F30D3B-2408-4707-923C-53AE4EC36EED}">
  <ds:schemaRefs/>
</ds:datastoreItem>
</file>

<file path=customXml/itemProps21.xml><?xml version="1.0" encoding="utf-8"?>
<ds:datastoreItem xmlns:ds="http://schemas.openxmlformats.org/officeDocument/2006/customXml" ds:itemID="{80E23BAC-E437-431D-8F38-F3EAC870EA35}">
  <ds:schemaRefs/>
</ds:datastoreItem>
</file>

<file path=customXml/itemProps22.xml><?xml version="1.0" encoding="utf-8"?>
<ds:datastoreItem xmlns:ds="http://schemas.openxmlformats.org/officeDocument/2006/customXml" ds:itemID="{3F7109AD-13C5-473E-813D-A4A05EE9C793}">
  <ds:schemaRefs/>
</ds:datastoreItem>
</file>

<file path=customXml/itemProps23.xml><?xml version="1.0" encoding="utf-8"?>
<ds:datastoreItem xmlns:ds="http://schemas.openxmlformats.org/officeDocument/2006/customXml" ds:itemID="{8B591DC9-D31A-4DC2-ACD5-307A92B4795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Faizul Bitto</dc:creator>
  <cp:lastModifiedBy>Faizul Bitto</cp:lastModifiedBy>
  <dcterms:created xsi:type="dcterms:W3CDTF">2026-08-27T17:32:17Z</dcterms:created>
  <dcterms:modified xsi:type="dcterms:W3CDTF">2026-08-27T19:16:57Z</dcterms:modified>
</cp:coreProperties>
</file>