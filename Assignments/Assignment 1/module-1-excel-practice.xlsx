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aizul Bitto\Downloads\Assignment 1 - Faizul Islam Bhuiyan Bitto\Assignment 1 - Faizul Islam Bhuiyan Bitto\module-1-excel-practice\"/>
    </mc:Choice>
  </mc:AlternateContent>
  <xr:revisionPtr revIDLastSave="0" documentId="13_ncr:1_{7C4EB0CE-B2CC-442C-B1F7-E8741440F61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tudent Performance Report" sheetId="1" r:id="rId1"/>
  </sheets>
  <definedNames>
    <definedName name="_xlnm.Print_Area" localSheetId="0">'Student Performance Report'!$A$2:$G$12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F5" i="1"/>
  <c r="F7" i="1"/>
  <c r="F4" i="1"/>
  <c r="F9" i="1"/>
  <c r="F11" i="1"/>
  <c r="F6" i="1"/>
  <c r="F8" i="1"/>
  <c r="F10" i="1"/>
  <c r="F12" i="1"/>
  <c r="F3" i="1"/>
</calcChain>
</file>

<file path=xl/sharedStrings.xml><?xml version="1.0" encoding="utf-8"?>
<sst xmlns="http://schemas.openxmlformats.org/spreadsheetml/2006/main" count="48" uniqueCount="33">
  <si>
    <t>Student Name</t>
  </si>
  <si>
    <t>Subject</t>
  </si>
  <si>
    <t>Marks</t>
  </si>
  <si>
    <t>Attendance (%)</t>
  </si>
  <si>
    <t>Status</t>
  </si>
  <si>
    <t>Rahim</t>
  </si>
  <si>
    <t>Math</t>
  </si>
  <si>
    <t>Pass</t>
  </si>
  <si>
    <t>Karim</t>
  </si>
  <si>
    <t>Science</t>
  </si>
  <si>
    <t>Ayesha</t>
  </si>
  <si>
    <t>English</t>
  </si>
  <si>
    <t>Tanvir</t>
  </si>
  <si>
    <t>Nabila</t>
  </si>
  <si>
    <t>Fail</t>
  </si>
  <si>
    <t>Sadia</t>
  </si>
  <si>
    <t>Fahim</t>
  </si>
  <si>
    <t>Mim</t>
  </si>
  <si>
    <t>Jahid</t>
  </si>
  <si>
    <t>Rafi</t>
  </si>
  <si>
    <t>Bonus</t>
  </si>
  <si>
    <t>Bonus + Marks</t>
  </si>
  <si>
    <t>Student Code</t>
  </si>
  <si>
    <t>RAH01</t>
  </si>
  <si>
    <t>KAR02</t>
  </si>
  <si>
    <t>AYE03</t>
  </si>
  <si>
    <t>TAN04</t>
  </si>
  <si>
    <t>NAB05</t>
  </si>
  <si>
    <t>SAD06</t>
  </si>
  <si>
    <t>FAH07</t>
  </si>
  <si>
    <t>MIM08</t>
  </si>
  <si>
    <t>JAH09</t>
  </si>
  <si>
    <t>RAF10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</si>
</sst>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7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numFmt numFmtId="0" formatCode="General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7A30AB-A2A8-479E-B50A-F6941D88849F}" name="Table3" displayName="Table3" ref="A2:G12" totalsRowShown="0" headerRowDxfId="6">
  <autoFilter ref="A2:G12" xr:uid="{107A30AB-A2A8-479E-B50A-F6941D88849F}"/>
  <sortState xmlns:xlrd2="http://schemas.microsoft.com/office/spreadsheetml/2017/richdata2" ref="A3:G12">
    <sortCondition descending="1" ref="C2:C12"/>
  </sortState>
  <tableColumns count="7">
    <tableColumn id="1" xr3:uid="{DAFF8723-98B1-4496-9629-7FAB870168B2}" name="Student Name"/>
    <tableColumn id="2" xr3:uid="{5D6731A6-DD23-4FE6-9DAA-72BD62C4F662}" name="Subject"/>
    <tableColumn id="3" xr3:uid="{79A8B193-4164-49C5-B858-B7E58260F4FB}" name="Marks" dataDxfId="5"/>
    <tableColumn id="4" xr3:uid="{E9CD3F3A-AEBF-49A7-AF08-E57F70F5BE3C}" name="Attendance (%)" dataCellStyle="Percent"/>
    <tableColumn id="5" xr3:uid="{9E4E1E30-3DE5-4C54-9D70-A1E0BBA7B564}" name="Status"/>
    <tableColumn id="6" xr3:uid="{5BBB52DF-E850-4A67-BD55-D61F92716A76}" name="Bonus + Marks" dataDxfId="4">
      <calculatedColumnFormula>$I$3+Table3[[#This Row],[Marks]]</calculatedColumnFormula>
    </tableColumn>
    <tableColumn id="7" xr3:uid="{41052BEB-B40E-4D2C-B318-004DBFFBB67F}" name="Student C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2"/>
  <sheetViews>
    <sheetView tabSelected="1" topLeftCell="A4" zoomScale="145" zoomScaleNormal="145" workbookViewId="0">
      <pane xSplit="14370" ySplit="6075" topLeftCell="G1"/>
      <selection activeCell="C3" sqref="C3"/>
      <selection pane="topRight" activeCell="I13" sqref="I13"/>
      <selection pane="bottomLeft" activeCell="A14" sqref="A14"/>
      <selection pane="bottomRight" activeCell="G14" sqref="G14"/>
    </sheetView>
  </sheetViews>
  <sheetFormatPr defaultRowHeight="15" x14ac:dyDescent="0.25"/>
  <cols>
    <col min="1" max="1" width="18.42578125" bestFit="1" customWidth="1"/>
    <col min="2" max="2" width="12.140625" bestFit="1" customWidth="1"/>
    <col min="3" max="3" width="11" style="1" bestFit="1" customWidth="1"/>
    <col min="4" max="4" width="19.42578125" bestFit="1" customWidth="1"/>
    <col min="5" max="5" width="11" bestFit="1" customWidth="1"/>
    <col min="6" max="6" width="18.42578125" bestFit="1" customWidth="1"/>
    <col min="7" max="7" width="17.7109375" bestFit="1" customWidth="1"/>
    <col min="9" max="9" width="6.42578125" bestFit="1" customWidth="1"/>
  </cols>
  <sheetData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21</v>
      </c>
      <c r="G2" s="4" t="s">
        <v>22</v>
      </c>
      <c r="I2" s="2" t="s">
        <v>20</v>
      </c>
    </row>
    <row r="3" spans="1:9" x14ac:dyDescent="0.25">
      <c r="A3" t="s">
        <v>19</v>
      </c>
      <c r="B3" t="s">
        <v>6</v>
      </c>
      <c r="C3" s="3">
        <v>93</v>
      </c>
      <c r="D3" s="5">
        <v>0.98</v>
      </c>
      <c r="E3" t="s">
        <v>7</v>
      </c>
      <c r="F3">
        <f>$I$3+Table3[[#This Row],[Marks]]</f>
        <v>98</v>
      </c>
      <c r="G3" t="s">
        <v>32</v>
      </c>
      <c r="I3" s="2">
        <v>5</v>
      </c>
    </row>
    <row r="4" spans="1:9" x14ac:dyDescent="0.25">
      <c r="A4" t="s">
        <v>10</v>
      </c>
      <c r="B4" t="s">
        <v>11</v>
      </c>
      <c r="C4" s="3">
        <v>90</v>
      </c>
      <c r="D4" s="5">
        <v>0.95</v>
      </c>
      <c r="E4" t="s">
        <v>7</v>
      </c>
      <c r="F4">
        <f>$I$3+Table3[[#This Row],[Marks]]</f>
        <v>95</v>
      </c>
      <c r="G4" t="s">
        <v>25</v>
      </c>
    </row>
    <row r="5" spans="1:9" x14ac:dyDescent="0.25">
      <c r="A5" t="s">
        <v>5</v>
      </c>
      <c r="B5" t="s">
        <v>6</v>
      </c>
      <c r="C5" s="3">
        <v>85</v>
      </c>
      <c r="D5" s="5">
        <f>92/100</f>
        <v>0.92</v>
      </c>
      <c r="E5" t="s">
        <v>7</v>
      </c>
      <c r="F5">
        <f>$I$3+Table3[[#This Row],[Marks]]</f>
        <v>90</v>
      </c>
      <c r="G5" t="s">
        <v>23</v>
      </c>
    </row>
    <row r="6" spans="1:9" x14ac:dyDescent="0.25">
      <c r="A6" t="s">
        <v>15</v>
      </c>
      <c r="B6" t="s">
        <v>11</v>
      </c>
      <c r="C6" s="3">
        <v>78</v>
      </c>
      <c r="D6" s="5">
        <v>0.89</v>
      </c>
      <c r="E6" t="s">
        <v>7</v>
      </c>
      <c r="F6">
        <f>$I$3+Table3[[#This Row],[Marks]]</f>
        <v>83</v>
      </c>
      <c r="G6" t="s">
        <v>28</v>
      </c>
    </row>
    <row r="7" spans="1:9" x14ac:dyDescent="0.25">
      <c r="A7" t="s">
        <v>8</v>
      </c>
      <c r="B7" t="s">
        <v>9</v>
      </c>
      <c r="C7" s="3">
        <v>72</v>
      </c>
      <c r="D7" s="5">
        <v>0.88</v>
      </c>
      <c r="E7" t="s">
        <v>7</v>
      </c>
      <c r="F7">
        <f>$I$3+Table3[[#This Row],[Marks]]</f>
        <v>77</v>
      </c>
      <c r="G7" t="s">
        <v>24</v>
      </c>
    </row>
    <row r="8" spans="1:9" x14ac:dyDescent="0.25">
      <c r="A8" t="s">
        <v>16</v>
      </c>
      <c r="B8" t="s">
        <v>6</v>
      </c>
      <c r="C8" s="3">
        <v>67</v>
      </c>
      <c r="D8" s="5">
        <v>0.8</v>
      </c>
      <c r="E8" t="s">
        <v>7</v>
      </c>
      <c r="F8">
        <f>$I$3+Table3[[#This Row],[Marks]]</f>
        <v>72</v>
      </c>
      <c r="G8" t="s">
        <v>29</v>
      </c>
    </row>
    <row r="9" spans="1:9" x14ac:dyDescent="0.25">
      <c r="A9" t="s">
        <v>12</v>
      </c>
      <c r="B9" t="s">
        <v>6</v>
      </c>
      <c r="C9" s="3">
        <v>60</v>
      </c>
      <c r="D9" s="5">
        <v>0.75</v>
      </c>
      <c r="E9" t="s">
        <v>7</v>
      </c>
      <c r="F9">
        <f>$I$3+Table3[[#This Row],[Marks]]</f>
        <v>65</v>
      </c>
      <c r="G9" t="s">
        <v>26</v>
      </c>
    </row>
    <row r="10" spans="1:9" x14ac:dyDescent="0.25">
      <c r="A10" t="s">
        <v>17</v>
      </c>
      <c r="B10" t="s">
        <v>9</v>
      </c>
      <c r="C10" s="3">
        <v>55</v>
      </c>
      <c r="D10" s="5">
        <v>0.77</v>
      </c>
      <c r="E10" t="s">
        <v>7</v>
      </c>
      <c r="F10">
        <f>$I$3+Table3[[#This Row],[Marks]]</f>
        <v>60</v>
      </c>
      <c r="G10" t="s">
        <v>30</v>
      </c>
    </row>
    <row r="11" spans="1:9" x14ac:dyDescent="0.25">
      <c r="A11" t="s">
        <v>13</v>
      </c>
      <c r="B11" t="s">
        <v>9</v>
      </c>
      <c r="C11" s="3">
        <v>40</v>
      </c>
      <c r="D11" s="5">
        <v>0.65</v>
      </c>
      <c r="E11" t="s">
        <v>14</v>
      </c>
      <c r="F11">
        <f>$I$3+Table3[[#This Row],[Marks]]</f>
        <v>45</v>
      </c>
      <c r="G11" t="s">
        <v>27</v>
      </c>
    </row>
    <row r="12" spans="1:9" x14ac:dyDescent="0.25">
      <c r="A12" t="s">
        <v>18</v>
      </c>
      <c r="B12" t="s">
        <v>11</v>
      </c>
      <c r="C12" s="3">
        <v>34</v>
      </c>
      <c r="D12" s="5">
        <v>0.7</v>
      </c>
      <c r="E12" t="s">
        <v>14</v>
      </c>
      <c r="F12">
        <f>$I$3+Table3[[#This Row],[Marks]]</f>
        <v>39</v>
      </c>
      <c r="G12" t="s">
        <v>31</v>
      </c>
    </row>
  </sheetData>
  <phoneticPr fontId="2" type="noConversion"/>
  <conditionalFormatting sqref="C3:C12">
    <cfRule type="cellIs" dxfId="3" priority="2" operator="lessThan">
      <formula>50</formula>
    </cfRule>
    <cfRule type="cellIs" dxfId="2" priority="3" operator="between">
      <formula>50</formula>
      <formula>79</formula>
    </cfRule>
    <cfRule type="cellIs" dxfId="1" priority="4" operator="greaterThan">
      <formula>80</formula>
    </cfRule>
  </conditionalFormatting>
  <conditionalFormatting sqref="D3:D12">
    <cfRule type="cellIs" dxfId="0" priority="1" operator="greaterThan">
      <formula>0.9</formula>
    </cfRule>
  </conditionalFormatting>
  <printOptions horizontalCentered="1" verticalCentered="1"/>
  <pageMargins left="0.7" right="0.7" top="0.75" bottom="0.75" header="0.3" footer="0.3"/>
  <pageSetup paperSize="9" orientation="landscape" r:id="rId1"/>
  <headerFooter>
    <oddHeader>&amp;LPrepared by Faizul Islam Bhuiyan (Bitto)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 Performance Report</vt:lpstr>
      <vt:lpstr>'Student Performance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Faizul Bitto</cp:lastModifiedBy>
  <cp:lastPrinted>2026-07-13T17:46:47Z</cp:lastPrinted>
  <dcterms:created xsi:type="dcterms:W3CDTF">2026-07-13T15:24:26Z</dcterms:created>
  <dcterms:modified xsi:type="dcterms:W3CDTF">2026-07-13T18:05:28Z</dcterms:modified>
</cp:coreProperties>
</file>