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ta Analytics\Assignments\Assignment 3\"/>
    </mc:Choice>
  </mc:AlternateContent>
  <xr:revisionPtr revIDLastSave="0" documentId="13_ncr:1_{C0B7463C-8A7D-4881-9010-127673696A73}" xr6:coauthVersionLast="47" xr6:coauthVersionMax="47" xr10:uidLastSave="{00000000-0000-0000-0000-000000000000}"/>
  <bookViews>
    <workbookView xWindow="-120" yWindow="-120" windowWidth="29040" windowHeight="15720" tabRatio="500" firstSheet="3" activeTab="6" xr2:uid="{00000000-000D-0000-FFFF-FFFF00000000}"/>
  </bookViews>
  <sheets>
    <sheet name="Sales Raw Data" sheetId="10" r:id="rId1"/>
    <sheet name="Pivot Report" sheetId="11" r:id="rId2"/>
    <sheet name="Goal Seek Result" sheetId="3" r:id="rId3"/>
    <sheet name="calculated field &amp; item" sheetId="12" r:id="rId4"/>
    <sheet name="Scenerio" sheetId="17" r:id="rId5"/>
    <sheet name="Scenario Summary" sheetId="18" r:id="rId6"/>
    <sheet name="Grouping, sorting, filtering, a" sheetId="16" r:id="rId7"/>
  </sheets>
  <definedNames>
    <definedName name="ExternalData_1" localSheetId="0" hidden="1">'Sales Raw Data'!$A$1:$G$31</definedName>
    <definedName name="Slicer_Product">#N/A</definedName>
    <definedName name="Slicer_Region">#N/A</definedName>
  </definedNames>
  <calcPr calcId="191029" iterateDelta="1E-4"/>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5"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C325EB-D643-4E5A-9F9E-560099F63824}" keepAlive="1" name="Query - Sales Raw Data" description="Connection to the 'Sales Raw Data' query in the workbook." type="5" refreshedVersion="8" background="1" saveData="1">
    <dbPr connection="Provider=Microsoft.Mashup.OleDb.1;Data Source=$Workbook$;Location=&quot;Sales Raw Data&quot;;Extended Properties=&quot;&quot;" command="SELECT * FROM [Sales Raw Data]"/>
  </connection>
</connections>
</file>

<file path=xl/sharedStrings.xml><?xml version="1.0" encoding="utf-8"?>
<sst xmlns="http://schemas.openxmlformats.org/spreadsheetml/2006/main" count="181" uniqueCount="67">
  <si>
    <t>Order Date</t>
  </si>
  <si>
    <t>Region</t>
  </si>
  <si>
    <t>Salesperson</t>
  </si>
  <si>
    <t>Product</t>
  </si>
  <si>
    <t>Quantity</t>
  </si>
  <si>
    <t>Unit Price</t>
  </si>
  <si>
    <t>Total Sales</t>
  </si>
  <si>
    <t>North</t>
  </si>
  <si>
    <t>David Wilson</t>
  </si>
  <si>
    <t>Keyboard</t>
  </si>
  <si>
    <t>South</t>
  </si>
  <si>
    <t>John Smith</t>
  </si>
  <si>
    <t>Headphones</t>
  </si>
  <si>
    <t>West</t>
  </si>
  <si>
    <t>Jessica Martinez</t>
  </si>
  <si>
    <t>Mouse</t>
  </si>
  <si>
    <t>Amanda Anderson</t>
  </si>
  <si>
    <t>East</t>
  </si>
  <si>
    <t>Central</t>
  </si>
  <si>
    <t>Emily Davis</t>
  </si>
  <si>
    <t>Printer</t>
  </si>
  <si>
    <t>Scanner</t>
  </si>
  <si>
    <t>Robert Taylor</t>
  </si>
  <si>
    <t>Sarah Johnson</t>
  </si>
  <si>
    <t>Monitor</t>
  </si>
  <si>
    <t>Webcam</t>
  </si>
  <si>
    <t>Laptop</t>
  </si>
  <si>
    <t>Michael Brown</t>
  </si>
  <si>
    <t>USB Drive</t>
  </si>
  <si>
    <t>Desktop PC</t>
  </si>
  <si>
    <t>Grand Total</t>
  </si>
  <si>
    <t>Sum of Total Sales</t>
  </si>
  <si>
    <t>Product:</t>
  </si>
  <si>
    <t>Unit Price:</t>
  </si>
  <si>
    <t>Original Quantity:</t>
  </si>
  <si>
    <t>Original Total Sales:</t>
  </si>
  <si>
    <t>TARGET TOTAL SALES:</t>
  </si>
  <si>
    <t>Required Quantity:</t>
  </si>
  <si>
    <t>Goal Seek Result :</t>
  </si>
  <si>
    <t>Row Labels</t>
  </si>
  <si>
    <t>Sum of Average Sales Per Product</t>
  </si>
  <si>
    <t>2024</t>
  </si>
  <si>
    <t>May</t>
  </si>
  <si>
    <t>Sum of Quantity</t>
  </si>
  <si>
    <t>Sum of Unit Price</t>
  </si>
  <si>
    <t>$C$1</t>
  </si>
  <si>
    <t>$C$2</t>
  </si>
  <si>
    <t>$C$3</t>
  </si>
  <si>
    <t>$C$4</t>
  </si>
  <si>
    <t>$C$5</t>
  </si>
  <si>
    <t>$C$6</t>
  </si>
  <si>
    <t>$C$7</t>
  </si>
  <si>
    <t>$C$8</t>
  </si>
  <si>
    <t>$C$9</t>
  </si>
  <si>
    <t>$C$10</t>
  </si>
  <si>
    <t>$H$3</t>
  </si>
  <si>
    <t>Low Sales Scenario</t>
  </si>
  <si>
    <t>Created by Faizul Bitto on 29-07-2026</t>
  </si>
  <si>
    <t>Medium Sales Scenario</t>
  </si>
  <si>
    <t>High Sales Scenario</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</si>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</sst>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
  </numFmts>
  <fonts count="10" x14ac:knownFonts="1">
    <font>
      <sz val="11"/>
      <color theme="1"/>
      <name val="Calibri"/>
      <family val="2"/>
      <charset val="1"/>
    </font>
    <font>
      <b/>
      <sz val="11"/>
      <name val="Cambria"/>
      <family val="1"/>
    </font>
    <font>
      <b/>
      <sz val="11"/>
      <color rgb="FFFFFFFF"/>
      <name val="Cambria"/>
      <family val="1"/>
    </font>
    <font>
      <b/>
      <sz val="11"/>
      <color theme="1"/>
      <name val="Calibri"/>
      <family val="2"/>
    </font>
    <font>
      <b/>
      <sz val="11"/>
      <color theme="1"/>
      <name val="Calibri"/>
      <family val="2"/>
      <charset val="1"/>
    </font>
    <font>
      <b/>
      <sz val="12"/>
      <color indexed="9"/>
      <name val="Calibri"/>
      <family val="2"/>
      <charset val="1"/>
    </font>
    <font>
      <b/>
      <sz val="11"/>
      <color indexed="8"/>
      <name val="Calibri"/>
      <family val="2"/>
      <charset val="1"/>
    </font>
    <font>
      <b/>
      <sz val="11"/>
      <color indexed="18"/>
      <name val="Calibri"/>
      <family val="2"/>
      <charset val="1"/>
    </font>
    <font>
      <sz val="10"/>
      <color indexed="9"/>
      <name val="Calibri"/>
      <family val="2"/>
      <charset val="1"/>
    </font>
    <font>
      <sz val="8"/>
      <color theme="1"/>
      <name val="Calibri"/>
      <family val="2"/>
    </font>
  </fonts>
  <fills count="8">
    <fill>
      <patternFill patternType="none"/>
    </fill>
    <fill>
      <patternFill patternType="gray125"/>
    </fill>
    <fill>
      <patternFill patternType="solid">
        <fgColor theme="1"/>
        <bgColor rgb="FFFF9900"/>
      </patternFill>
    </fill>
    <fill>
      <patternFill patternType="solid">
        <fgColor theme="0"/>
        <bgColor rgb="FFFF9900"/>
      </patternFill>
    </fill>
    <fill>
      <patternFill patternType="solid">
        <fgColor theme="4" tint="0.79998168889431442"/>
        <bgColor theme="4" tint="0.79998168889431442"/>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7">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pivotButton="1"/>
    <xf numFmtId="0" fontId="0" fillId="0" borderId="0" xfId="0" applyNumberFormat="1"/>
    <xf numFmtId="0" fontId="0" fillId="0" borderId="1" xfId="0" applyBorder="1"/>
    <xf numFmtId="0" fontId="0" fillId="0" borderId="1" xfId="0" applyBorder="1" applyAlignment="1">
      <alignment horizontal="right"/>
    </xf>
    <xf numFmtId="0" fontId="1" fillId="0" borderId="1" xfId="0" applyFont="1" applyBorder="1"/>
    <xf numFmtId="164" fontId="0" fillId="0" borderId="1" xfId="0" applyNumberFormat="1" applyBorder="1" applyAlignment="1">
      <alignment horizontal="right"/>
    </xf>
    <xf numFmtId="165" fontId="0" fillId="0" borderId="1" xfId="0" applyNumberFormat="1" applyBorder="1" applyAlignment="1">
      <alignment horizontal="right"/>
    </xf>
    <xf numFmtId="1" fontId="0" fillId="0" borderId="1" xfId="0" applyNumberFormat="1" applyBorder="1" applyAlignment="1">
      <alignment horizontal="right"/>
    </xf>
    <xf numFmtId="0" fontId="3" fillId="0" borderId="1" xfId="0" applyFont="1" applyBorder="1"/>
    <xf numFmtId="0" fontId="2" fillId="2" borderId="1" xfId="0" applyFont="1" applyFill="1" applyBorder="1"/>
    <xf numFmtId="164" fontId="1" fillId="3" borderId="1" xfId="0" applyNumberFormat="1" applyFont="1" applyFill="1" applyBorder="1" applyAlignment="1">
      <alignment horizontal="right"/>
    </xf>
    <xf numFmtId="0" fontId="0" fillId="0" borderId="0" xfId="0" applyAlignment="1">
      <alignment horizontal="left"/>
    </xf>
    <xf numFmtId="0" fontId="0" fillId="0" borderId="0" xfId="0" applyAlignment="1">
      <alignment horizontal="left" indent="1"/>
    </xf>
    <xf numFmtId="14" fontId="0" fillId="0" borderId="0" xfId="0" applyNumberFormat="1"/>
    <xf numFmtId="0" fontId="4" fillId="0" borderId="0" xfId="0" applyNumberFormat="1" applyFont="1"/>
    <xf numFmtId="0" fontId="0" fillId="0" borderId="0" xfId="0" applyFill="1" applyBorder="1" applyAlignment="1"/>
    <xf numFmtId="0" fontId="0" fillId="0" borderId="4" xfId="0" applyFill="1" applyBorder="1" applyAlignment="1"/>
    <xf numFmtId="0" fontId="5" fillId="5" borderId="5" xfId="0" applyFont="1" applyFill="1" applyBorder="1" applyAlignment="1">
      <alignment horizontal="left"/>
    </xf>
    <xf numFmtId="0" fontId="5" fillId="5" borderId="3" xfId="0" applyFont="1" applyFill="1" applyBorder="1" applyAlignment="1">
      <alignment horizontal="left"/>
    </xf>
    <xf numFmtId="0" fontId="0" fillId="0" borderId="6" xfId="0" applyFill="1" applyBorder="1" applyAlignment="1"/>
    <xf numFmtId="0" fontId="6" fillId="6" borderId="0" xfId="0" applyFont="1" applyFill="1" applyBorder="1" applyAlignment="1">
      <alignment horizontal="left"/>
    </xf>
    <xf numFmtId="0" fontId="7" fillId="6" borderId="6" xfId="0" applyFont="1" applyFill="1" applyBorder="1" applyAlignment="1">
      <alignment horizontal="left"/>
    </xf>
    <xf numFmtId="0" fontId="6" fillId="6" borderId="4" xfId="0" applyFont="1" applyFill="1" applyBorder="1" applyAlignment="1">
      <alignment horizontal="left"/>
    </xf>
    <xf numFmtId="0" fontId="8" fillId="5" borderId="3" xfId="0" applyFont="1" applyFill="1" applyBorder="1" applyAlignment="1">
      <alignment horizontal="right"/>
    </xf>
    <xf numFmtId="0" fontId="8" fillId="5" borderId="5" xfId="0" applyFont="1" applyFill="1" applyBorder="1" applyAlignment="1">
      <alignment horizontal="right"/>
    </xf>
    <xf numFmtId="0" fontId="0" fillId="7" borderId="0" xfId="0" applyFill="1" applyBorder="1" applyAlignment="1"/>
    <xf numFmtId="0" fontId="9" fillId="0" borderId="0" xfId="0" applyFont="1" applyFill="1" applyBorder="1" applyAlignment="1">
      <alignment vertical="top" wrapText="1"/>
    </xf>
    <xf numFmtId="0" fontId="4" fillId="4" borderId="2" xfId="0" applyFont="1" applyFill="1" applyBorder="1" applyAlignment="1">
      <alignment horizontal="left"/>
    </xf>
    <xf numFmtId="0" fontId="4" fillId="4" borderId="2" xfId="0" applyNumberFormat="1" applyFont="1" applyFill="1" applyBorder="1"/>
  </cellXfs>
  <cellStyles count="1">
    <cellStyle name="Normal" xfId="0" builtinId="0"/>
  </cellStyles>
  <dxfs count="6">
    <dxf>
      <font>
        <b/>
      </font>
    </dxf>
    <dxf>
      <font>
        <b/>
      </font>
    </dxf>
    <dxf>
      <numFmt numFmtId="0" formatCode="General"/>
    </dxf>
    <dxf>
      <numFmt numFmtId="0" formatCode="General"/>
    </dxf>
    <dxf>
      <numFmt numFmtId="0" formatCode="General"/>
    </dxf>
    <dxf>
      <numFmt numFmtId="19" formatCode="dd/mm/yy"/>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66092"/>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200025</xdr:colOff>
      <xdr:row>3</xdr:row>
      <xdr:rowOff>0</xdr:rowOff>
    </xdr:from>
    <xdr:to>
      <xdr:col>5</xdr:col>
      <xdr:colOff>200025</xdr:colOff>
      <xdr:row>16</xdr:row>
      <xdr:rowOff>47625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B8205EB-1242-78CD-E387-A6EC5A0E5D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28850"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247650</xdr:colOff>
      <xdr:row>3</xdr:row>
      <xdr:rowOff>9525</xdr:rowOff>
    </xdr:from>
    <xdr:to>
      <xdr:col>8</xdr:col>
      <xdr:colOff>247650</xdr:colOff>
      <xdr:row>16</xdr:row>
      <xdr:rowOff>57150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A9D053BB-C3F9-F5B6-5A28-3A925DC4FDB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105275" y="581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ul Bitto" refreshedDate="46232.06851597222" createdVersion="8" refreshedVersion="8" minRefreshableVersion="3" recordCount="30" xr:uid="{C1445957-4C4F-49B7-8ECD-10A3A28F5DB6}">
  <cacheSource type="worksheet">
    <worksheetSource name="Sales_Raw_Data"/>
  </cacheSource>
  <cacheFields count="10">
    <cacheField name="Order Date" numFmtId="14">
      <sharedItems containsSemiMixedTypes="0" containsNonDate="0" containsDate="1" containsString="0" minDate="2024-01-02T00:00:00" maxDate="2024-10-20T00:00:00" count="26">
        <d v="2024-02-27T00:00:00"/>
        <d v="2024-04-21T00:00:00"/>
        <d v="2024-03-22T00:00:00"/>
        <d v="2024-05-15T00:00:00"/>
        <d v="2024-04-08T00:00:00"/>
        <d v="2024-03-24T00:00:00"/>
        <d v="2024-05-18T00:00:00"/>
        <d v="2024-06-10T00:00:00"/>
        <d v="2024-08-07T00:00:00"/>
        <d v="2024-08-04T00:00:00"/>
        <d v="2024-05-16T00:00:00"/>
        <d v="2024-06-01T00:00:00"/>
        <d v="2024-03-05T00:00:00"/>
        <d v="2024-06-08T00:00:00"/>
        <d v="2024-04-22T00:00:00"/>
        <d v="2024-04-19T00:00:00"/>
        <d v="2024-05-07T00:00:00"/>
        <d v="2024-02-20T00:00:00"/>
        <d v="2024-01-02T00:00:00"/>
        <d v="2024-02-01T00:00:00"/>
        <d v="2024-02-05T00:00:00"/>
        <d v="2024-09-24T00:00:00"/>
        <d v="2024-03-15T00:00:00"/>
        <d v="2024-05-22T00:00:00"/>
        <d v="2024-03-09T00:00:00"/>
        <d v="2024-10-19T00:00:00"/>
      </sharedItems>
      <fieldGroup par="9"/>
    </cacheField>
    <cacheField name="Region" numFmtId="0">
      <sharedItems count="5">
        <s v="North"/>
        <s v="South"/>
        <s v="West"/>
        <s v="East"/>
        <s v="Central"/>
      </sharedItems>
    </cacheField>
    <cacheField name="Salesperson" numFmtId="0">
      <sharedItems/>
    </cacheField>
    <cacheField name="Product" numFmtId="0">
      <sharedItems count="10">
        <s v="Keyboard"/>
        <s v="Headphones"/>
        <s v="Mouse"/>
        <s v="Printer"/>
        <s v="Scanner"/>
        <s v="Monitor"/>
        <s v="Webcam"/>
        <s v="Laptop"/>
        <s v="USB Drive"/>
        <s v="Desktop PC"/>
      </sharedItems>
    </cacheField>
    <cacheField name="Quantity" numFmtId="0">
      <sharedItems containsSemiMixedTypes="0" containsString="0" containsNumber="1" containsInteger="1" minValue="3" maxValue="50"/>
    </cacheField>
    <cacheField name="Unit Price" numFmtId="0">
      <sharedItems containsSemiMixedTypes="0" containsString="0" containsNumber="1" containsInteger="1" minValue="25" maxValue="1369"/>
    </cacheField>
    <cacheField name="Total Sales" numFmtId="0">
      <sharedItems containsSemiMixedTypes="0" containsString="0" containsNumber="1" containsInteger="1" minValue="250" maxValue="60236"/>
    </cacheField>
    <cacheField name="Average Sales Per Product" numFmtId="0" formula="'Total Sales'/Quantity" databaseField="0"/>
    <cacheField name="Months (Order Date)" numFmtId="0" databaseField="0">
      <fieldGroup base="0">
        <rangePr groupBy="months" startDate="2024-01-02T00:00:00" endDate="2024-10-20T00:00:00"/>
        <groupItems count="14">
          <s v="&lt;02-01-24"/>
          <s v="Jan"/>
          <s v="Feb"/>
          <s v="Mar"/>
          <s v="Apr"/>
          <s v="May"/>
          <s v="Jun"/>
          <s v="Jul"/>
          <s v="Aug"/>
          <s v="Sep"/>
          <s v="Oct"/>
          <s v="Nov"/>
          <s v="Dec"/>
          <s v="&gt;20-10-24"/>
        </groupItems>
      </fieldGroup>
    </cacheField>
    <cacheField name="Years (Order Date)" numFmtId="0" databaseField="0">
      <fieldGroup base="0">
        <rangePr groupBy="years" startDate="2024-01-02T00:00:00" endDate="2024-10-20T00:00:00"/>
        <groupItems count="3">
          <s v="&lt;02-01-24"/>
          <s v="2024"/>
          <s v="&gt;20-10-24"/>
        </groupItems>
      </fieldGroup>
    </cacheField>
  </cacheFields>
  <extLst>
    <ext xmlns:x14="http://schemas.microsoft.com/office/spreadsheetml/2009/9/main" uri="{725AE2AE-9491-48be-B2B4-4EB974FC3084}">
      <x14:pivotCacheDefinition pivotCacheId="1789199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s v="David Wilson"/>
    <x v="0"/>
    <n v="15"/>
    <n v="189"/>
    <n v="2835"/>
  </r>
  <r>
    <x v="1"/>
    <x v="1"/>
    <s v="John Smith"/>
    <x v="1"/>
    <n v="13"/>
    <n v="257"/>
    <n v="3341"/>
  </r>
  <r>
    <x v="2"/>
    <x v="2"/>
    <s v="Jessica Martinez"/>
    <x v="2"/>
    <n v="10"/>
    <n v="25"/>
    <n v="250"/>
  </r>
  <r>
    <x v="3"/>
    <x v="0"/>
    <s v="Amanda Anderson"/>
    <x v="1"/>
    <n v="8"/>
    <n v="142"/>
    <n v="1136"/>
  </r>
  <r>
    <x v="4"/>
    <x v="0"/>
    <s v="John Smith"/>
    <x v="0"/>
    <n v="50"/>
    <n v="75"/>
    <n v="3750"/>
  </r>
  <r>
    <x v="5"/>
    <x v="3"/>
    <s v="Jessica Martinez"/>
    <x v="0"/>
    <n v="43"/>
    <n v="93"/>
    <n v="3999"/>
  </r>
  <r>
    <x v="6"/>
    <x v="4"/>
    <s v="Emily Davis"/>
    <x v="3"/>
    <n v="50"/>
    <n v="230"/>
    <n v="11500"/>
  </r>
  <r>
    <x v="7"/>
    <x v="1"/>
    <s v="Amanda Anderson"/>
    <x v="4"/>
    <n v="42"/>
    <n v="243"/>
    <n v="10206"/>
  </r>
  <r>
    <x v="8"/>
    <x v="4"/>
    <s v="Robert Taylor"/>
    <x v="3"/>
    <n v="15"/>
    <n v="162"/>
    <n v="2430"/>
  </r>
  <r>
    <x v="9"/>
    <x v="4"/>
    <s v="Sarah Johnson"/>
    <x v="4"/>
    <n v="25"/>
    <n v="102"/>
    <n v="2550"/>
  </r>
  <r>
    <x v="10"/>
    <x v="3"/>
    <s v="Sarah Johnson"/>
    <x v="2"/>
    <n v="28"/>
    <n v="52"/>
    <n v="1456"/>
  </r>
  <r>
    <x v="11"/>
    <x v="4"/>
    <s v="Emily Davis"/>
    <x v="5"/>
    <n v="24"/>
    <n v="476"/>
    <n v="11424"/>
  </r>
  <r>
    <x v="0"/>
    <x v="3"/>
    <s v="David Wilson"/>
    <x v="0"/>
    <n v="4"/>
    <n v="70"/>
    <n v="280"/>
  </r>
  <r>
    <x v="12"/>
    <x v="1"/>
    <s v="Amanda Anderson"/>
    <x v="1"/>
    <n v="11"/>
    <n v="226"/>
    <n v="2486"/>
  </r>
  <r>
    <x v="13"/>
    <x v="2"/>
    <s v="Jessica Martinez"/>
    <x v="6"/>
    <n v="34"/>
    <n v="115"/>
    <n v="3910"/>
  </r>
  <r>
    <x v="14"/>
    <x v="0"/>
    <s v="Sarah Johnson"/>
    <x v="7"/>
    <n v="15"/>
    <n v="769"/>
    <n v="11535"/>
  </r>
  <r>
    <x v="15"/>
    <x v="4"/>
    <s v="Michael Brown"/>
    <x v="8"/>
    <n v="37"/>
    <n v="32"/>
    <n v="1184"/>
  </r>
  <r>
    <x v="9"/>
    <x v="2"/>
    <s v="Amanda Anderson"/>
    <x v="7"/>
    <n v="44"/>
    <n v="1369"/>
    <n v="60236"/>
  </r>
  <r>
    <x v="16"/>
    <x v="1"/>
    <s v="Emily Davis"/>
    <x v="1"/>
    <n v="29"/>
    <n v="256"/>
    <n v="7424"/>
  </r>
  <r>
    <x v="17"/>
    <x v="0"/>
    <s v="John Smith"/>
    <x v="9"/>
    <n v="49"/>
    <n v="970"/>
    <n v="47530"/>
  </r>
  <r>
    <x v="18"/>
    <x v="2"/>
    <s v="David Wilson"/>
    <x v="6"/>
    <n v="19"/>
    <n v="67"/>
    <n v="1273"/>
  </r>
  <r>
    <x v="19"/>
    <x v="3"/>
    <s v="John Smith"/>
    <x v="7"/>
    <n v="38"/>
    <n v="1188"/>
    <n v="45144"/>
  </r>
  <r>
    <x v="20"/>
    <x v="4"/>
    <s v="Sarah Johnson"/>
    <x v="0"/>
    <n v="26"/>
    <n v="113"/>
    <n v="2938"/>
  </r>
  <r>
    <x v="21"/>
    <x v="3"/>
    <s v="David Wilson"/>
    <x v="0"/>
    <n v="43"/>
    <n v="117"/>
    <n v="5031"/>
  </r>
  <r>
    <x v="7"/>
    <x v="0"/>
    <s v="John Smith"/>
    <x v="6"/>
    <n v="40"/>
    <n v="56"/>
    <n v="2240"/>
  </r>
  <r>
    <x v="22"/>
    <x v="2"/>
    <s v="Amanda Anderson"/>
    <x v="3"/>
    <n v="8"/>
    <n v="275"/>
    <n v="2200"/>
  </r>
  <r>
    <x v="23"/>
    <x v="4"/>
    <s v="Robert Taylor"/>
    <x v="7"/>
    <n v="3"/>
    <n v="1150"/>
    <n v="3450"/>
  </r>
  <r>
    <x v="8"/>
    <x v="0"/>
    <s v="John Smith"/>
    <x v="5"/>
    <n v="15"/>
    <n v="350"/>
    <n v="5250"/>
  </r>
  <r>
    <x v="24"/>
    <x v="1"/>
    <s v="Jessica Martinez"/>
    <x v="1"/>
    <n v="28"/>
    <n v="180"/>
    <n v="5040"/>
  </r>
  <r>
    <x v="25"/>
    <x v="3"/>
    <s v="Michael Brown"/>
    <x v="8"/>
    <n v="42"/>
    <n v="35"/>
    <n v="14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CD3FF-1010-4AD1-BC8E-433D834A669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L10" firstHeaderRow="1" firstDataRow="2" firstDataCol="1"/>
  <pivotFields count="10">
    <pivotField compact="0" numFmtId="14" outline="0" subtotalTop="0" showAll="0">
      <items count="27">
        <item x="18"/>
        <item x="19"/>
        <item x="20"/>
        <item x="17"/>
        <item x="0"/>
        <item x="12"/>
        <item x="24"/>
        <item x="22"/>
        <item x="2"/>
        <item x="5"/>
        <item x="4"/>
        <item x="15"/>
        <item x="1"/>
        <item x="14"/>
        <item x="16"/>
        <item x="3"/>
        <item x="10"/>
        <item x="6"/>
        <item x="23"/>
        <item x="11"/>
        <item x="13"/>
        <item x="7"/>
        <item x="9"/>
        <item x="8"/>
        <item x="21"/>
        <item x="25"/>
        <item t="default"/>
      </items>
    </pivotField>
    <pivotField axis="axisRow" compact="0" outline="0" subtotalTop="0" showAll="0">
      <items count="6">
        <item x="4"/>
        <item x="3"/>
        <item x="0"/>
        <item x="1"/>
        <item x="2"/>
        <item t="default"/>
      </items>
    </pivotField>
    <pivotField compact="0" outline="0" subtotalTop="0" showAll="0"/>
    <pivotField axis="axisCol" compact="0" outline="0" subtotalTop="0" showAll="0">
      <items count="11">
        <item x="9"/>
        <item x="1"/>
        <item x="0"/>
        <item x="7"/>
        <item x="5"/>
        <item x="2"/>
        <item x="3"/>
        <item x="4"/>
        <item x="8"/>
        <item x="6"/>
        <item t="default"/>
      </items>
    </pivotField>
    <pivotField compact="0" outline="0" subtotalTop="0" showAll="0"/>
    <pivotField compact="0" outline="0" subtotalTop="0" showAll="0"/>
    <pivotField dataField="1" compact="0" outline="0" subtotalTop="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4">
        <item x="0"/>
        <item x="1"/>
        <item x="2"/>
        <item t="default"/>
      </items>
    </pivotField>
  </pivotFields>
  <rowFields count="1">
    <field x="1"/>
  </rowFields>
  <rowItems count="6">
    <i>
      <x/>
    </i>
    <i>
      <x v="1"/>
    </i>
    <i>
      <x v="2"/>
    </i>
    <i>
      <x v="3"/>
    </i>
    <i>
      <x v="4"/>
    </i>
    <i t="grand">
      <x/>
    </i>
  </rowItems>
  <colFields count="1">
    <field x="3"/>
  </colFields>
  <colItems count="11">
    <i>
      <x/>
    </i>
    <i>
      <x v="1"/>
    </i>
    <i>
      <x v="2"/>
    </i>
    <i>
      <x v="3"/>
    </i>
    <i>
      <x v="4"/>
    </i>
    <i>
      <x v="5"/>
    </i>
    <i>
      <x v="6"/>
    </i>
    <i>
      <x v="7"/>
    </i>
    <i>
      <x v="8"/>
    </i>
    <i>
      <x v="9"/>
    </i>
    <i t="grand">
      <x/>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AB80B8-B65E-419E-98F8-C064997963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10">
    <pivotField numFmtId="14" showAll="0">
      <items count="27">
        <item x="18"/>
        <item x="19"/>
        <item x="20"/>
        <item x="17"/>
        <item x="0"/>
        <item x="12"/>
        <item x="24"/>
        <item x="22"/>
        <item x="2"/>
        <item x="5"/>
        <item x="4"/>
        <item x="15"/>
        <item x="1"/>
        <item x="14"/>
        <item x="16"/>
        <item x="3"/>
        <item x="10"/>
        <item x="6"/>
        <item x="23"/>
        <item x="11"/>
        <item x="13"/>
        <item x="7"/>
        <item x="9"/>
        <item x="8"/>
        <item x="21"/>
        <item x="25"/>
        <item t="default"/>
      </items>
    </pivotField>
    <pivotField showAll="0"/>
    <pivotField showAll="0"/>
    <pivotField axis="axisRow" showAll="0">
      <items count="11">
        <item x="9"/>
        <item x="1"/>
        <item x="0"/>
        <item x="7"/>
        <item x="5"/>
        <item x="2"/>
        <item x="3"/>
        <item x="4"/>
        <item x="8"/>
        <item x="6"/>
        <item t="default"/>
      </items>
    </pivotField>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Sum of Total Sales" fld="6" baseField="0" baseItem="0"/>
    <dataField name="Sum of Average Sales Per Product" fld="7" baseField="0" baseItem="0"/>
    <dataField name="Sum of Quantity" fld="4" baseField="0" baseItem="0"/>
    <dataField name="Sum of Unit Pric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A1C0D5-2A05-45FE-B79B-5E3ABD6323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7" firstHeaderRow="1" firstDataRow="1" firstDataCol="1"/>
  <pivotFields count="10">
    <pivotField numFmtId="14" showAll="0" sortType="descending" defaultSubtotal="0">
      <items count="26">
        <item x="18"/>
        <item x="19"/>
        <item x="20"/>
        <item x="17"/>
        <item x="0"/>
        <item x="12"/>
        <item x="24"/>
        <item x="22"/>
        <item x="2"/>
        <item x="5"/>
        <item x="4"/>
        <item x="15"/>
        <item x="1"/>
        <item x="14"/>
        <item x="16"/>
        <item x="3"/>
        <item x="10"/>
        <item x="6"/>
        <item x="23"/>
        <item x="11"/>
        <item x="13"/>
        <item x="7"/>
        <item x="9"/>
        <item x="8"/>
        <item x="21"/>
        <item x="25"/>
      </items>
      <autoSortScope>
        <pivotArea dataOnly="0" outline="0" fieldPosition="0">
          <references count="1">
            <reference field="4294967294" count="1" selected="0">
              <x v="0"/>
            </reference>
          </references>
        </pivotArea>
      </autoSortScope>
    </pivotField>
    <pivotField showAll="0">
      <items count="6">
        <item x="4"/>
        <item h="1" x="3"/>
        <item h="1" x="0"/>
        <item h="1" x="1"/>
        <item h="1" x="2"/>
        <item t="default"/>
      </items>
    </pivotField>
    <pivotField showAll="0"/>
    <pivotField showAll="0">
      <items count="11">
        <item h="1" x="9"/>
        <item h="1" x="1"/>
        <item h="1" x="0"/>
        <item x="7"/>
        <item h="1" x="5"/>
        <item h="1" x="2"/>
        <item h="1" x="3"/>
        <item h="1" x="4"/>
        <item h="1" x="8"/>
        <item h="1" x="6"/>
        <item t="default"/>
      </items>
    </pivotField>
    <pivotField showAll="0"/>
    <pivotField showAll="0"/>
    <pivotField dataField="1" showAll="0"/>
    <pivotField dragToRow="0" dragToCol="0" dragToPage="0" showAll="0" defaultSubtota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items count="4">
        <item x="0"/>
        <item x="1"/>
        <item x="2"/>
        <item t="default"/>
      </items>
    </pivotField>
  </pivotFields>
  <rowFields count="2">
    <field x="9"/>
    <field x="8"/>
  </rowFields>
  <rowItems count="3">
    <i>
      <x v="1"/>
    </i>
    <i r="1">
      <x v="5"/>
    </i>
    <i t="grand">
      <x/>
    </i>
  </rowItems>
  <colItems count="1">
    <i/>
  </colItems>
  <dataFields count="1">
    <dataField name="Sum of Total Sales" fld="6" baseField="0" baseItem="0"/>
  </dataFields>
  <formats count="2">
    <format dxfId="1">
      <pivotArea collapsedLevelsAreSubtotals="1" fieldPosition="0">
        <references count="1">
          <reference field="9" count="1">
            <x v="1"/>
          </reference>
        </references>
      </pivotArea>
    </format>
    <format dxfId="0">
      <pivotArea collapsedLevelsAreSubtotals="1" fieldPosition="0">
        <references count="2">
          <reference field="8" count="9">
            <x v="1"/>
            <x v="2"/>
            <x v="3"/>
            <x v="4"/>
            <x v="5"/>
            <x v="6"/>
            <x v="8"/>
            <x v="9"/>
            <x v="10"/>
          </reference>
          <reference field="9"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DECDAD-AC7C-46D3-AB96-4FA12C7CD941}" autoFormatId="16" applyNumberFormats="0" applyBorderFormats="0" applyFontFormats="0" applyPatternFormats="0" applyAlignmentFormats="0" applyWidthHeightFormats="0">
  <queryTableRefresh nextId="8">
    <queryTableFields count="7">
      <queryTableField id="1" name="Order Date" tableColumnId="1"/>
      <queryTableField id="2" name="Region" tableColumnId="2"/>
      <queryTableField id="3" name="Salesperson" tableColumnId="3"/>
      <queryTableField id="4" name="Product" tableColumnId="4"/>
      <queryTableField id="5" name="Quantity" tableColumnId="5"/>
      <queryTableField id="6" name="Unit Price" tableColumnId="6"/>
      <queryTableField id="7" name="Total Sale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23778E-03A8-4A8B-8A43-8CF147660716}" sourceName="Region">
  <pivotTables>
    <pivotTable tabId="16" name="PivotTable6"/>
  </pivotTables>
  <data>
    <tabular pivotCacheId="1789199834">
      <items count="5">
        <i x="4" s="1"/>
        <i x="3"/>
        <i x="0"/>
        <i x="2"/>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818A80C-A253-4918-8A27-4662D383DDA2}" sourceName="Product">
  <pivotTables>
    <pivotTable tabId="16" name="PivotTable6"/>
  </pivotTables>
  <data>
    <tabular pivotCacheId="1789199834">
      <items count="10">
        <i x="0"/>
        <i x="7" s="1"/>
        <i x="5"/>
        <i x="3"/>
        <i x="4"/>
        <i x="8"/>
        <i x="9" nd="1"/>
        <i x="1" nd="1"/>
        <i x="2"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C05B087-3A49-4129-9A24-3C0D918A06D3}" cache="Slicer_Region" caption="Region" style="SlicerStyleLight3" rowHeight="241300"/>
  <slicer name="Product" xr10:uid="{F09D2004-5FE3-437C-A984-570D6DE70096}" cache="Slicer_Product" caption="Produc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B5DC09-D7FB-48E0-B125-46C05C532D3E}" name="Sales_Raw_Data" displayName="Sales_Raw_Data" ref="A1:G31" tableType="queryTable" totalsRowShown="0">
  <autoFilter ref="A1:G31" xr:uid="{3BB5DC09-D7FB-48E0-B125-46C05C532D3E}"/>
  <tableColumns count="7">
    <tableColumn id="1" xr3:uid="{797CA251-7040-4959-97E6-A68998ACD37F}" uniqueName="1" name="Order Date" queryTableFieldId="1" dataDxfId="5"/>
    <tableColumn id="2" xr3:uid="{6833B69F-95CF-45CF-ACBF-22E0F0E8A8B3}" uniqueName="2" name="Region" queryTableFieldId="2" dataDxfId="4"/>
    <tableColumn id="3" xr3:uid="{550857ED-C148-4F04-BFCD-57730CC2F62C}" uniqueName="3" name="Salesperson" queryTableFieldId="3" dataDxfId="3"/>
    <tableColumn id="4" xr3:uid="{E7B2C1FD-34DA-4000-8FFB-F2C43B9491CC}" uniqueName="4" name="Product" queryTableFieldId="4" dataDxfId="2"/>
    <tableColumn id="5" xr3:uid="{B29C003F-C1BE-4AD5-8B34-518F85E46AF6}" uniqueName="5" name="Quantity" queryTableFieldId="5"/>
    <tableColumn id="6" xr3:uid="{29726512-8CE3-4F7A-90BF-855D2C05880C}" uniqueName="6" name="Unit Price" queryTableFieldId="6"/>
    <tableColumn id="7" xr3:uid="{FC1A6516-AA14-4829-8F6C-5E5D41CB3000}" uniqueName="7" name="Total Sales"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A31F5-B56B-4053-BCEB-AD0BAE3CEA9E}">
  <dimension ref="A1:G31"/>
  <sheetViews>
    <sheetView workbookViewId="0">
      <selection activeCell="A11" sqref="A11"/>
    </sheetView>
  </sheetViews>
  <sheetFormatPr defaultRowHeight="15" x14ac:dyDescent="0.25"/>
  <cols>
    <col min="1" max="1" width="13" bestFit="1" customWidth="1"/>
    <col min="2" max="2" width="9.42578125" bestFit="1" customWidth="1"/>
    <col min="3" max="3" width="17.5703125" bestFit="1" customWidth="1"/>
    <col min="4" max="4" width="12.140625" bestFit="1" customWidth="1"/>
    <col min="5" max="5" width="11" bestFit="1" customWidth="1"/>
    <col min="6" max="6" width="12" bestFit="1" customWidth="1"/>
    <col min="7" max="7" width="12.7109375" bestFit="1" customWidth="1"/>
  </cols>
  <sheetData>
    <row r="1" spans="1:7" x14ac:dyDescent="0.25">
      <c r="A1" t="s">
        <v>0</v>
      </c>
      <c r="B1" t="s">
        <v>1</v>
      </c>
      <c r="C1" t="s">
        <v>2</v>
      </c>
      <c r="D1" t="s">
        <v>3</v>
      </c>
      <c r="E1" t="s">
        <v>4</v>
      </c>
      <c r="F1" t="s">
        <v>5</v>
      </c>
      <c r="G1" t="s">
        <v>6</v>
      </c>
    </row>
    <row r="2" spans="1:7" x14ac:dyDescent="0.25">
      <c r="A2" s="14">
        <v>45349</v>
      </c>
      <c r="B2" s="2" t="s">
        <v>7</v>
      </c>
      <c r="C2" s="2" t="s">
        <v>8</v>
      </c>
      <c r="D2" s="2" t="s">
        <v>9</v>
      </c>
      <c r="E2">
        <v>15</v>
      </c>
      <c r="F2">
        <v>189</v>
      </c>
      <c r="G2">
        <v>2835</v>
      </c>
    </row>
    <row r="3" spans="1:7" x14ac:dyDescent="0.25">
      <c r="A3" s="14">
        <v>45403</v>
      </c>
      <c r="B3" s="2" t="s">
        <v>10</v>
      </c>
      <c r="C3" s="2" t="s">
        <v>11</v>
      </c>
      <c r="D3" s="2" t="s">
        <v>12</v>
      </c>
      <c r="E3">
        <v>13</v>
      </c>
      <c r="F3">
        <v>257</v>
      </c>
      <c r="G3">
        <v>3341</v>
      </c>
    </row>
    <row r="4" spans="1:7" x14ac:dyDescent="0.25">
      <c r="A4" s="14">
        <v>45373</v>
      </c>
      <c r="B4" s="2" t="s">
        <v>13</v>
      </c>
      <c r="C4" s="2" t="s">
        <v>14</v>
      </c>
      <c r="D4" s="2" t="s">
        <v>15</v>
      </c>
      <c r="E4">
        <v>10</v>
      </c>
      <c r="F4">
        <v>25</v>
      </c>
      <c r="G4">
        <v>250</v>
      </c>
    </row>
    <row r="5" spans="1:7" x14ac:dyDescent="0.25">
      <c r="A5" s="14">
        <v>45427</v>
      </c>
      <c r="B5" s="2" t="s">
        <v>7</v>
      </c>
      <c r="C5" s="2" t="s">
        <v>16</v>
      </c>
      <c r="D5" s="2" t="s">
        <v>12</v>
      </c>
      <c r="E5">
        <v>8</v>
      </c>
      <c r="F5">
        <v>142</v>
      </c>
      <c r="G5">
        <v>1136</v>
      </c>
    </row>
    <row r="6" spans="1:7" x14ac:dyDescent="0.25">
      <c r="A6" s="14">
        <v>45390</v>
      </c>
      <c r="B6" s="2" t="s">
        <v>7</v>
      </c>
      <c r="C6" s="2" t="s">
        <v>11</v>
      </c>
      <c r="D6" s="2" t="s">
        <v>9</v>
      </c>
      <c r="E6">
        <v>50</v>
      </c>
      <c r="F6">
        <v>75</v>
      </c>
      <c r="G6">
        <v>3750</v>
      </c>
    </row>
    <row r="7" spans="1:7" x14ac:dyDescent="0.25">
      <c r="A7" s="14">
        <v>45375</v>
      </c>
      <c r="B7" s="2" t="s">
        <v>17</v>
      </c>
      <c r="C7" s="2" t="s">
        <v>14</v>
      </c>
      <c r="D7" s="2" t="s">
        <v>9</v>
      </c>
      <c r="E7">
        <v>43</v>
      </c>
      <c r="F7">
        <v>93</v>
      </c>
      <c r="G7">
        <v>3999</v>
      </c>
    </row>
    <row r="8" spans="1:7" x14ac:dyDescent="0.25">
      <c r="A8" s="14">
        <v>45430</v>
      </c>
      <c r="B8" s="2" t="s">
        <v>18</v>
      </c>
      <c r="C8" s="2" t="s">
        <v>19</v>
      </c>
      <c r="D8" s="2" t="s">
        <v>20</v>
      </c>
      <c r="E8">
        <v>50</v>
      </c>
      <c r="F8">
        <v>230</v>
      </c>
      <c r="G8">
        <v>11500</v>
      </c>
    </row>
    <row r="9" spans="1:7" x14ac:dyDescent="0.25">
      <c r="A9" s="14">
        <v>45453</v>
      </c>
      <c r="B9" s="2" t="s">
        <v>10</v>
      </c>
      <c r="C9" s="2" t="s">
        <v>16</v>
      </c>
      <c r="D9" s="2" t="s">
        <v>21</v>
      </c>
      <c r="E9">
        <v>42</v>
      </c>
      <c r="F9">
        <v>243</v>
      </c>
      <c r="G9">
        <v>10206</v>
      </c>
    </row>
    <row r="10" spans="1:7" x14ac:dyDescent="0.25">
      <c r="A10" s="14">
        <v>45511</v>
      </c>
      <c r="B10" s="2" t="s">
        <v>18</v>
      </c>
      <c r="C10" s="2" t="s">
        <v>22</v>
      </c>
      <c r="D10" s="2" t="s">
        <v>20</v>
      </c>
      <c r="E10">
        <v>15</v>
      </c>
      <c r="F10">
        <v>162</v>
      </c>
      <c r="G10">
        <v>2430</v>
      </c>
    </row>
    <row r="11" spans="1:7" x14ac:dyDescent="0.25">
      <c r="A11" s="14">
        <v>45508</v>
      </c>
      <c r="B11" s="2" t="s">
        <v>18</v>
      </c>
      <c r="C11" s="2" t="s">
        <v>23</v>
      </c>
      <c r="D11" s="2" t="s">
        <v>21</v>
      </c>
      <c r="E11">
        <v>25</v>
      </c>
      <c r="F11">
        <v>102</v>
      </c>
      <c r="G11">
        <v>2550</v>
      </c>
    </row>
    <row r="12" spans="1:7" x14ac:dyDescent="0.25">
      <c r="A12" s="14">
        <v>45428</v>
      </c>
      <c r="B12" s="2" t="s">
        <v>17</v>
      </c>
      <c r="C12" s="2" t="s">
        <v>23</v>
      </c>
      <c r="D12" s="2" t="s">
        <v>15</v>
      </c>
      <c r="E12">
        <v>28</v>
      </c>
      <c r="F12">
        <v>52</v>
      </c>
      <c r="G12">
        <v>1456</v>
      </c>
    </row>
    <row r="13" spans="1:7" x14ac:dyDescent="0.25">
      <c r="A13" s="14">
        <v>45444</v>
      </c>
      <c r="B13" s="2" t="s">
        <v>18</v>
      </c>
      <c r="C13" s="2" t="s">
        <v>19</v>
      </c>
      <c r="D13" s="2" t="s">
        <v>24</v>
      </c>
      <c r="E13">
        <v>24</v>
      </c>
      <c r="F13">
        <v>476</v>
      </c>
      <c r="G13">
        <v>11424</v>
      </c>
    </row>
    <row r="14" spans="1:7" x14ac:dyDescent="0.25">
      <c r="A14" s="14">
        <v>45349</v>
      </c>
      <c r="B14" s="2" t="s">
        <v>17</v>
      </c>
      <c r="C14" s="2" t="s">
        <v>8</v>
      </c>
      <c r="D14" s="2" t="s">
        <v>9</v>
      </c>
      <c r="E14">
        <v>4</v>
      </c>
      <c r="F14">
        <v>70</v>
      </c>
      <c r="G14">
        <v>280</v>
      </c>
    </row>
    <row r="15" spans="1:7" x14ac:dyDescent="0.25">
      <c r="A15" s="14">
        <v>45356</v>
      </c>
      <c r="B15" s="2" t="s">
        <v>10</v>
      </c>
      <c r="C15" s="2" t="s">
        <v>16</v>
      </c>
      <c r="D15" s="2" t="s">
        <v>12</v>
      </c>
      <c r="E15">
        <v>11</v>
      </c>
      <c r="F15">
        <v>226</v>
      </c>
      <c r="G15">
        <v>2486</v>
      </c>
    </row>
    <row r="16" spans="1:7" x14ac:dyDescent="0.25">
      <c r="A16" s="14">
        <v>45451</v>
      </c>
      <c r="B16" s="2" t="s">
        <v>13</v>
      </c>
      <c r="C16" s="2" t="s">
        <v>14</v>
      </c>
      <c r="D16" s="2" t="s">
        <v>25</v>
      </c>
      <c r="E16">
        <v>34</v>
      </c>
      <c r="F16">
        <v>115</v>
      </c>
      <c r="G16">
        <v>3910</v>
      </c>
    </row>
    <row r="17" spans="1:7" x14ac:dyDescent="0.25">
      <c r="A17" s="14">
        <v>45404</v>
      </c>
      <c r="B17" s="2" t="s">
        <v>7</v>
      </c>
      <c r="C17" s="2" t="s">
        <v>23</v>
      </c>
      <c r="D17" s="2" t="s">
        <v>26</v>
      </c>
      <c r="E17">
        <v>15</v>
      </c>
      <c r="F17">
        <v>769</v>
      </c>
      <c r="G17">
        <v>11535</v>
      </c>
    </row>
    <row r="18" spans="1:7" x14ac:dyDescent="0.25">
      <c r="A18" s="14">
        <v>45401</v>
      </c>
      <c r="B18" s="2" t="s">
        <v>18</v>
      </c>
      <c r="C18" s="2" t="s">
        <v>27</v>
      </c>
      <c r="D18" s="2" t="s">
        <v>28</v>
      </c>
      <c r="E18">
        <v>37</v>
      </c>
      <c r="F18">
        <v>32</v>
      </c>
      <c r="G18">
        <v>1184</v>
      </c>
    </row>
    <row r="19" spans="1:7" x14ac:dyDescent="0.25">
      <c r="A19" s="14">
        <v>45508</v>
      </c>
      <c r="B19" s="2" t="s">
        <v>13</v>
      </c>
      <c r="C19" s="2" t="s">
        <v>16</v>
      </c>
      <c r="D19" s="2" t="s">
        <v>26</v>
      </c>
      <c r="E19">
        <v>44</v>
      </c>
      <c r="F19">
        <v>1369</v>
      </c>
      <c r="G19">
        <v>60236</v>
      </c>
    </row>
    <row r="20" spans="1:7" x14ac:dyDescent="0.25">
      <c r="A20" s="14">
        <v>45419</v>
      </c>
      <c r="B20" s="2" t="s">
        <v>10</v>
      </c>
      <c r="C20" s="2" t="s">
        <v>19</v>
      </c>
      <c r="D20" s="2" t="s">
        <v>12</v>
      </c>
      <c r="E20">
        <v>29</v>
      </c>
      <c r="F20">
        <v>256</v>
      </c>
      <c r="G20">
        <v>7424</v>
      </c>
    </row>
    <row r="21" spans="1:7" x14ac:dyDescent="0.25">
      <c r="A21" s="14">
        <v>45342</v>
      </c>
      <c r="B21" s="2" t="s">
        <v>7</v>
      </c>
      <c r="C21" s="2" t="s">
        <v>11</v>
      </c>
      <c r="D21" s="2" t="s">
        <v>29</v>
      </c>
      <c r="E21">
        <v>49</v>
      </c>
      <c r="F21">
        <v>970</v>
      </c>
      <c r="G21">
        <v>47530</v>
      </c>
    </row>
    <row r="22" spans="1:7" x14ac:dyDescent="0.25">
      <c r="A22" s="14">
        <v>45293</v>
      </c>
      <c r="B22" s="2" t="s">
        <v>13</v>
      </c>
      <c r="C22" s="2" t="s">
        <v>8</v>
      </c>
      <c r="D22" s="2" t="s">
        <v>25</v>
      </c>
      <c r="E22">
        <v>19</v>
      </c>
      <c r="F22">
        <v>67</v>
      </c>
      <c r="G22">
        <v>1273</v>
      </c>
    </row>
    <row r="23" spans="1:7" x14ac:dyDescent="0.25">
      <c r="A23" s="14">
        <v>45323</v>
      </c>
      <c r="B23" s="2" t="s">
        <v>17</v>
      </c>
      <c r="C23" s="2" t="s">
        <v>11</v>
      </c>
      <c r="D23" s="2" t="s">
        <v>26</v>
      </c>
      <c r="E23">
        <v>38</v>
      </c>
      <c r="F23">
        <v>1188</v>
      </c>
      <c r="G23">
        <v>45144</v>
      </c>
    </row>
    <row r="24" spans="1:7" x14ac:dyDescent="0.25">
      <c r="A24" s="14">
        <v>45327</v>
      </c>
      <c r="B24" s="2" t="s">
        <v>18</v>
      </c>
      <c r="C24" s="2" t="s">
        <v>23</v>
      </c>
      <c r="D24" s="2" t="s">
        <v>9</v>
      </c>
      <c r="E24">
        <v>26</v>
      </c>
      <c r="F24">
        <v>113</v>
      </c>
      <c r="G24">
        <v>2938</v>
      </c>
    </row>
    <row r="25" spans="1:7" x14ac:dyDescent="0.25">
      <c r="A25" s="14">
        <v>45559</v>
      </c>
      <c r="B25" s="2" t="s">
        <v>17</v>
      </c>
      <c r="C25" s="2" t="s">
        <v>8</v>
      </c>
      <c r="D25" s="2" t="s">
        <v>9</v>
      </c>
      <c r="E25">
        <v>43</v>
      </c>
      <c r="F25">
        <v>117</v>
      </c>
      <c r="G25">
        <v>5031</v>
      </c>
    </row>
    <row r="26" spans="1:7" x14ac:dyDescent="0.25">
      <c r="A26" s="14">
        <v>45453</v>
      </c>
      <c r="B26" s="2" t="s">
        <v>7</v>
      </c>
      <c r="C26" s="2" t="s">
        <v>11</v>
      </c>
      <c r="D26" s="2" t="s">
        <v>25</v>
      </c>
      <c r="E26">
        <v>40</v>
      </c>
      <c r="F26">
        <v>56</v>
      </c>
      <c r="G26">
        <v>2240</v>
      </c>
    </row>
    <row r="27" spans="1:7" x14ac:dyDescent="0.25">
      <c r="A27" s="14">
        <v>45366</v>
      </c>
      <c r="B27" s="2" t="s">
        <v>13</v>
      </c>
      <c r="C27" s="2" t="s">
        <v>16</v>
      </c>
      <c r="D27" s="2" t="s">
        <v>20</v>
      </c>
      <c r="E27">
        <v>8</v>
      </c>
      <c r="F27">
        <v>275</v>
      </c>
      <c r="G27">
        <v>2200</v>
      </c>
    </row>
    <row r="28" spans="1:7" x14ac:dyDescent="0.25">
      <c r="A28" s="14">
        <v>45434</v>
      </c>
      <c r="B28" s="2" t="s">
        <v>18</v>
      </c>
      <c r="C28" s="2" t="s">
        <v>22</v>
      </c>
      <c r="D28" s="2" t="s">
        <v>26</v>
      </c>
      <c r="E28">
        <v>3</v>
      </c>
      <c r="F28">
        <v>1150</v>
      </c>
      <c r="G28">
        <v>3450</v>
      </c>
    </row>
    <row r="29" spans="1:7" x14ac:dyDescent="0.25">
      <c r="A29" s="14">
        <v>45511</v>
      </c>
      <c r="B29" s="2" t="s">
        <v>7</v>
      </c>
      <c r="C29" s="2" t="s">
        <v>11</v>
      </c>
      <c r="D29" s="2" t="s">
        <v>24</v>
      </c>
      <c r="E29">
        <v>15</v>
      </c>
      <c r="F29">
        <v>350</v>
      </c>
      <c r="G29">
        <v>5250</v>
      </c>
    </row>
    <row r="30" spans="1:7" x14ac:dyDescent="0.25">
      <c r="A30" s="14">
        <v>45360</v>
      </c>
      <c r="B30" s="2" t="s">
        <v>10</v>
      </c>
      <c r="C30" s="2" t="s">
        <v>14</v>
      </c>
      <c r="D30" s="2" t="s">
        <v>12</v>
      </c>
      <c r="E30">
        <v>28</v>
      </c>
      <c r="F30">
        <v>180</v>
      </c>
      <c r="G30">
        <v>5040</v>
      </c>
    </row>
    <row r="31" spans="1:7" x14ac:dyDescent="0.25">
      <c r="A31" s="14">
        <v>45584</v>
      </c>
      <c r="B31" s="2" t="s">
        <v>17</v>
      </c>
      <c r="C31" s="2" t="s">
        <v>27</v>
      </c>
      <c r="D31" s="2" t="s">
        <v>28</v>
      </c>
      <c r="E31">
        <v>42</v>
      </c>
      <c r="F31">
        <v>35</v>
      </c>
      <c r="G31">
        <v>1470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9A5E2-7A39-40D4-8CFE-155F158B686C}">
  <dimension ref="A3:L10"/>
  <sheetViews>
    <sheetView workbookViewId="0">
      <selection activeCell="A4" sqref="A4"/>
    </sheetView>
  </sheetViews>
  <sheetFormatPr defaultRowHeight="15" x14ac:dyDescent="0.25"/>
  <cols>
    <col min="1" max="1" width="17.28515625" bestFit="1" customWidth="1"/>
    <col min="2" max="11" width="12.140625" bestFit="1" customWidth="1"/>
    <col min="12" max="14" width="11.28515625" bestFit="1" customWidth="1"/>
  </cols>
  <sheetData>
    <row r="3" spans="1:12" x14ac:dyDescent="0.25">
      <c r="A3" s="1" t="s">
        <v>31</v>
      </c>
      <c r="B3" s="1" t="s">
        <v>3</v>
      </c>
    </row>
    <row r="4" spans="1:12" x14ac:dyDescent="0.25">
      <c r="A4" s="1" t="s">
        <v>1</v>
      </c>
      <c r="B4" t="s">
        <v>29</v>
      </c>
      <c r="C4" t="s">
        <v>12</v>
      </c>
      <c r="D4" t="s">
        <v>9</v>
      </c>
      <c r="E4" t="s">
        <v>26</v>
      </c>
      <c r="F4" t="s">
        <v>24</v>
      </c>
      <c r="G4" t="s">
        <v>15</v>
      </c>
      <c r="H4" t="s">
        <v>20</v>
      </c>
      <c r="I4" t="s">
        <v>21</v>
      </c>
      <c r="J4" t="s">
        <v>28</v>
      </c>
      <c r="K4" t="s">
        <v>25</v>
      </c>
      <c r="L4" t="s">
        <v>30</v>
      </c>
    </row>
    <row r="5" spans="1:12" x14ac:dyDescent="0.25">
      <c r="A5" t="s">
        <v>18</v>
      </c>
      <c r="B5" s="2"/>
      <c r="C5" s="2"/>
      <c r="D5" s="2">
        <v>2938</v>
      </c>
      <c r="E5" s="2">
        <v>3450</v>
      </c>
      <c r="F5" s="2">
        <v>11424</v>
      </c>
      <c r="G5" s="2"/>
      <c r="H5" s="2">
        <v>13930</v>
      </c>
      <c r="I5" s="2">
        <v>2550</v>
      </c>
      <c r="J5" s="2">
        <v>1184</v>
      </c>
      <c r="K5" s="2"/>
      <c r="L5" s="2">
        <v>35476</v>
      </c>
    </row>
    <row r="6" spans="1:12" x14ac:dyDescent="0.25">
      <c r="A6" t="s">
        <v>17</v>
      </c>
      <c r="B6" s="2"/>
      <c r="C6" s="2"/>
      <c r="D6" s="2">
        <v>9310</v>
      </c>
      <c r="E6" s="2">
        <v>45144</v>
      </c>
      <c r="F6" s="2"/>
      <c r="G6" s="2">
        <v>1456</v>
      </c>
      <c r="H6" s="2"/>
      <c r="I6" s="2"/>
      <c r="J6" s="2">
        <v>1470</v>
      </c>
      <c r="K6" s="2"/>
      <c r="L6" s="2">
        <v>57380</v>
      </c>
    </row>
    <row r="7" spans="1:12" x14ac:dyDescent="0.25">
      <c r="A7" t="s">
        <v>7</v>
      </c>
      <c r="B7" s="2">
        <v>47530</v>
      </c>
      <c r="C7" s="2">
        <v>1136</v>
      </c>
      <c r="D7" s="2">
        <v>6585</v>
      </c>
      <c r="E7" s="2">
        <v>11535</v>
      </c>
      <c r="F7" s="2">
        <v>5250</v>
      </c>
      <c r="G7" s="2"/>
      <c r="H7" s="2"/>
      <c r="I7" s="2"/>
      <c r="J7" s="2"/>
      <c r="K7" s="2">
        <v>2240</v>
      </c>
      <c r="L7" s="2">
        <v>74276</v>
      </c>
    </row>
    <row r="8" spans="1:12" x14ac:dyDescent="0.25">
      <c r="A8" t="s">
        <v>10</v>
      </c>
      <c r="B8" s="2"/>
      <c r="C8" s="2">
        <v>18291</v>
      </c>
      <c r="D8" s="2"/>
      <c r="E8" s="2"/>
      <c r="F8" s="2"/>
      <c r="G8" s="2"/>
      <c r="H8" s="2"/>
      <c r="I8" s="2">
        <v>10206</v>
      </c>
      <c r="J8" s="2"/>
      <c r="K8" s="2"/>
      <c r="L8" s="2">
        <v>28497</v>
      </c>
    </row>
    <row r="9" spans="1:12" x14ac:dyDescent="0.25">
      <c r="A9" t="s">
        <v>13</v>
      </c>
      <c r="B9" s="2"/>
      <c r="C9" s="2"/>
      <c r="D9" s="2"/>
      <c r="E9" s="2">
        <v>60236</v>
      </c>
      <c r="F9" s="2"/>
      <c r="G9" s="2">
        <v>250</v>
      </c>
      <c r="H9" s="2">
        <v>2200</v>
      </c>
      <c r="I9" s="2"/>
      <c r="J9" s="2"/>
      <c r="K9" s="2">
        <v>5183</v>
      </c>
      <c r="L9" s="2">
        <v>67869</v>
      </c>
    </row>
    <row r="10" spans="1:12" x14ac:dyDescent="0.25">
      <c r="A10" t="s">
        <v>30</v>
      </c>
      <c r="B10" s="2">
        <v>47530</v>
      </c>
      <c r="C10" s="2">
        <v>19427</v>
      </c>
      <c r="D10" s="2">
        <v>18833</v>
      </c>
      <c r="E10" s="2">
        <v>120365</v>
      </c>
      <c r="F10" s="2">
        <v>16674</v>
      </c>
      <c r="G10" s="2">
        <v>1706</v>
      </c>
      <c r="H10" s="2">
        <v>16130</v>
      </c>
      <c r="I10" s="2">
        <v>12756</v>
      </c>
      <c r="J10" s="2">
        <v>2654</v>
      </c>
      <c r="K10" s="2">
        <v>7423</v>
      </c>
      <c r="L10" s="2">
        <v>263498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C0C6D-4B86-46A3-989E-CC45718912E8}">
  <dimension ref="A1:B9"/>
  <sheetViews>
    <sheetView workbookViewId="0">
      <selection activeCell="E13" sqref="E13"/>
    </sheetView>
  </sheetViews>
  <sheetFormatPr defaultRowHeight="15" x14ac:dyDescent="0.25"/>
  <cols>
    <col min="1" max="1" width="24.5703125" bestFit="1" customWidth="1"/>
    <col min="2" max="2" width="12" bestFit="1" customWidth="1"/>
  </cols>
  <sheetData>
    <row r="1" spans="1:2" x14ac:dyDescent="0.25">
      <c r="A1" s="3" t="s">
        <v>32</v>
      </c>
      <c r="B1" s="4" t="s">
        <v>9</v>
      </c>
    </row>
    <row r="2" spans="1:2" x14ac:dyDescent="0.25">
      <c r="A2" s="5" t="s">
        <v>33</v>
      </c>
      <c r="B2" s="7">
        <v>189</v>
      </c>
    </row>
    <row r="3" spans="1:2" x14ac:dyDescent="0.25">
      <c r="A3" s="3"/>
      <c r="B3" s="4"/>
    </row>
    <row r="4" spans="1:2" x14ac:dyDescent="0.25">
      <c r="A4" s="5" t="s">
        <v>34</v>
      </c>
      <c r="B4" s="8">
        <v>15</v>
      </c>
    </row>
    <row r="5" spans="1:2" x14ac:dyDescent="0.25">
      <c r="A5" s="5" t="s">
        <v>35</v>
      </c>
      <c r="B5" s="6">
        <f>B2*B4</f>
        <v>2835</v>
      </c>
    </row>
    <row r="6" spans="1:2" x14ac:dyDescent="0.25">
      <c r="A6" s="3"/>
      <c r="B6" s="4"/>
    </row>
    <row r="7" spans="1:2" x14ac:dyDescent="0.25">
      <c r="A7" s="10" t="s">
        <v>36</v>
      </c>
      <c r="B7" s="11">
        <v>5000</v>
      </c>
    </row>
    <row r="8" spans="1:2" x14ac:dyDescent="0.25">
      <c r="A8" s="9" t="s">
        <v>38</v>
      </c>
      <c r="B8" s="4"/>
    </row>
    <row r="9" spans="1:2" x14ac:dyDescent="0.25">
      <c r="A9" s="5" t="s">
        <v>37</v>
      </c>
      <c r="B9" s="4">
        <v>26.455026455026498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CD65-1903-4EDA-B75F-5D39CCBE8F69}">
  <dimension ref="A3:E14"/>
  <sheetViews>
    <sheetView workbookViewId="0">
      <selection activeCell="A4" sqref="A4:E14"/>
    </sheetView>
  </sheetViews>
  <sheetFormatPr defaultRowHeight="15" x14ac:dyDescent="0.25"/>
  <cols>
    <col min="1" max="1" width="13.140625" bestFit="1" customWidth="1"/>
    <col min="2" max="2" width="17.28515625" bestFit="1" customWidth="1"/>
    <col min="3" max="3" width="31.28515625" bestFit="1" customWidth="1"/>
    <col min="4" max="4" width="15.42578125" bestFit="1" customWidth="1"/>
    <col min="5" max="5" width="16.42578125" bestFit="1" customWidth="1"/>
  </cols>
  <sheetData>
    <row r="3" spans="1:5" x14ac:dyDescent="0.25">
      <c r="A3" s="1" t="s">
        <v>39</v>
      </c>
      <c r="B3" t="s">
        <v>31</v>
      </c>
      <c r="C3" t="s">
        <v>40</v>
      </c>
      <c r="D3" t="s">
        <v>43</v>
      </c>
      <c r="E3" t="s">
        <v>44</v>
      </c>
    </row>
    <row r="4" spans="1:5" x14ac:dyDescent="0.25">
      <c r="A4" s="12" t="s">
        <v>29</v>
      </c>
      <c r="B4" s="2">
        <v>47530</v>
      </c>
      <c r="C4" s="2">
        <v>970</v>
      </c>
      <c r="D4" s="2">
        <v>49</v>
      </c>
      <c r="E4" s="2">
        <v>970</v>
      </c>
    </row>
    <row r="5" spans="1:5" x14ac:dyDescent="0.25">
      <c r="A5" s="12" t="s">
        <v>12</v>
      </c>
      <c r="B5" s="2">
        <v>19427</v>
      </c>
      <c r="C5" s="2">
        <v>218.28089887640451</v>
      </c>
      <c r="D5" s="2">
        <v>89</v>
      </c>
      <c r="E5" s="2">
        <v>1061</v>
      </c>
    </row>
    <row r="6" spans="1:5" x14ac:dyDescent="0.25">
      <c r="A6" s="12" t="s">
        <v>9</v>
      </c>
      <c r="B6" s="2">
        <v>18833</v>
      </c>
      <c r="C6" s="2">
        <v>104.04972375690608</v>
      </c>
      <c r="D6" s="2">
        <v>181</v>
      </c>
      <c r="E6" s="2">
        <v>657</v>
      </c>
    </row>
    <row r="7" spans="1:5" x14ac:dyDescent="0.25">
      <c r="A7" s="12" t="s">
        <v>26</v>
      </c>
      <c r="B7" s="2">
        <v>120365</v>
      </c>
      <c r="C7" s="2">
        <v>1203.6500000000001</v>
      </c>
      <c r="D7" s="2">
        <v>100</v>
      </c>
      <c r="E7" s="2">
        <v>4476</v>
      </c>
    </row>
    <row r="8" spans="1:5" x14ac:dyDescent="0.25">
      <c r="A8" s="12" t="s">
        <v>24</v>
      </c>
      <c r="B8" s="2">
        <v>16674</v>
      </c>
      <c r="C8" s="2">
        <v>427.53846153846155</v>
      </c>
      <c r="D8" s="2">
        <v>39</v>
      </c>
      <c r="E8" s="2">
        <v>826</v>
      </c>
    </row>
    <row r="9" spans="1:5" x14ac:dyDescent="0.25">
      <c r="A9" s="12" t="s">
        <v>15</v>
      </c>
      <c r="B9" s="2">
        <v>1706</v>
      </c>
      <c r="C9" s="2">
        <v>44.89473684210526</v>
      </c>
      <c r="D9" s="2">
        <v>38</v>
      </c>
      <c r="E9" s="2">
        <v>77</v>
      </c>
    </row>
    <row r="10" spans="1:5" x14ac:dyDescent="0.25">
      <c r="A10" s="12" t="s">
        <v>20</v>
      </c>
      <c r="B10" s="2">
        <v>16130</v>
      </c>
      <c r="C10" s="2">
        <v>220.95890410958904</v>
      </c>
      <c r="D10" s="2">
        <v>73</v>
      </c>
      <c r="E10" s="2">
        <v>667</v>
      </c>
    </row>
    <row r="11" spans="1:5" x14ac:dyDescent="0.25">
      <c r="A11" s="12" t="s">
        <v>21</v>
      </c>
      <c r="B11" s="2">
        <v>12756</v>
      </c>
      <c r="C11" s="2">
        <v>190.38805970149255</v>
      </c>
      <c r="D11" s="2">
        <v>67</v>
      </c>
      <c r="E11" s="2">
        <v>345</v>
      </c>
    </row>
    <row r="12" spans="1:5" x14ac:dyDescent="0.25">
      <c r="A12" s="12" t="s">
        <v>28</v>
      </c>
      <c r="B12" s="2">
        <v>2654</v>
      </c>
      <c r="C12" s="2">
        <v>33.594936708860757</v>
      </c>
      <c r="D12" s="2">
        <v>79</v>
      </c>
      <c r="E12" s="2">
        <v>67</v>
      </c>
    </row>
    <row r="13" spans="1:5" x14ac:dyDescent="0.25">
      <c r="A13" s="12" t="s">
        <v>25</v>
      </c>
      <c r="B13" s="2">
        <v>7423</v>
      </c>
      <c r="C13" s="2">
        <v>79.817204301075265</v>
      </c>
      <c r="D13" s="2">
        <v>93</v>
      </c>
      <c r="E13" s="2">
        <v>238</v>
      </c>
    </row>
    <row r="14" spans="1:5" x14ac:dyDescent="0.25">
      <c r="A14" s="12" t="s">
        <v>30</v>
      </c>
      <c r="B14" s="2">
        <v>263498</v>
      </c>
      <c r="C14" s="2">
        <v>326.11138613861385</v>
      </c>
      <c r="D14" s="2">
        <v>808</v>
      </c>
      <c r="E14" s="2">
        <v>9384</v>
      </c>
    </row>
  </sheetData>
  <scenarios current="0" show="0" sqref="E3">
    <scenario name="Low Sales Scenario" locked="1" count="10" user="Faizul Bitto" comment="Created by Faizul Bitto on 29-07-2026">
      <inputCells r="B4" val="47530"/>
      <inputCells r="B5" val="19427"/>
      <inputCells r="B6" val="18833"/>
      <inputCells r="B7" val="120365"/>
      <inputCells r="B8" val="16674"/>
      <inputCells r="B9" val="1706"/>
      <inputCells r="B10" val="16130"/>
      <inputCells r="B11" val="12756"/>
      <inputCells r="B12" val="2654"/>
      <inputCells r="B13" val="7423"/>
    </scenario>
    <scenario name="Medium Sales Scenario" locked="1" count="10" user="Faizul Bitto" comment="Created by Faizul Bitto on 29-07-2026">
      <inputCells r="B4" val="50000"/>
      <inputCells r="B5" val="20000"/>
      <inputCells r="B6" val="19000"/>
      <inputCells r="B7" val="130000"/>
      <inputCells r="B8" val="17000"/>
      <inputCells r="B9" val="2000"/>
      <inputCells r="B10" val="20000"/>
      <inputCells r="B11" val="14000"/>
      <inputCells r="B12" val="3000"/>
      <inputCells r="B13" val="8000"/>
    </scenario>
    <scenario name="High Sales Scenario" locked="1" count="10" user="Faizul Bitto" comment="Created by Faizul Bitto on 29-07-2026">
      <inputCells r="B4" val="60000"/>
      <inputCells r="B5" val="50000"/>
      <inputCells r="B6" val="50000"/>
      <inputCells r="B7" val="200000"/>
      <inputCells r="B8" val="40000"/>
      <inputCells r="B9" val="5000"/>
      <inputCells r="B10" val="30000"/>
      <inputCells r="B11" val="20000"/>
      <inputCells r="B12" val="5000"/>
      <inputCells r="B13" val="10000"/>
    </scenario>
  </scenario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8A523-4AB5-4365-86D6-997FEDDB0EA3}">
  <dimension ref="A1:C11"/>
  <sheetViews>
    <sheetView workbookViewId="0">
      <selection activeCell="E13" sqref="E13"/>
    </sheetView>
  </sheetViews>
  <sheetFormatPr defaultRowHeight="15" x14ac:dyDescent="0.25"/>
  <cols>
    <col min="1" max="1" width="12.140625" bestFit="1" customWidth="1"/>
    <col min="2" max="2" width="7" bestFit="1" customWidth="1"/>
    <col min="3" max="3" width="12" bestFit="1" customWidth="1"/>
    <col min="4" max="4" width="4" bestFit="1" customWidth="1"/>
    <col min="5" max="5" width="5" bestFit="1" customWidth="1"/>
  </cols>
  <sheetData>
    <row r="1" spans="1:3" x14ac:dyDescent="0.25">
      <c r="A1" s="12" t="s">
        <v>29</v>
      </c>
      <c r="B1" s="2">
        <v>49</v>
      </c>
      <c r="C1" s="2">
        <v>970</v>
      </c>
    </row>
    <row r="2" spans="1:3" x14ac:dyDescent="0.25">
      <c r="A2" s="12" t="s">
        <v>12</v>
      </c>
      <c r="B2" s="2">
        <v>89</v>
      </c>
      <c r="C2" s="2">
        <v>1061</v>
      </c>
    </row>
    <row r="3" spans="1:3" x14ac:dyDescent="0.25">
      <c r="A3" s="12" t="s">
        <v>9</v>
      </c>
      <c r="B3" s="2">
        <v>181</v>
      </c>
      <c r="C3" s="2">
        <v>657</v>
      </c>
    </row>
    <row r="4" spans="1:3" x14ac:dyDescent="0.25">
      <c r="A4" s="12" t="s">
        <v>26</v>
      </c>
      <c r="B4" s="2">
        <v>100</v>
      </c>
      <c r="C4" s="2">
        <v>4476</v>
      </c>
    </row>
    <row r="5" spans="1:3" x14ac:dyDescent="0.25">
      <c r="A5" s="12" t="s">
        <v>24</v>
      </c>
      <c r="B5" s="2">
        <v>39</v>
      </c>
      <c r="C5" s="2">
        <v>826</v>
      </c>
    </row>
    <row r="6" spans="1:3" x14ac:dyDescent="0.25">
      <c r="A6" s="12" t="s">
        <v>15</v>
      </c>
      <c r="B6" s="2">
        <v>38</v>
      </c>
      <c r="C6" s="2">
        <v>77</v>
      </c>
    </row>
    <row r="7" spans="1:3" x14ac:dyDescent="0.25">
      <c r="A7" s="12" t="s">
        <v>20</v>
      </c>
      <c r="B7" s="2">
        <v>73</v>
      </c>
      <c r="C7" s="2">
        <v>667</v>
      </c>
    </row>
    <row r="8" spans="1:3" x14ac:dyDescent="0.25">
      <c r="A8" s="12" t="s">
        <v>21</v>
      </c>
      <c r="B8" s="2">
        <v>67</v>
      </c>
      <c r="C8" s="2">
        <v>345</v>
      </c>
    </row>
    <row r="9" spans="1:3" x14ac:dyDescent="0.25">
      <c r="A9" s="12" t="s">
        <v>28</v>
      </c>
      <c r="B9" s="2">
        <v>79</v>
      </c>
      <c r="C9" s="2">
        <v>67</v>
      </c>
    </row>
    <row r="10" spans="1:3" x14ac:dyDescent="0.25">
      <c r="A10" s="12" t="s">
        <v>25</v>
      </c>
      <c r="B10" s="2">
        <v>93</v>
      </c>
      <c r="C10" s="2">
        <v>238</v>
      </c>
    </row>
    <row r="11" spans="1:3" x14ac:dyDescent="0.25">
      <c r="A11" s="28" t="s">
        <v>30</v>
      </c>
      <c r="B11" s="29">
        <v>808</v>
      </c>
      <c r="C11" s="29">
        <v>9384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8765-78DF-4D4A-8E5D-65EAD9B1A626}">
  <sheetPr>
    <outlinePr summaryBelow="0"/>
  </sheetPr>
  <dimension ref="B1:G20"/>
  <sheetViews>
    <sheetView showGridLines="0" workbookViewId="0">
      <selection activeCell="E17" sqref="E17"/>
    </sheetView>
  </sheetViews>
  <sheetFormatPr defaultRowHeight="15" outlineLevelRow="1" outlineLevelCol="1" x14ac:dyDescent="0.25"/>
  <cols>
    <col min="3" max="3" width="6.140625" bestFit="1" customWidth="1"/>
    <col min="4" max="7" width="19.5703125" bestFit="1" customWidth="1" outlineLevel="1"/>
  </cols>
  <sheetData>
    <row r="1" spans="2:7" ht="15.75" thickBot="1" x14ac:dyDescent="0.3"/>
    <row r="2" spans="2:7" ht="15.75" x14ac:dyDescent="0.25">
      <c r="B2" s="19" t="s">
        <v>60</v>
      </c>
      <c r="C2" s="19"/>
      <c r="D2" s="24"/>
      <c r="E2" s="24"/>
      <c r="F2" s="24"/>
      <c r="G2" s="24"/>
    </row>
    <row r="3" spans="2:7" ht="15.75" collapsed="1" x14ac:dyDescent="0.25">
      <c r="B3" s="18"/>
      <c r="C3" s="18"/>
      <c r="D3" s="25" t="s">
        <v>62</v>
      </c>
      <c r="E3" s="25" t="s">
        <v>56</v>
      </c>
      <c r="F3" s="25" t="s">
        <v>58</v>
      </c>
      <c r="G3" s="25" t="s">
        <v>59</v>
      </c>
    </row>
    <row r="4" spans="2:7" ht="22.5" hidden="1" outlineLevel="1" x14ac:dyDescent="0.25">
      <c r="B4" s="21"/>
      <c r="C4" s="21"/>
      <c r="D4" s="16"/>
      <c r="E4" s="27" t="s">
        <v>57</v>
      </c>
      <c r="F4" s="27" t="s">
        <v>57</v>
      </c>
      <c r="G4" s="27" t="s">
        <v>57</v>
      </c>
    </row>
    <row r="5" spans="2:7" x14ac:dyDescent="0.25">
      <c r="B5" s="22" t="s">
        <v>61</v>
      </c>
      <c r="C5" s="22"/>
      <c r="D5" s="20"/>
      <c r="E5" s="20"/>
      <c r="F5" s="20"/>
      <c r="G5" s="20"/>
    </row>
    <row r="6" spans="2:7" outlineLevel="1" x14ac:dyDescent="0.25">
      <c r="B6" s="21"/>
      <c r="C6" s="21" t="s">
        <v>45</v>
      </c>
      <c r="D6" s="16">
        <v>970</v>
      </c>
      <c r="E6" s="26">
        <v>970</v>
      </c>
      <c r="F6" s="26">
        <v>1000</v>
      </c>
      <c r="G6" s="26">
        <v>10000</v>
      </c>
    </row>
    <row r="7" spans="2:7" outlineLevel="1" x14ac:dyDescent="0.25">
      <c r="B7" s="21"/>
      <c r="C7" s="21" t="s">
        <v>46</v>
      </c>
      <c r="D7" s="16">
        <v>1061</v>
      </c>
      <c r="E7" s="26">
        <v>1061</v>
      </c>
      <c r="F7" s="26">
        <v>2000</v>
      </c>
      <c r="G7" s="26">
        <v>2000</v>
      </c>
    </row>
    <row r="8" spans="2:7" outlineLevel="1" x14ac:dyDescent="0.25">
      <c r="B8" s="21"/>
      <c r="C8" s="21" t="s">
        <v>47</v>
      </c>
      <c r="D8" s="16">
        <v>657</v>
      </c>
      <c r="E8" s="26">
        <v>657</v>
      </c>
      <c r="F8" s="26">
        <v>1000</v>
      </c>
      <c r="G8" s="26">
        <v>5000</v>
      </c>
    </row>
    <row r="9" spans="2:7" outlineLevel="1" x14ac:dyDescent="0.25">
      <c r="B9" s="21"/>
      <c r="C9" s="21" t="s">
        <v>48</v>
      </c>
      <c r="D9" s="16">
        <v>4476</v>
      </c>
      <c r="E9" s="26">
        <v>4476</v>
      </c>
      <c r="F9" s="26">
        <v>5000</v>
      </c>
      <c r="G9" s="26">
        <v>10000</v>
      </c>
    </row>
    <row r="10" spans="2:7" outlineLevel="1" x14ac:dyDescent="0.25">
      <c r="B10" s="21"/>
      <c r="C10" s="21" t="s">
        <v>49</v>
      </c>
      <c r="D10" s="16">
        <v>826</v>
      </c>
      <c r="E10" s="26">
        <v>826</v>
      </c>
      <c r="F10" s="26">
        <v>1000</v>
      </c>
      <c r="G10" s="26">
        <v>5000</v>
      </c>
    </row>
    <row r="11" spans="2:7" outlineLevel="1" x14ac:dyDescent="0.25">
      <c r="B11" s="21"/>
      <c r="C11" s="21" t="s">
        <v>50</v>
      </c>
      <c r="D11" s="16">
        <v>77</v>
      </c>
      <c r="E11" s="26">
        <v>77</v>
      </c>
      <c r="F11" s="26">
        <v>100</v>
      </c>
      <c r="G11" s="26">
        <v>1000</v>
      </c>
    </row>
    <row r="12" spans="2:7" outlineLevel="1" x14ac:dyDescent="0.25">
      <c r="B12" s="21"/>
      <c r="C12" s="21" t="s">
        <v>51</v>
      </c>
      <c r="D12" s="16">
        <v>667</v>
      </c>
      <c r="E12" s="26">
        <v>667</v>
      </c>
      <c r="F12" s="26">
        <v>700</v>
      </c>
      <c r="G12" s="26">
        <v>5000</v>
      </c>
    </row>
    <row r="13" spans="2:7" outlineLevel="1" x14ac:dyDescent="0.25">
      <c r="B13" s="21"/>
      <c r="C13" s="21" t="s">
        <v>52</v>
      </c>
      <c r="D13" s="16">
        <v>345</v>
      </c>
      <c r="E13" s="26">
        <v>345</v>
      </c>
      <c r="F13" s="26">
        <v>500</v>
      </c>
      <c r="G13" s="26">
        <v>2000</v>
      </c>
    </row>
    <row r="14" spans="2:7" outlineLevel="1" x14ac:dyDescent="0.25">
      <c r="B14" s="21"/>
      <c r="C14" s="21" t="s">
        <v>53</v>
      </c>
      <c r="D14" s="16">
        <v>67</v>
      </c>
      <c r="E14" s="26">
        <v>67</v>
      </c>
      <c r="F14" s="26">
        <v>100</v>
      </c>
      <c r="G14" s="26">
        <v>5000</v>
      </c>
    </row>
    <row r="15" spans="2:7" outlineLevel="1" x14ac:dyDescent="0.25">
      <c r="B15" s="21"/>
      <c r="C15" s="21" t="s">
        <v>54</v>
      </c>
      <c r="D15" s="16">
        <v>238</v>
      </c>
      <c r="E15" s="26">
        <v>238</v>
      </c>
      <c r="F15" s="26">
        <v>300</v>
      </c>
      <c r="G15" s="26">
        <v>5000</v>
      </c>
    </row>
    <row r="16" spans="2:7" x14ac:dyDescent="0.25">
      <c r="B16" s="22" t="s">
        <v>63</v>
      </c>
      <c r="C16" s="22"/>
      <c r="D16" s="20"/>
      <c r="E16" s="20"/>
      <c r="F16" s="20"/>
      <c r="G16" s="20"/>
    </row>
    <row r="17" spans="2:7" ht="15.75" outlineLevel="1" thickBot="1" x14ac:dyDescent="0.3">
      <c r="B17" s="23"/>
      <c r="C17" s="23" t="s">
        <v>55</v>
      </c>
      <c r="D17" s="17"/>
      <c r="E17" s="17"/>
      <c r="F17" s="17"/>
      <c r="G17" s="17"/>
    </row>
    <row r="18" spans="2:7" x14ac:dyDescent="0.25">
      <c r="B18" t="s">
        <v>64</v>
      </c>
    </row>
    <row r="19" spans="2:7" x14ac:dyDescent="0.25">
      <c r="B19" t="s">
        <v>65</v>
      </c>
    </row>
    <row r="20" spans="2:7" x14ac:dyDescent="0.25">
      <c r="B20" t="s">
        <v>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C492A-D831-41E1-8BB1-1FD2E7EF518B}">
  <dimension ref="A4:B7"/>
  <sheetViews>
    <sheetView tabSelected="1" workbookViewId="0">
      <selection activeCell="A4" sqref="A4"/>
    </sheetView>
  </sheetViews>
  <sheetFormatPr defaultRowHeight="15" x14ac:dyDescent="0.25"/>
  <cols>
    <col min="1" max="1" width="13.140625" bestFit="1" customWidth="1"/>
    <col min="2" max="2" width="17.28515625" bestFit="1" customWidth="1"/>
  </cols>
  <sheetData>
    <row r="4" spans="1:2" x14ac:dyDescent="0.25">
      <c r="A4" s="1" t="s">
        <v>39</v>
      </c>
      <c r="B4" t="s">
        <v>31</v>
      </c>
    </row>
    <row r="5" spans="1:2" x14ac:dyDescent="0.25">
      <c r="A5" s="12" t="s">
        <v>41</v>
      </c>
      <c r="B5" s="15">
        <v>3450</v>
      </c>
    </row>
    <row r="6" spans="1:2" x14ac:dyDescent="0.25">
      <c r="A6" s="13" t="s">
        <v>42</v>
      </c>
      <c r="B6" s="15">
        <v>3450</v>
      </c>
    </row>
    <row r="7" spans="1:2" x14ac:dyDescent="0.25">
      <c r="A7" s="12" t="s">
        <v>30</v>
      </c>
      <c r="B7" s="2">
        <v>3450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1F9DEF-A61F-4A1B-9DB0-C796E0764B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Raw Data</vt:lpstr>
      <vt:lpstr>Pivot Report</vt:lpstr>
      <vt:lpstr>Goal Seek Result</vt:lpstr>
      <vt:lpstr>calculated field &amp; item</vt:lpstr>
      <vt:lpstr>Scenerio</vt:lpstr>
      <vt:lpstr>Scenario Summary</vt:lpstr>
      <vt:lpstr>Grouping, sorting, filtering,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Faizul Bitto</cp:lastModifiedBy>
  <cp:revision>0</cp:revision>
  <dcterms:created xsi:type="dcterms:W3CDTF">2026-07-28T17:56:51Z</dcterms:created>
  <dcterms:modified xsi:type="dcterms:W3CDTF">2026-07-28T20:12:01Z</dcterms:modified>
  <dc:language>en-US</dc:language>
</cp:coreProperties>
</file>