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aizul Bitto\Downloads\"/>
    </mc:Choice>
  </mc:AlternateContent>
  <xr:revisionPtr revIDLastSave="0" documentId="13_ncr:1_{7757276E-C369-48E4-BA02-39524C3F457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alesData" sheetId="1" r:id="rId1"/>
    <sheet name="IF" sheetId="3" r:id="rId2"/>
    <sheet name="Sheet3" sheetId="4" r:id="rId3"/>
    <sheet name="IF AND OR" sheetId="5" r:id="rId4"/>
    <sheet name="Sheet5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6" l="1" a="1"/>
  <c r="O2" i="6" s="1"/>
  <c r="P3" i="5"/>
  <c r="P2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L13" i="3"/>
  <c r="L2" i="3"/>
  <c r="L3" i="3"/>
  <c r="L4" i="3"/>
  <c r="L5" i="3"/>
  <c r="L6" i="3"/>
  <c r="L7" i="3"/>
  <c r="L8" i="3"/>
  <c r="L9" i="3"/>
  <c r="L10" i="3"/>
  <c r="L11" i="3"/>
  <c r="L12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L2" i="1"/>
  <c r="N2" i="1" s="1"/>
  <c r="L3" i="1"/>
  <c r="N3" i="1" s="1"/>
  <c r="L4" i="1"/>
  <c r="N4" i="1" s="1"/>
  <c r="L5" i="1"/>
  <c r="N5" i="1" s="1"/>
  <c r="L6" i="1"/>
  <c r="N6" i="1" s="1"/>
  <c r="L7" i="1"/>
  <c r="N7" i="1" s="1"/>
  <c r="L8" i="1"/>
  <c r="N8" i="1" s="1"/>
  <c r="L9" i="1"/>
  <c r="N9" i="1" s="1"/>
  <c r="L10" i="1"/>
  <c r="M10" i="1" s="1"/>
  <c r="L11" i="1"/>
  <c r="M11" i="1" s="1"/>
  <c r="L12" i="1"/>
  <c r="M12" i="1" s="1"/>
  <c r="L13" i="1"/>
  <c r="M13" i="1" s="1"/>
  <c r="L14" i="1"/>
  <c r="N14" i="1" s="1"/>
  <c r="L15" i="1"/>
  <c r="N15" i="1" s="1"/>
  <c r="L16" i="1"/>
  <c r="N16" i="1" s="1"/>
  <c r="L17" i="1"/>
  <c r="N17" i="1" s="1"/>
  <c r="L18" i="1"/>
  <c r="N18" i="1" s="1"/>
  <c r="L19" i="1"/>
  <c r="N19" i="1" s="1"/>
  <c r="L20" i="1"/>
  <c r="N20" i="1" s="1"/>
  <c r="L21" i="1"/>
  <c r="N21" i="1" s="1"/>
  <c r="L22" i="1"/>
  <c r="M22" i="1" s="1"/>
  <c r="L23" i="1"/>
  <c r="M23" i="1" s="1"/>
  <c r="L24" i="1"/>
  <c r="M24" i="1" s="1"/>
  <c r="L25" i="1"/>
  <c r="M25" i="1" s="1"/>
  <c r="L26" i="1"/>
  <c r="N26" i="1" s="1"/>
  <c r="L27" i="1"/>
  <c r="N27" i="1" s="1"/>
  <c r="L28" i="1"/>
  <c r="N28" i="1" s="1"/>
  <c r="L29" i="1"/>
  <c r="N29" i="1" s="1"/>
  <c r="L30" i="1"/>
  <c r="N30" i="1" s="1"/>
  <c r="L31" i="1"/>
  <c r="N31" i="1" s="1"/>
  <c r="L32" i="1"/>
  <c r="N32" i="1" s="1"/>
  <c r="L33" i="1"/>
  <c r="N33" i="1" s="1"/>
  <c r="L34" i="1"/>
  <c r="M34" i="1" s="1"/>
  <c r="L35" i="1"/>
  <c r="M35" i="1" s="1"/>
  <c r="L36" i="1"/>
  <c r="M36" i="1" s="1"/>
  <c r="L37" i="1"/>
  <c r="M37" i="1" s="1"/>
  <c r="L38" i="1"/>
  <c r="N38" i="1" s="1"/>
  <c r="L39" i="1"/>
  <c r="N39" i="1" s="1"/>
  <c r="L40" i="1"/>
  <c r="N40" i="1" s="1"/>
  <c r="L41" i="1"/>
  <c r="N41" i="1" s="1"/>
  <c r="L42" i="1"/>
  <c r="N42" i="1" s="1"/>
  <c r="L43" i="1"/>
  <c r="N43" i="1" s="1"/>
  <c r="L44" i="1"/>
  <c r="N44" i="1" s="1"/>
  <c r="L45" i="1"/>
  <c r="N45" i="1" s="1"/>
  <c r="L46" i="1"/>
  <c r="M46" i="1" s="1"/>
  <c r="L47" i="1"/>
  <c r="M47" i="1" s="1"/>
  <c r="L48" i="1"/>
  <c r="M48" i="1" s="1"/>
  <c r="L49" i="1"/>
  <c r="M49" i="1" s="1"/>
  <c r="L50" i="1"/>
  <c r="N50" i="1" s="1"/>
  <c r="L51" i="1"/>
  <c r="N51" i="1" s="1"/>
  <c r="L52" i="1"/>
  <c r="N52" i="1" s="1"/>
  <c r="L53" i="1"/>
  <c r="N53" i="1" s="1"/>
  <c r="L54" i="1"/>
  <c r="N54" i="1" s="1"/>
  <c r="L55" i="1"/>
  <c r="N55" i="1" s="1"/>
  <c r="L56" i="1"/>
  <c r="N56" i="1" s="1"/>
  <c r="L57" i="1"/>
  <c r="N57" i="1" s="1"/>
  <c r="L58" i="1"/>
  <c r="M58" i="1" s="1"/>
  <c r="L59" i="1"/>
  <c r="M59" i="1" s="1"/>
  <c r="L60" i="1"/>
  <c r="M60" i="1" s="1"/>
  <c r="L61" i="1"/>
  <c r="M61" i="1" s="1"/>
  <c r="L62" i="1"/>
  <c r="N62" i="1" s="1"/>
  <c r="L63" i="1"/>
  <c r="N63" i="1" s="1"/>
  <c r="L64" i="1"/>
  <c r="N64" i="1" s="1"/>
  <c r="L65" i="1"/>
  <c r="N65" i="1" s="1"/>
  <c r="L66" i="1"/>
  <c r="N66" i="1" s="1"/>
  <c r="L67" i="1"/>
  <c r="N67" i="1" s="1"/>
  <c r="L68" i="1"/>
  <c r="N68" i="1" s="1"/>
  <c r="L69" i="1"/>
  <c r="N69" i="1" s="1"/>
  <c r="L70" i="1"/>
  <c r="M70" i="1" s="1"/>
  <c r="L71" i="1"/>
  <c r="M71" i="1" s="1"/>
  <c r="L72" i="1"/>
  <c r="M72" i="1" s="1"/>
  <c r="L73" i="1"/>
  <c r="M73" i="1" s="1"/>
  <c r="L74" i="1"/>
  <c r="N74" i="1" s="1"/>
  <c r="L75" i="1"/>
  <c r="N75" i="1" s="1"/>
  <c r="L76" i="1"/>
  <c r="N76" i="1" s="1"/>
  <c r="L77" i="1"/>
  <c r="N77" i="1" s="1"/>
  <c r="L78" i="1"/>
  <c r="N78" i="1" s="1"/>
  <c r="L79" i="1"/>
  <c r="N79" i="1" s="1"/>
  <c r="L80" i="1"/>
  <c r="N80" i="1" s="1"/>
  <c r="L81" i="1"/>
  <c r="N81" i="1" s="1"/>
  <c r="L82" i="1"/>
  <c r="M82" i="1" s="1"/>
  <c r="L83" i="1"/>
  <c r="M83" i="1" s="1"/>
  <c r="L84" i="1"/>
  <c r="M84" i="1" s="1"/>
  <c r="L85" i="1"/>
  <c r="M85" i="1" s="1"/>
  <c r="L86" i="1"/>
  <c r="N86" i="1" s="1"/>
  <c r="L87" i="1"/>
  <c r="N87" i="1" s="1"/>
  <c r="L88" i="1"/>
  <c r="N88" i="1" s="1"/>
  <c r="L89" i="1"/>
  <c r="N89" i="1" s="1"/>
  <c r="L90" i="1"/>
  <c r="N90" i="1" s="1"/>
  <c r="L91" i="1"/>
  <c r="N91" i="1" s="1"/>
  <c r="L92" i="1"/>
  <c r="N92" i="1" s="1"/>
  <c r="L93" i="1"/>
  <c r="N93" i="1" s="1"/>
  <c r="L94" i="1"/>
  <c r="M94" i="1" s="1"/>
  <c r="L95" i="1"/>
  <c r="M95" i="1" s="1"/>
  <c r="L96" i="1"/>
  <c r="M96" i="1" s="1"/>
  <c r="L97" i="1"/>
  <c r="M97" i="1" s="1"/>
  <c r="L98" i="1"/>
  <c r="N98" i="1" s="1"/>
  <c r="L99" i="1"/>
  <c r="N99" i="1" s="1"/>
  <c r="L100" i="1"/>
  <c r="N100" i="1" s="1"/>
  <c r="L101" i="1"/>
  <c r="N101" i="1" s="1"/>
  <c r="N73" i="1" l="1"/>
  <c r="N61" i="1"/>
  <c r="N97" i="1"/>
  <c r="N85" i="1"/>
  <c r="M81" i="1"/>
  <c r="N37" i="1"/>
  <c r="M93" i="1"/>
  <c r="N49" i="1"/>
  <c r="M69" i="1"/>
  <c r="N25" i="1"/>
  <c r="M57" i="1"/>
  <c r="N13" i="1"/>
  <c r="M45" i="1"/>
  <c r="M21" i="1"/>
  <c r="M33" i="1"/>
  <c r="M9" i="1"/>
  <c r="M92" i="1"/>
  <c r="M80" i="1"/>
  <c r="M68" i="1"/>
  <c r="M56" i="1"/>
  <c r="M44" i="1"/>
  <c r="M32" i="1"/>
  <c r="M20" i="1"/>
  <c r="M8" i="1"/>
  <c r="N96" i="1"/>
  <c r="N84" i="1"/>
  <c r="N72" i="1"/>
  <c r="N60" i="1"/>
  <c r="N48" i="1"/>
  <c r="N36" i="1"/>
  <c r="N24" i="1"/>
  <c r="N12" i="1"/>
  <c r="M91" i="1"/>
  <c r="M79" i="1"/>
  <c r="M67" i="1"/>
  <c r="M55" i="1"/>
  <c r="M43" i="1"/>
  <c r="M31" i="1"/>
  <c r="M19" i="1"/>
  <c r="M7" i="1"/>
  <c r="N95" i="1"/>
  <c r="N83" i="1"/>
  <c r="N71" i="1"/>
  <c r="N59" i="1"/>
  <c r="N47" i="1"/>
  <c r="N35" i="1"/>
  <c r="N23" i="1"/>
  <c r="N11" i="1"/>
  <c r="M90" i="1"/>
  <c r="M78" i="1"/>
  <c r="M66" i="1"/>
  <c r="M54" i="1"/>
  <c r="M42" i="1"/>
  <c r="M30" i="1"/>
  <c r="M18" i="1"/>
  <c r="M6" i="1"/>
  <c r="N94" i="1"/>
  <c r="N82" i="1"/>
  <c r="N70" i="1"/>
  <c r="N58" i="1"/>
  <c r="N46" i="1"/>
  <c r="N34" i="1"/>
  <c r="N22" i="1"/>
  <c r="N10" i="1"/>
  <c r="M101" i="1"/>
  <c r="M89" i="1"/>
  <c r="M77" i="1"/>
  <c r="M65" i="1"/>
  <c r="M53" i="1"/>
  <c r="M41" i="1"/>
  <c r="M29" i="1"/>
  <c r="M17" i="1"/>
  <c r="M5" i="1"/>
  <c r="M100" i="1"/>
  <c r="M88" i="1"/>
  <c r="M76" i="1"/>
  <c r="M64" i="1"/>
  <c r="M52" i="1"/>
  <c r="M40" i="1"/>
  <c r="M28" i="1"/>
  <c r="M16" i="1"/>
  <c r="M4" i="1"/>
  <c r="M99" i="1"/>
  <c r="M87" i="1"/>
  <c r="M75" i="1"/>
  <c r="M63" i="1"/>
  <c r="M51" i="1"/>
  <c r="M39" i="1"/>
  <c r="M27" i="1"/>
  <c r="M15" i="1"/>
  <c r="M3" i="1"/>
  <c r="M98" i="1"/>
  <c r="M86" i="1"/>
  <c r="M74" i="1"/>
  <c r="M62" i="1"/>
  <c r="M50" i="1"/>
  <c r="M38" i="1"/>
  <c r="M26" i="1"/>
  <c r="M14" i="1"/>
  <c r="M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<sst xmlns="http://schemas.openxmlformats.org/spreadsheetml/2006/main" count="2673" uniqueCount="52">
  <si>
    <t>OrderID</t>
  </si>
  <si>
    <t>Date</t>
  </si>
  <si>
    <t>Region</t>
  </si>
  <si>
    <t>Salesperson</t>
  </si>
  <si>
    <t>Product</t>
  </si>
  <si>
    <t>Category</t>
  </si>
  <si>
    <t>Qty</t>
  </si>
  <si>
    <t>UnitPrice</t>
  </si>
  <si>
    <t>Discount</t>
  </si>
  <si>
    <t>Status</t>
  </si>
  <si>
    <t>Khulna</t>
  </si>
  <si>
    <t>Ayan</t>
  </si>
  <si>
    <t>Chair</t>
  </si>
  <si>
    <t>Furniture</t>
  </si>
  <si>
    <t>Pending</t>
  </si>
  <si>
    <t>Dhaka</t>
  </si>
  <si>
    <t>Rafi</t>
  </si>
  <si>
    <t>Mouse</t>
  </si>
  <si>
    <t>Electronics</t>
  </si>
  <si>
    <t>Cancelled</t>
  </si>
  <si>
    <t>Rajshahi</t>
  </si>
  <si>
    <t>Tanvir</t>
  </si>
  <si>
    <t>Notebook</t>
  </si>
  <si>
    <t>Stationery</t>
  </si>
  <si>
    <t>Mim</t>
  </si>
  <si>
    <t>Laptop</t>
  </si>
  <si>
    <t>Pen</t>
  </si>
  <si>
    <t>Completed</t>
  </si>
  <si>
    <t>Nila</t>
  </si>
  <si>
    <t>Chattogram</t>
  </si>
  <si>
    <t>Sami</t>
  </si>
  <si>
    <t>Desk</t>
  </si>
  <si>
    <t>Salesperson Code</t>
  </si>
  <si>
    <t>Ay</t>
  </si>
  <si>
    <t>Ra</t>
  </si>
  <si>
    <t>Ta</t>
  </si>
  <si>
    <t>Mi</t>
  </si>
  <si>
    <t>Ni</t>
  </si>
  <si>
    <t>Sa</t>
  </si>
  <si>
    <t xml:space="preserve">Product Info </t>
  </si>
  <si>
    <t>Product From L</t>
  </si>
  <si>
    <t>Category From L</t>
  </si>
  <si>
    <t>Column1</t>
  </si>
  <si>
    <t>Region + Salesperson</t>
  </si>
  <si>
    <t>OrderID - BD</t>
  </si>
  <si>
    <t>Category-Length</t>
  </si>
  <si>
    <t>First Word of Name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</si>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</sst>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[$৳-845]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1" fontId="0" fillId="0" borderId="1" xfId="0" applyNumberFormat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0" fillId="4" borderId="2" xfId="0" applyFont="1" applyFill="1" applyBorder="1"/>
    <xf numFmtId="0" fontId="0" fillId="0" borderId="0" xfId="0" applyNumberFormat="1"/>
    <xf numFmtId="0" fontId="0" fillId="4" borderId="2" xfId="0" applyNumberFormat="1" applyFont="1" applyFill="1" applyBorder="1"/>
    <xf numFmtId="0" fontId="1" fillId="2" borderId="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" fontId="0" fillId="3" borderId="4" xfId="0" applyNumberFormat="1" applyFont="1" applyFill="1" applyBorder="1"/>
    <xf numFmtId="14" fontId="0" fillId="3" borderId="4" xfId="0" applyNumberFormat="1" applyFont="1" applyFill="1" applyBorder="1"/>
    <xf numFmtId="0" fontId="0" fillId="3" borderId="4" xfId="0" applyFont="1" applyFill="1" applyBorder="1"/>
    <xf numFmtId="164" fontId="0" fillId="3" borderId="4" xfId="0" applyNumberFormat="1" applyFont="1" applyFill="1" applyBorder="1"/>
    <xf numFmtId="0" fontId="0" fillId="3" borderId="6" xfId="0" applyNumberFormat="1" applyFont="1" applyFill="1" applyBorder="1"/>
    <xf numFmtId="1" fontId="0" fillId="4" borderId="4" xfId="0" applyNumberFormat="1" applyFont="1" applyFill="1" applyBorder="1"/>
    <xf numFmtId="14" fontId="0" fillId="4" borderId="4" xfId="0" applyNumberFormat="1" applyFont="1" applyFill="1" applyBorder="1"/>
    <xf numFmtId="0" fontId="0" fillId="4" borderId="4" xfId="0" applyFont="1" applyFill="1" applyBorder="1"/>
    <xf numFmtId="164" fontId="0" fillId="4" borderId="4" xfId="0" applyNumberFormat="1" applyFont="1" applyFill="1" applyBorder="1"/>
    <xf numFmtId="0" fontId="0" fillId="4" borderId="7" xfId="0" applyFont="1" applyFill="1" applyBorder="1"/>
    <xf numFmtId="0" fontId="0" fillId="3" borderId="2" xfId="0" applyNumberFormat="1" applyFont="1" applyFill="1" applyBorder="1"/>
    <xf numFmtId="0" fontId="0" fillId="4" borderId="5" xfId="0" applyFont="1" applyFill="1" applyBorder="1"/>
    <xf numFmtId="0" fontId="1" fillId="2" borderId="8" xfId="0" applyFont="1" applyFill="1" applyBorder="1" applyAlignment="1">
      <alignment horizontal="center"/>
    </xf>
    <xf numFmtId="0" fontId="0" fillId="4" borderId="6" xfId="0" applyFont="1" applyFill="1" applyBorder="1"/>
    <xf numFmtId="0" fontId="0" fillId="4" borderId="6" xfId="0" applyNumberFormat="1" applyFont="1" applyFill="1" applyBorder="1"/>
    <xf numFmtId="0" fontId="0" fillId="4" borderId="0" xfId="0" applyFont="1" applyFill="1"/>
    <xf numFmtId="0" fontId="0" fillId="4" borderId="0" xfId="0" applyNumberFormat="1" applyFont="1" applyFill="1"/>
  </cellXfs>
  <cellStyles count="1">
    <cellStyle name="Normal" xfId="0" builtinId="0"/>
  </cellStyles>
  <dxfs count="8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[$৳-845]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[$৳-845]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[$৳-845]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[$৳-845]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[$৳-845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892FF6-6EE1-4DBD-A17B-9C4B44828995}" name="Table1" displayName="Table1" ref="A1:R101" totalsRowShown="0" headerRowDxfId="84">
  <autoFilter ref="A1:R101" xr:uid="{B0892FF6-6EE1-4DBD-A17B-9C4B44828995}"/>
  <tableColumns count="18">
    <tableColumn id="1" xr3:uid="{18EB91B9-5F96-4046-B76D-CB2060369C9C}" name="OrderID" dataDxfId="83"/>
    <tableColumn id="2" xr3:uid="{8EFCCF5A-0CF1-4F17-A70A-ABE3A2DD0E5B}" name="Date" dataDxfId="82"/>
    <tableColumn id="3" xr3:uid="{7336068C-7EBC-402C-A29F-AC5D2E4F7B4B}" name="Region" dataDxfId="81"/>
    <tableColumn id="4" xr3:uid="{6440A3CF-F29F-4BBB-BACD-F7710D491BFA}" name="Salesperson" dataDxfId="80"/>
    <tableColumn id="5" xr3:uid="{584D744A-6498-41EF-B4D9-B11DE4265241}" name="Product" dataDxfId="79"/>
    <tableColumn id="6" xr3:uid="{5EBBB890-FC79-4FC7-A0C7-30881646960C}" name="Category" dataDxfId="78"/>
    <tableColumn id="7" xr3:uid="{ADAE9E9E-1A15-4F57-B059-BCD3E0257937}" name="Qty" dataDxfId="77"/>
    <tableColumn id="8" xr3:uid="{C6D5B70C-6A12-464A-98B8-CADC8129AC43}" name="UnitPrice" dataDxfId="76"/>
    <tableColumn id="9" xr3:uid="{1CC6384C-CBA4-46D6-A225-D3A4D59310E6}" name="Discount" dataDxfId="75"/>
    <tableColumn id="10" xr3:uid="{33D2C383-B6C8-4969-B4D9-C95D5986FC8C}" name="Status" dataDxfId="74"/>
    <tableColumn id="11" xr3:uid="{9C24558A-F662-490A-BE0E-AC9C3A023B91}" name="Salesperson Code"/>
    <tableColumn id="12" xr3:uid="{DE0B9F70-7DAB-4D2B-9624-1E5281C445BC}" name="Product Info " dataDxfId="73">
      <calculatedColumnFormula>_xlfn.TEXTJOIN(" - ",,Table1[[#This Row],[Product]],Table1[[#This Row],[Category]])</calculatedColumnFormula>
    </tableColumn>
    <tableColumn id="13" xr3:uid="{C79862BB-9CE6-4738-94DD-5D5933268B81}" name="Product From L" dataDxfId="72">
      <calculatedColumnFormula>_xlfn.TEXTBEFORE(Table1[[#This Row],[Product Info ]]," - ")</calculatedColumnFormula>
    </tableColumn>
    <tableColumn id="14" xr3:uid="{6E36CA99-2384-4AB8-A242-1EA62B09CC5C}" name="Category From L" dataDxfId="71">
      <calculatedColumnFormula>_xlfn.TEXTAFTER(Table1[[#This Row],[Product Info ]],"-")</calculatedColumnFormula>
    </tableColumn>
    <tableColumn id="15" xr3:uid="{4BC4E6E4-716D-4641-A309-E27EF75DF716}" name="Region + Salesperson" dataDxfId="70">
      <calculatedColumnFormula>_xlfn.TEXTJOIN(" | ",,Table1[[#This Row],[Region]],Table1[[#This Row],[Salesperson]])</calculatedColumnFormula>
    </tableColumn>
    <tableColumn id="16" xr3:uid="{285EDA44-2ABA-4CB9-881F-FDE89E16E44D}" name="OrderID - BD" dataDxfId="69">
      <calculatedColumnFormula>_xlfn.TEXTJOIN("-",,Table1[[#This Row],[OrderID]],"BD")</calculatedColumnFormula>
    </tableColumn>
    <tableColumn id="17" xr3:uid="{784C9849-0C95-4905-8FB0-F4B68707BA5C}" name="Category-Length" dataDxfId="68">
      <calculatedColumnFormula>LEN(Table1[[#This Row],[Category]])</calculatedColumnFormula>
    </tableColumn>
    <tableColumn id="18" xr3:uid="{1D291B3B-8AFE-4501-BD94-AFF23CE8EF08}" name="First Word of Name" dataDxfId="67">
      <calculatedColumnFormula>LEFT(Table1[[#This Row],[Salesperson]],1)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A3F43A-A343-452D-A256-3689C2757A1B}" name="Table3" displayName="Table3" ref="A1:O101" totalsRowShown="0" headerRowDxfId="54" dataDxfId="55" tableBorderDxfId="66">
  <autoFilter ref="A1:O101" xr:uid="{34A3F43A-A343-452D-A256-3689C2757A1B}"/>
  <tableColumns count="15">
    <tableColumn id="1" xr3:uid="{1549D96C-2760-4638-B602-3E711E812FE1}" name="OrderID" dataDxfId="65"/>
    <tableColumn id="2" xr3:uid="{0EDDDED7-E6A5-452F-AD9F-990C8B1765E7}" name="Date" dataDxfId="64"/>
    <tableColumn id="3" xr3:uid="{8A9F2F40-DBEC-4701-B325-7A56FB4500BB}" name="Region" dataDxfId="63"/>
    <tableColumn id="4" xr3:uid="{483F9D22-0D75-4551-8D09-1C849B28CEE8}" name="Salesperson" dataDxfId="62"/>
    <tableColumn id="5" xr3:uid="{21642367-C77E-4E11-AD45-2E7AD70C4E58}" name="Product" dataDxfId="61"/>
    <tableColumn id="6" xr3:uid="{0C9F507E-EE73-4753-9159-3C5AE867349A}" name="Category" dataDxfId="60"/>
    <tableColumn id="7" xr3:uid="{016C7523-3AFB-44B2-971D-E37F08558D12}" name="Qty" dataDxfId="59"/>
    <tableColumn id="8" xr3:uid="{726B0FF2-1E75-4F3C-A1F6-27FB040EB46D}" name="UnitPrice" dataDxfId="58"/>
    <tableColumn id="9" xr3:uid="{09042C74-A151-41BA-955A-07B579F21D91}" name="Discount" dataDxfId="57"/>
    <tableColumn id="10" xr3:uid="{29867442-2418-402F-AFA9-BCAEC2FA4DAF}" name="Status" dataDxfId="56"/>
    <tableColumn id="11" xr3:uid="{BAD3F3ED-0F9D-4C97-9A82-98D0C8673ABC}" name="Column1" dataDxfId="40">
      <calculatedColumnFormula>IF(Table3[[#This Row],[Qty]]&gt;5,"High","Low")</calculatedColumnFormula>
    </tableColumn>
    <tableColumn id="12" xr3:uid="{AF794B45-7CD4-42D3-8886-2A8558AE4391}" name="Column2" dataDxfId="39">
      <calculatedColumnFormula>IF(Table3[[#This Row],[Status]]="Completed","Done","Not Done")</calculatedColumnFormula>
    </tableColumn>
    <tableColumn id="13" xr3:uid="{3A929840-47AD-4FA9-96BE-03AB40C78163}" name="Column3" dataDxfId="38">
      <calculatedColumnFormula>IF(Table3[[#This Row],[Discount]]&gt;0,"Discounted","No Discount")</calculatedColumnFormula>
    </tableColumn>
    <tableColumn id="14" xr3:uid="{3062484F-6A5C-4BC6-9D58-83E85AEDF3C8}" name="Column4" dataDxfId="37">
      <calculatedColumnFormula>IF(Table3[[#This Row],[UnitPrice]]&gt;=1000,"Expensive","Affordable")</calculatedColumnFormula>
    </tableColumn>
    <tableColumn id="15" xr3:uid="{B96E1DF2-08CF-4710-A61D-DD54FAA4936C}" name="Column5" dataDxfId="36">
      <calculatedColumnFormula>IF(Table3[[#This Row],[Region]]="Dhaka","Local","Outside")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585D0A-8AA8-441D-8991-03070A74A27D}" name="Table35" displayName="Table35" ref="A1:N101" totalsRowShown="0" headerRowDxfId="53" dataDxfId="52" tableBorderDxfId="51">
  <autoFilter ref="A1:N101" xr:uid="{CF585D0A-8AA8-441D-8991-03070A74A27D}"/>
  <tableColumns count="14">
    <tableColumn id="1" xr3:uid="{48D8F40F-5797-48CD-8E40-B96A9256C286}" name="OrderID" dataDxfId="50"/>
    <tableColumn id="2" xr3:uid="{6E8013CE-91A3-400C-9F56-6ADF97E74A20}" name="Date" dataDxfId="49"/>
    <tableColumn id="3" xr3:uid="{6360C0DC-1F35-480B-8900-D2AF323FEE13}" name="Region" dataDxfId="48"/>
    <tableColumn id="4" xr3:uid="{44BE8D36-4AAD-4367-8A81-256D6CD6CA77}" name="Salesperson" dataDxfId="47"/>
    <tableColumn id="5" xr3:uid="{C674C358-3F3D-42F1-A71B-CE53F36112DA}" name="Product" dataDxfId="46"/>
    <tableColumn id="6" xr3:uid="{25371B47-C294-4C7D-A182-E76AEE9A7F58}" name="Category" dataDxfId="45"/>
    <tableColumn id="7" xr3:uid="{41B402BA-D53E-4B60-9477-E13689F2759D}" name="Qty" dataDxfId="44"/>
    <tableColumn id="8" xr3:uid="{52BD2B7D-7C02-4CE9-9DCF-E9D216BA2D6B}" name="UnitPrice" dataDxfId="43"/>
    <tableColumn id="9" xr3:uid="{9B9EF6D8-9BBD-4DBA-9F59-65989DCB853A}" name="Discount" dataDxfId="42"/>
    <tableColumn id="10" xr3:uid="{12055B0E-645C-4251-AB56-B3818F18F71A}" name="Status" dataDxfId="41"/>
    <tableColumn id="11" xr3:uid="{19A1B632-D4BE-4233-8783-7026FBF7F674}" name="Column1" dataDxfId="22">
      <calculatedColumnFormula>IF(Table35[[#This Row],[Qty]]&gt;=8,"Excellent",IF(Table35[[#This Row],[Qty]]&gt;=5,"Good",IF(Table35[[#This Row],[Qty]]&gt;=3,"Average","Poor")))</calculatedColumnFormula>
    </tableColumn>
    <tableColumn id="12" xr3:uid="{0FB4850C-FC58-4C2F-8046-FB930B6E7B72}" name="Column2" dataDxfId="21">
      <calculatedColumnFormula>IF(Table35[[#This Row],[Discount]]&gt;=10,"High",IF(Table35[[#This Row],[Discount]]&gt;=5,"Medium","No Discount"))</calculatedColumnFormula>
    </tableColumn>
    <tableColumn id="13" xr3:uid="{BFA37C58-C53B-412C-ABCE-9A879739EA98}" name="Column3" dataDxfId="20">
      <calculatedColumnFormula>IF(Table35[[#This Row],[Status]]="Completed","Done",IF(Table35[[#This Row],[Status]]="Pending","Waiting","Rejected"))</calculatedColumnFormula>
    </tableColumn>
    <tableColumn id="14" xr3:uid="{05CAE2CF-7F19-4D99-84DC-5C2B383A154E}" name="Column4" dataDxfId="19">
      <calculatedColumnFormula>IF(Table35[[#This Row],[Qty]]*Table35[[#This Row],[UnitPrice]]&gt;=15000,"Platinum",IF(Table35[[#This Row],[Qty]]*Table35[[#This Row],[UnitPrice]]&gt;=10000,"Gold",IF(Table35[[#This Row],[Qty]]*Table35[[#This Row],[UnitPrice]]&gt;=5000,"Silver","Bronze")))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DA62BD-E9E5-4293-AE99-144222D2F2AA}" name="Table356" displayName="Table356" ref="A1:P101" totalsRowShown="0" headerRowDxfId="35" dataDxfId="34" tableBorderDxfId="33">
  <autoFilter ref="A1:P101" xr:uid="{F9DA62BD-E9E5-4293-AE99-144222D2F2AA}"/>
  <tableColumns count="16">
    <tableColumn id="1" xr3:uid="{3A20892B-99F8-430F-A8D5-0A87D38C3BB9}" name="OrderID" dataDxfId="32"/>
    <tableColumn id="2" xr3:uid="{252F66FC-7114-406A-A56E-2CA02529B86B}" name="Date" dataDxfId="31"/>
    <tableColumn id="3" xr3:uid="{757B1C2B-2D52-4113-85EF-B947F58E9D65}" name="Region" dataDxfId="30"/>
    <tableColumn id="4" xr3:uid="{2BD7A62A-0FD2-4287-AE37-73B565091DA9}" name="Salesperson" dataDxfId="29"/>
    <tableColumn id="5" xr3:uid="{F5059830-8601-4373-ABAD-440FDE466308}" name="Product" dataDxfId="28"/>
    <tableColumn id="6" xr3:uid="{A309C7D8-498C-438D-A814-0716A1056FC7}" name="Category" dataDxfId="27"/>
    <tableColumn id="7" xr3:uid="{B303475C-78FC-4366-B0E6-53B70B8ABDF8}" name="Qty" dataDxfId="26"/>
    <tableColumn id="8" xr3:uid="{5DDB23E3-2779-4B02-BDDF-42C2971910EE}" name="UnitPrice" dataDxfId="25"/>
    <tableColumn id="9" xr3:uid="{66C73133-38EC-4F6B-8673-C61981635432}" name="Discount" dataDxfId="24"/>
    <tableColumn id="10" xr3:uid="{3C6D3511-0CD0-444F-B9C3-A832231FD5E9}" name="Status" dataDxfId="23"/>
    <tableColumn id="11" xr3:uid="{EE4450E0-E9D9-4C5F-B627-6A09E6788582}" name="Column1" dataDxfId="5">
      <calculatedColumnFormula>IF(AND(Table356[[#This Row],[Qty]]&gt;=5,Table356[[#This Row],[Discount]]&gt;=10),"Premium Offer","Regular")</calculatedColumnFormula>
    </tableColumn>
    <tableColumn id="12" xr3:uid="{38C8735E-C7B7-4BAC-BC79-D43101B7FD62}" name="Column2" dataDxfId="4">
      <calculatedColumnFormula>IF(OR(Table356[[#This Row],[Region]]="Dhaka",Table356[[#This Row],[Region]]="Chattogram"),"Metro Area","Other")</calculatedColumnFormula>
    </tableColumn>
    <tableColumn id="13" xr3:uid="{83F9291C-9762-4D2E-B3D6-ECB31E1D86A7}" name="Column3" dataDxfId="3">
      <calculatedColumnFormula>IF(AND(Table356[[#This Row],[Status]]="Completed",Table356[[#This Row],[Qty]]&gt;=5),"Top Sale","Normal Sale")</calculatedColumnFormula>
    </tableColumn>
    <tableColumn id="14" xr3:uid="{25EC27EB-4602-4562-A85D-69DC32E96948}" name="Column4" dataDxfId="2">
      <calculatedColumnFormula>IF(AND(Table356[[#This Row],[Category]]="Electronic",Table356[[#This Row],[UnitPrice]]&gt;=1000),"Premium Electronics","Not Premium Electronics")</calculatedColumnFormula>
    </tableColumn>
    <tableColumn id="15" xr3:uid="{755CE5E3-FCA0-4DBD-B116-1354F5866380}" name="Column5" dataDxfId="1">
      <calculatedColumnFormula>IF(AND(OR(Table356[[#This Row],[Region]]="Dhaka",Table356[[#This Row],[Region]]="Rajshahi"),Table356[[#This Row],[Status]]="Completed"),"Priority","Normal")</calculatedColumnFormula>
    </tableColumn>
    <tableColumn id="16" xr3:uid="{4400D9B6-B79B-4DA2-BB0F-1254C6ACF778}" name="Column6" dataDxfId="0">
      <calculatedColumnFormula>IF(F2="Electronics",IF(I2&gt;=10,"High Value","Electronics"),IF(F2="Furniture","Furniture Item","Others"))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779E161-7A91-4905-97F6-93F2C70BC033}" name="Table3567" displayName="Table3567" ref="A1:J101" totalsRowShown="0" headerRowDxfId="18" dataDxfId="17" tableBorderDxfId="16">
  <autoFilter ref="A1:J101" xr:uid="{9779E161-7A91-4905-97F6-93F2C70BC033}"/>
  <tableColumns count="10">
    <tableColumn id="1" xr3:uid="{913E3378-010A-4179-8373-65B2B384D8D4}" name="OrderID" dataDxfId="15"/>
    <tableColumn id="2" xr3:uid="{87014EA4-75C3-4F5B-839E-26B6D4AD11FC}" name="Date" dataDxfId="14"/>
    <tableColumn id="3" xr3:uid="{F745AEA7-9FAA-4B45-9380-F7A0A132058F}" name="Region" dataDxfId="13"/>
    <tableColumn id="4" xr3:uid="{CBB66215-2446-46D8-B618-477ED856E5FC}" name="Salesperson" dataDxfId="12"/>
    <tableColumn id="5" xr3:uid="{B356E6E0-C06C-4A73-BA48-FA16E224019A}" name="Product" dataDxfId="11"/>
    <tableColumn id="6" xr3:uid="{DDA20E86-FE3E-40BD-9C6F-8D5958B47091}" name="Category" dataDxfId="10"/>
    <tableColumn id="7" xr3:uid="{0176C42A-ED38-4A6E-9694-1459EF5FB261}" name="Qty" dataDxfId="9"/>
    <tableColumn id="8" xr3:uid="{2A2F5F7D-6AE0-4BA8-8A33-AE9A88F67B31}" name="UnitPrice" dataDxfId="8"/>
    <tableColumn id="9" xr3:uid="{69726E62-F2B9-4A11-B6EF-09A889577AF8}" name="Discount" dataDxfId="7"/>
    <tableColumn id="10" xr3:uid="{F0332055-155E-473D-B4BF-AF5AAE0CD2C0}" name="Status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0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6" sqref="I26"/>
    </sheetView>
  </sheetViews>
  <sheetFormatPr defaultColWidth="12.28515625" defaultRowHeight="15" x14ac:dyDescent="0.25"/>
  <cols>
    <col min="1" max="1" width="12.5703125" bestFit="1" customWidth="1"/>
    <col min="2" max="2" width="9.7109375" bestFit="1" customWidth="1"/>
    <col min="3" max="3" width="11.7109375" bestFit="1" customWidth="1"/>
    <col min="4" max="4" width="16.28515625" bestFit="1" customWidth="1"/>
    <col min="5" max="5" width="12.42578125" bestFit="1" customWidth="1"/>
    <col min="6" max="6" width="13.42578125" bestFit="1" customWidth="1"/>
    <col min="7" max="7" width="8.7109375" bestFit="1" customWidth="1"/>
    <col min="8" max="8" width="13.85546875" bestFit="1" customWidth="1"/>
    <col min="9" max="9" width="13.28515625" bestFit="1" customWidth="1"/>
    <col min="10" max="10" width="11" bestFit="1" customWidth="1"/>
    <col min="11" max="11" width="21.42578125" bestFit="1" customWidth="1"/>
    <col min="12" max="12" width="20.85546875" bestFit="1" customWidth="1"/>
    <col min="13" max="13" width="18.85546875" bestFit="1" customWidth="1"/>
    <col min="14" max="14" width="19.85546875" bestFit="1" customWidth="1"/>
    <col min="15" max="15" width="24.5703125" bestFit="1" customWidth="1"/>
    <col min="16" max="16" width="16.5703125" bestFit="1" customWidth="1"/>
    <col min="17" max="17" width="20.28515625" bestFit="1" customWidth="1"/>
    <col min="18" max="18" width="23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32</v>
      </c>
      <c r="L1" s="1" t="s">
        <v>39</v>
      </c>
      <c r="M1" s="1" t="s">
        <v>40</v>
      </c>
      <c r="N1" s="1" t="s">
        <v>41</v>
      </c>
      <c r="O1" s="1" t="s">
        <v>43</v>
      </c>
      <c r="P1" s="1" t="s">
        <v>44</v>
      </c>
      <c r="Q1" s="1" t="s">
        <v>45</v>
      </c>
      <c r="R1" s="1" t="s">
        <v>46</v>
      </c>
    </row>
    <row r="2" spans="1:18" x14ac:dyDescent="0.25">
      <c r="A2" s="2">
        <v>1002</v>
      </c>
      <c r="B2" s="3">
        <v>46174</v>
      </c>
      <c r="C2" s="4" t="s">
        <v>10</v>
      </c>
      <c r="D2" s="4" t="s">
        <v>11</v>
      </c>
      <c r="E2" s="4" t="s">
        <v>12</v>
      </c>
      <c r="F2" s="4" t="s">
        <v>13</v>
      </c>
      <c r="G2" s="2">
        <v>1</v>
      </c>
      <c r="H2" s="5">
        <v>351</v>
      </c>
      <c r="I2" s="2">
        <v>15</v>
      </c>
      <c r="J2" s="4" t="s">
        <v>14</v>
      </c>
      <c r="K2" t="s">
        <v>33</v>
      </c>
      <c r="L2" t="str">
        <f>_xlfn.TEXTJOIN(" - ",,Table1[[#This Row],[Product]],Table1[[#This Row],[Category]])</f>
        <v>Chair - Furniture</v>
      </c>
      <c r="M2" t="str">
        <f>_xlfn.TEXTBEFORE(Table1[[#This Row],[Product Info ]]," - ")</f>
        <v>Chair</v>
      </c>
      <c r="N2" t="str">
        <f>_xlfn.TEXTAFTER(Table1[[#This Row],[Product Info ]],"-")</f>
        <v xml:space="preserve"> Furniture</v>
      </c>
      <c r="O2" s="7" t="str">
        <f>_xlfn.TEXTJOIN(" | ",,Table1[[#This Row],[Region]],Table1[[#This Row],[Salesperson]])</f>
        <v>Khulna | Ayan</v>
      </c>
      <c r="P2" s="7" t="str">
        <f>_xlfn.TEXTJOIN("-",,Table1[[#This Row],[OrderID]],"BD")</f>
        <v>1002-BD</v>
      </c>
      <c r="Q2" s="7">
        <f>LEN(Table1[[#This Row],[Category]])</f>
        <v>9</v>
      </c>
      <c r="R2" s="7" t="str">
        <f>LEFT(Table1[[#This Row],[Salesperson]],1)</f>
        <v>A</v>
      </c>
    </row>
    <row r="3" spans="1:18" x14ac:dyDescent="0.25">
      <c r="A3" s="2">
        <v>1003</v>
      </c>
      <c r="B3" s="3">
        <v>46122</v>
      </c>
      <c r="C3" s="4" t="s">
        <v>15</v>
      </c>
      <c r="D3" s="4" t="s">
        <v>16</v>
      </c>
      <c r="E3" s="4" t="s">
        <v>17</v>
      </c>
      <c r="F3" s="4" t="s">
        <v>18</v>
      </c>
      <c r="G3" s="2">
        <v>3</v>
      </c>
      <c r="H3" s="5">
        <v>1736</v>
      </c>
      <c r="I3" s="2">
        <v>5</v>
      </c>
      <c r="J3" s="4" t="s">
        <v>19</v>
      </c>
      <c r="K3" t="s">
        <v>34</v>
      </c>
      <c r="L3" t="str">
        <f>_xlfn.TEXTJOIN(" - ",,Table1[[#This Row],[Product]],Table1[[#This Row],[Category]])</f>
        <v>Mouse - Electronics</v>
      </c>
      <c r="M3" t="str">
        <f>_xlfn.TEXTBEFORE(Table1[[#This Row],[Product Info ]]," - ")</f>
        <v>Mouse</v>
      </c>
      <c r="N3" t="str">
        <f>_xlfn.TEXTAFTER(Table1[[#This Row],[Product Info ]],"-")</f>
        <v xml:space="preserve"> Electronics</v>
      </c>
      <c r="O3" s="7" t="str">
        <f>_xlfn.TEXTJOIN(" | ",,Table1[[#This Row],[Region]],Table1[[#This Row],[Salesperson]])</f>
        <v>Dhaka | Rafi</v>
      </c>
      <c r="P3" s="7" t="str">
        <f>_xlfn.TEXTJOIN("-",,Table1[[#This Row],[OrderID]],"BD")</f>
        <v>1003-BD</v>
      </c>
      <c r="Q3" s="7">
        <f>LEN(Table1[[#This Row],[Category]])</f>
        <v>11</v>
      </c>
      <c r="R3" s="7" t="str">
        <f>LEFT(Table1[[#This Row],[Salesperson]],1)</f>
        <v>R</v>
      </c>
    </row>
    <row r="4" spans="1:18" x14ac:dyDescent="0.25">
      <c r="A4" s="2">
        <v>1004</v>
      </c>
      <c r="B4" s="3">
        <v>46116</v>
      </c>
      <c r="C4" s="4" t="s">
        <v>20</v>
      </c>
      <c r="D4" s="4" t="s">
        <v>21</v>
      </c>
      <c r="E4" s="4" t="s">
        <v>22</v>
      </c>
      <c r="F4" s="4" t="s">
        <v>23</v>
      </c>
      <c r="G4" s="2">
        <v>4</v>
      </c>
      <c r="H4" s="5">
        <v>1799</v>
      </c>
      <c r="I4" s="2">
        <v>10</v>
      </c>
      <c r="J4" s="4" t="s">
        <v>14</v>
      </c>
      <c r="K4" t="s">
        <v>35</v>
      </c>
      <c r="L4" t="str">
        <f>_xlfn.TEXTJOIN(" - ",,Table1[[#This Row],[Product]],Table1[[#This Row],[Category]])</f>
        <v>Notebook - Stationery</v>
      </c>
      <c r="M4" t="str">
        <f>_xlfn.TEXTBEFORE(Table1[[#This Row],[Product Info ]]," - ")</f>
        <v>Notebook</v>
      </c>
      <c r="N4" t="str">
        <f>_xlfn.TEXTAFTER(Table1[[#This Row],[Product Info ]],"-")</f>
        <v xml:space="preserve"> Stationery</v>
      </c>
      <c r="O4" s="7" t="str">
        <f>_xlfn.TEXTJOIN(" | ",,Table1[[#This Row],[Region]],Table1[[#This Row],[Salesperson]])</f>
        <v>Rajshahi | Tanvir</v>
      </c>
      <c r="P4" s="7" t="str">
        <f>_xlfn.TEXTJOIN("-",,Table1[[#This Row],[OrderID]],"BD")</f>
        <v>1004-BD</v>
      </c>
      <c r="Q4" s="7">
        <f>LEN(Table1[[#This Row],[Category]])</f>
        <v>10</v>
      </c>
      <c r="R4" s="7" t="str">
        <f>LEFT(Table1[[#This Row],[Salesperson]],1)</f>
        <v>T</v>
      </c>
    </row>
    <row r="5" spans="1:18" x14ac:dyDescent="0.25">
      <c r="A5" s="2">
        <v>1005</v>
      </c>
      <c r="B5" s="3">
        <v>46199</v>
      </c>
      <c r="C5" s="4" t="s">
        <v>10</v>
      </c>
      <c r="D5" s="4" t="s">
        <v>24</v>
      </c>
      <c r="E5" s="4" t="s">
        <v>25</v>
      </c>
      <c r="F5" s="4" t="s">
        <v>18</v>
      </c>
      <c r="G5" s="2">
        <v>5</v>
      </c>
      <c r="H5" s="5">
        <v>1140</v>
      </c>
      <c r="I5" s="2">
        <v>5</v>
      </c>
      <c r="J5" s="4" t="s">
        <v>14</v>
      </c>
      <c r="K5" t="s">
        <v>36</v>
      </c>
      <c r="L5" t="str">
        <f>_xlfn.TEXTJOIN(" - ",,Table1[[#This Row],[Product]],Table1[[#This Row],[Category]])</f>
        <v>Laptop - Electronics</v>
      </c>
      <c r="M5" t="str">
        <f>_xlfn.TEXTBEFORE(Table1[[#This Row],[Product Info ]]," - ")</f>
        <v>Laptop</v>
      </c>
      <c r="N5" t="str">
        <f>_xlfn.TEXTAFTER(Table1[[#This Row],[Product Info ]],"-")</f>
        <v xml:space="preserve"> Electronics</v>
      </c>
      <c r="O5" s="7" t="str">
        <f>_xlfn.TEXTJOIN(" | ",,Table1[[#This Row],[Region]],Table1[[#This Row],[Salesperson]])</f>
        <v>Khulna | Mim</v>
      </c>
      <c r="P5" s="7" t="str">
        <f>_xlfn.TEXTJOIN("-",,Table1[[#This Row],[OrderID]],"BD")</f>
        <v>1005-BD</v>
      </c>
      <c r="Q5" s="7">
        <f>LEN(Table1[[#This Row],[Category]])</f>
        <v>11</v>
      </c>
      <c r="R5" s="7" t="str">
        <f>LEFT(Table1[[#This Row],[Salesperson]],1)</f>
        <v>M</v>
      </c>
    </row>
    <row r="6" spans="1:18" x14ac:dyDescent="0.25">
      <c r="A6" s="2">
        <v>1006</v>
      </c>
      <c r="B6" s="3">
        <v>46158</v>
      </c>
      <c r="C6" s="4" t="s">
        <v>20</v>
      </c>
      <c r="D6" s="4" t="s">
        <v>21</v>
      </c>
      <c r="E6" s="4" t="s">
        <v>25</v>
      </c>
      <c r="F6" s="4" t="s">
        <v>18</v>
      </c>
      <c r="G6" s="2">
        <v>8</v>
      </c>
      <c r="H6" s="5">
        <v>1618</v>
      </c>
      <c r="I6" s="2">
        <v>15</v>
      </c>
      <c r="J6" s="4" t="s">
        <v>19</v>
      </c>
      <c r="K6" t="s">
        <v>35</v>
      </c>
      <c r="L6" t="str">
        <f>_xlfn.TEXTJOIN(" - ",,Table1[[#This Row],[Product]],Table1[[#This Row],[Category]])</f>
        <v>Laptop - Electronics</v>
      </c>
      <c r="M6" t="str">
        <f>_xlfn.TEXTBEFORE(Table1[[#This Row],[Product Info ]]," - ")</f>
        <v>Laptop</v>
      </c>
      <c r="N6" t="str">
        <f>_xlfn.TEXTAFTER(Table1[[#This Row],[Product Info ]],"-")</f>
        <v xml:space="preserve"> Electronics</v>
      </c>
      <c r="O6" s="7" t="str">
        <f>_xlfn.TEXTJOIN(" | ",,Table1[[#This Row],[Region]],Table1[[#This Row],[Salesperson]])</f>
        <v>Rajshahi | Tanvir</v>
      </c>
      <c r="P6" s="7" t="str">
        <f>_xlfn.TEXTJOIN("-",,Table1[[#This Row],[OrderID]],"BD")</f>
        <v>1006-BD</v>
      </c>
      <c r="Q6" s="7">
        <f>LEN(Table1[[#This Row],[Category]])</f>
        <v>11</v>
      </c>
      <c r="R6" s="7" t="str">
        <f>LEFT(Table1[[#This Row],[Salesperson]],1)</f>
        <v>T</v>
      </c>
    </row>
    <row r="7" spans="1:18" x14ac:dyDescent="0.25">
      <c r="A7" s="2">
        <v>1007</v>
      </c>
      <c r="B7" s="3">
        <v>46106</v>
      </c>
      <c r="C7" s="4" t="s">
        <v>10</v>
      </c>
      <c r="D7" s="4" t="s">
        <v>16</v>
      </c>
      <c r="E7" s="4" t="s">
        <v>26</v>
      </c>
      <c r="F7" s="4" t="s">
        <v>23</v>
      </c>
      <c r="G7" s="2">
        <v>8</v>
      </c>
      <c r="H7" s="5">
        <v>297</v>
      </c>
      <c r="I7" s="2">
        <v>10</v>
      </c>
      <c r="J7" s="4" t="s">
        <v>27</v>
      </c>
      <c r="K7" t="s">
        <v>34</v>
      </c>
      <c r="L7" t="str">
        <f>_xlfn.TEXTJOIN(" - ",,Table1[[#This Row],[Product]],Table1[[#This Row],[Category]])</f>
        <v>Pen - Stationery</v>
      </c>
      <c r="M7" t="str">
        <f>_xlfn.TEXTBEFORE(Table1[[#This Row],[Product Info ]]," - ")</f>
        <v>Pen</v>
      </c>
      <c r="N7" t="str">
        <f>_xlfn.TEXTAFTER(Table1[[#This Row],[Product Info ]],"-")</f>
        <v xml:space="preserve"> Stationery</v>
      </c>
      <c r="O7" s="7" t="str">
        <f>_xlfn.TEXTJOIN(" | ",,Table1[[#This Row],[Region]],Table1[[#This Row],[Salesperson]])</f>
        <v>Khulna | Rafi</v>
      </c>
      <c r="P7" s="7" t="str">
        <f>_xlfn.TEXTJOIN("-",,Table1[[#This Row],[OrderID]],"BD")</f>
        <v>1007-BD</v>
      </c>
      <c r="Q7" s="7">
        <f>LEN(Table1[[#This Row],[Category]])</f>
        <v>10</v>
      </c>
      <c r="R7" s="7" t="str">
        <f>LEFT(Table1[[#This Row],[Salesperson]],1)</f>
        <v>R</v>
      </c>
    </row>
    <row r="8" spans="1:18" x14ac:dyDescent="0.25">
      <c r="A8" s="2">
        <v>1008</v>
      </c>
      <c r="B8" s="3">
        <v>46127</v>
      </c>
      <c r="C8" s="4" t="s">
        <v>15</v>
      </c>
      <c r="D8" s="4" t="s">
        <v>28</v>
      </c>
      <c r="E8" s="4" t="s">
        <v>17</v>
      </c>
      <c r="F8" s="4" t="s">
        <v>18</v>
      </c>
      <c r="G8" s="2">
        <v>1</v>
      </c>
      <c r="H8" s="5">
        <v>1768</v>
      </c>
      <c r="I8" s="2">
        <v>5</v>
      </c>
      <c r="J8" s="4" t="s">
        <v>19</v>
      </c>
      <c r="K8" t="s">
        <v>37</v>
      </c>
      <c r="L8" t="str">
        <f>_xlfn.TEXTJOIN(" - ",,Table1[[#This Row],[Product]],Table1[[#This Row],[Category]])</f>
        <v>Mouse - Electronics</v>
      </c>
      <c r="M8" t="str">
        <f>_xlfn.TEXTBEFORE(Table1[[#This Row],[Product Info ]]," - ")</f>
        <v>Mouse</v>
      </c>
      <c r="N8" t="str">
        <f>_xlfn.TEXTAFTER(Table1[[#This Row],[Product Info ]],"-")</f>
        <v xml:space="preserve"> Electronics</v>
      </c>
      <c r="O8" s="7" t="str">
        <f>_xlfn.TEXTJOIN(" | ",,Table1[[#This Row],[Region]],Table1[[#This Row],[Salesperson]])</f>
        <v>Dhaka | Nila</v>
      </c>
      <c r="P8" s="7" t="str">
        <f>_xlfn.TEXTJOIN("-",,Table1[[#This Row],[OrderID]],"BD")</f>
        <v>1008-BD</v>
      </c>
      <c r="Q8" s="7">
        <f>LEN(Table1[[#This Row],[Category]])</f>
        <v>11</v>
      </c>
      <c r="R8" s="7" t="str">
        <f>LEFT(Table1[[#This Row],[Salesperson]],1)</f>
        <v>N</v>
      </c>
    </row>
    <row r="9" spans="1:18" x14ac:dyDescent="0.25">
      <c r="A9" s="2">
        <v>1009</v>
      </c>
      <c r="B9" s="3">
        <v>46192</v>
      </c>
      <c r="C9" s="4" t="s">
        <v>29</v>
      </c>
      <c r="D9" s="4" t="s">
        <v>24</v>
      </c>
      <c r="E9" s="4" t="s">
        <v>12</v>
      </c>
      <c r="F9" s="4" t="s">
        <v>13</v>
      </c>
      <c r="G9" s="2">
        <v>3</v>
      </c>
      <c r="H9" s="5">
        <v>1291</v>
      </c>
      <c r="I9" s="2">
        <v>15</v>
      </c>
      <c r="J9" s="4" t="s">
        <v>19</v>
      </c>
      <c r="K9" t="s">
        <v>36</v>
      </c>
      <c r="L9" t="str">
        <f>_xlfn.TEXTJOIN(" - ",,Table1[[#This Row],[Product]],Table1[[#This Row],[Category]])</f>
        <v>Chair - Furniture</v>
      </c>
      <c r="M9" t="str">
        <f>_xlfn.TEXTBEFORE(Table1[[#This Row],[Product Info ]]," - ")</f>
        <v>Chair</v>
      </c>
      <c r="N9" t="str">
        <f>_xlfn.TEXTAFTER(Table1[[#This Row],[Product Info ]],"-")</f>
        <v xml:space="preserve"> Furniture</v>
      </c>
      <c r="O9" s="7" t="str">
        <f>_xlfn.TEXTJOIN(" | ",,Table1[[#This Row],[Region]],Table1[[#This Row],[Salesperson]])</f>
        <v>Chattogram | Mim</v>
      </c>
      <c r="P9" s="7" t="str">
        <f>_xlfn.TEXTJOIN("-",,Table1[[#This Row],[OrderID]],"BD")</f>
        <v>1009-BD</v>
      </c>
      <c r="Q9" s="7">
        <f>LEN(Table1[[#This Row],[Category]])</f>
        <v>9</v>
      </c>
      <c r="R9" s="7" t="str">
        <f>LEFT(Table1[[#This Row],[Salesperson]],1)</f>
        <v>M</v>
      </c>
    </row>
    <row r="10" spans="1:18" x14ac:dyDescent="0.25">
      <c r="A10" s="2">
        <v>1010</v>
      </c>
      <c r="B10" s="3">
        <v>46167</v>
      </c>
      <c r="C10" s="4" t="s">
        <v>29</v>
      </c>
      <c r="D10" s="4" t="s">
        <v>11</v>
      </c>
      <c r="E10" s="4" t="s">
        <v>17</v>
      </c>
      <c r="F10" s="4" t="s">
        <v>18</v>
      </c>
      <c r="G10" s="2">
        <v>3</v>
      </c>
      <c r="H10" s="5">
        <v>1332</v>
      </c>
      <c r="I10" s="2">
        <v>5</v>
      </c>
      <c r="J10" s="4" t="s">
        <v>27</v>
      </c>
      <c r="K10" t="s">
        <v>33</v>
      </c>
      <c r="L10" t="str">
        <f>_xlfn.TEXTJOIN(" - ",,Table1[[#This Row],[Product]],Table1[[#This Row],[Category]])</f>
        <v>Mouse - Electronics</v>
      </c>
      <c r="M10" t="str">
        <f>_xlfn.TEXTBEFORE(Table1[[#This Row],[Product Info ]]," - ")</f>
        <v>Mouse</v>
      </c>
      <c r="N10" t="str">
        <f>_xlfn.TEXTAFTER(Table1[[#This Row],[Product Info ]],"-")</f>
        <v xml:space="preserve"> Electronics</v>
      </c>
      <c r="O10" s="7" t="str">
        <f>_xlfn.TEXTJOIN(" | ",,Table1[[#This Row],[Region]],Table1[[#This Row],[Salesperson]])</f>
        <v>Chattogram | Ayan</v>
      </c>
      <c r="P10" s="7" t="str">
        <f>_xlfn.TEXTJOIN("-",,Table1[[#This Row],[OrderID]],"BD")</f>
        <v>1010-BD</v>
      </c>
      <c r="Q10" s="7">
        <f>LEN(Table1[[#This Row],[Category]])</f>
        <v>11</v>
      </c>
      <c r="R10" s="7" t="str">
        <f>LEFT(Table1[[#This Row],[Salesperson]],1)</f>
        <v>A</v>
      </c>
    </row>
    <row r="11" spans="1:18" x14ac:dyDescent="0.25">
      <c r="A11" s="2">
        <v>1011</v>
      </c>
      <c r="B11" s="3">
        <v>46090</v>
      </c>
      <c r="C11" s="4" t="s">
        <v>15</v>
      </c>
      <c r="D11" s="4" t="s">
        <v>16</v>
      </c>
      <c r="E11" s="4" t="s">
        <v>12</v>
      </c>
      <c r="F11" s="4" t="s">
        <v>13</v>
      </c>
      <c r="G11" s="2">
        <v>5</v>
      </c>
      <c r="H11" s="5">
        <v>1764</v>
      </c>
      <c r="I11" s="2">
        <v>10</v>
      </c>
      <c r="J11" s="4" t="s">
        <v>19</v>
      </c>
      <c r="K11" t="s">
        <v>34</v>
      </c>
      <c r="L11" t="str">
        <f>_xlfn.TEXTJOIN(" - ",,Table1[[#This Row],[Product]],Table1[[#This Row],[Category]])</f>
        <v>Chair - Furniture</v>
      </c>
      <c r="M11" t="str">
        <f>_xlfn.TEXTBEFORE(Table1[[#This Row],[Product Info ]]," - ")</f>
        <v>Chair</v>
      </c>
      <c r="N11" t="str">
        <f>_xlfn.TEXTAFTER(Table1[[#This Row],[Product Info ]],"-")</f>
        <v xml:space="preserve"> Furniture</v>
      </c>
      <c r="O11" s="7" t="str">
        <f>_xlfn.TEXTJOIN(" | ",,Table1[[#This Row],[Region]],Table1[[#This Row],[Salesperson]])</f>
        <v>Dhaka | Rafi</v>
      </c>
      <c r="P11" s="7" t="str">
        <f>_xlfn.TEXTJOIN("-",,Table1[[#This Row],[OrderID]],"BD")</f>
        <v>1011-BD</v>
      </c>
      <c r="Q11" s="7">
        <f>LEN(Table1[[#This Row],[Category]])</f>
        <v>9</v>
      </c>
      <c r="R11" s="7" t="str">
        <f>LEFT(Table1[[#This Row],[Salesperson]],1)</f>
        <v>R</v>
      </c>
    </row>
    <row r="12" spans="1:18" x14ac:dyDescent="0.25">
      <c r="A12" s="2">
        <v>1012</v>
      </c>
      <c r="B12" s="3">
        <v>46034</v>
      </c>
      <c r="C12" s="4" t="s">
        <v>10</v>
      </c>
      <c r="D12" s="4" t="s">
        <v>30</v>
      </c>
      <c r="E12" s="4" t="s">
        <v>12</v>
      </c>
      <c r="F12" s="4" t="s">
        <v>13</v>
      </c>
      <c r="G12" s="2">
        <v>3</v>
      </c>
      <c r="H12" s="5">
        <v>139</v>
      </c>
      <c r="I12" s="2">
        <v>10</v>
      </c>
      <c r="J12" s="4" t="s">
        <v>19</v>
      </c>
      <c r="K12" t="s">
        <v>38</v>
      </c>
      <c r="L12" t="str">
        <f>_xlfn.TEXTJOIN(" - ",,Table1[[#This Row],[Product]],Table1[[#This Row],[Category]])</f>
        <v>Chair - Furniture</v>
      </c>
      <c r="M12" t="str">
        <f>_xlfn.TEXTBEFORE(Table1[[#This Row],[Product Info ]]," - ")</f>
        <v>Chair</v>
      </c>
      <c r="N12" t="str">
        <f>_xlfn.TEXTAFTER(Table1[[#This Row],[Product Info ]],"-")</f>
        <v xml:space="preserve"> Furniture</v>
      </c>
      <c r="O12" s="7" t="str">
        <f>_xlfn.TEXTJOIN(" | ",,Table1[[#This Row],[Region]],Table1[[#This Row],[Salesperson]])</f>
        <v>Khulna | Sami</v>
      </c>
      <c r="P12" s="7" t="str">
        <f>_xlfn.TEXTJOIN("-",,Table1[[#This Row],[OrderID]],"BD")</f>
        <v>1012-BD</v>
      </c>
      <c r="Q12" s="7">
        <f>LEN(Table1[[#This Row],[Category]])</f>
        <v>9</v>
      </c>
      <c r="R12" s="7" t="str">
        <f>LEFT(Table1[[#This Row],[Salesperson]],1)</f>
        <v>S</v>
      </c>
    </row>
    <row r="13" spans="1:18" x14ac:dyDescent="0.25">
      <c r="A13" s="2">
        <v>1013</v>
      </c>
      <c r="B13" s="3">
        <v>46087</v>
      </c>
      <c r="C13" s="4" t="s">
        <v>29</v>
      </c>
      <c r="D13" s="4" t="s">
        <v>11</v>
      </c>
      <c r="E13" s="4" t="s">
        <v>31</v>
      </c>
      <c r="F13" s="4" t="s">
        <v>13</v>
      </c>
      <c r="G13" s="2">
        <v>8</v>
      </c>
      <c r="H13" s="5">
        <v>130</v>
      </c>
      <c r="I13" s="2">
        <v>10</v>
      </c>
      <c r="J13" s="4" t="s">
        <v>27</v>
      </c>
      <c r="K13" t="s">
        <v>33</v>
      </c>
      <c r="L13" t="str">
        <f>_xlfn.TEXTJOIN(" - ",,Table1[[#This Row],[Product]],Table1[[#This Row],[Category]])</f>
        <v>Desk - Furniture</v>
      </c>
      <c r="M13" t="str">
        <f>_xlfn.TEXTBEFORE(Table1[[#This Row],[Product Info ]]," - ")</f>
        <v>Desk</v>
      </c>
      <c r="N13" t="str">
        <f>_xlfn.TEXTAFTER(Table1[[#This Row],[Product Info ]],"-")</f>
        <v xml:space="preserve"> Furniture</v>
      </c>
      <c r="O13" s="7" t="str">
        <f>_xlfn.TEXTJOIN(" | ",,Table1[[#This Row],[Region]],Table1[[#This Row],[Salesperson]])</f>
        <v>Chattogram | Ayan</v>
      </c>
      <c r="P13" s="7" t="str">
        <f>_xlfn.TEXTJOIN("-",,Table1[[#This Row],[OrderID]],"BD")</f>
        <v>1013-BD</v>
      </c>
      <c r="Q13" s="7">
        <f>LEN(Table1[[#This Row],[Category]])</f>
        <v>9</v>
      </c>
      <c r="R13" s="7" t="str">
        <f>LEFT(Table1[[#This Row],[Salesperson]],1)</f>
        <v>A</v>
      </c>
    </row>
    <row r="14" spans="1:18" x14ac:dyDescent="0.25">
      <c r="A14" s="2">
        <v>1014</v>
      </c>
      <c r="B14" s="3">
        <v>46061</v>
      </c>
      <c r="C14" s="4" t="s">
        <v>15</v>
      </c>
      <c r="D14" s="4" t="s">
        <v>24</v>
      </c>
      <c r="E14" s="4" t="s">
        <v>12</v>
      </c>
      <c r="F14" s="4" t="s">
        <v>13</v>
      </c>
      <c r="G14" s="2">
        <v>10</v>
      </c>
      <c r="H14" s="5">
        <v>1571</v>
      </c>
      <c r="I14" s="2">
        <v>15</v>
      </c>
      <c r="J14" s="4" t="s">
        <v>19</v>
      </c>
      <c r="K14" t="s">
        <v>36</v>
      </c>
      <c r="L14" t="str">
        <f>_xlfn.TEXTJOIN(" - ",,Table1[[#This Row],[Product]],Table1[[#This Row],[Category]])</f>
        <v>Chair - Furniture</v>
      </c>
      <c r="M14" t="str">
        <f>_xlfn.TEXTBEFORE(Table1[[#This Row],[Product Info ]]," - ")</f>
        <v>Chair</v>
      </c>
      <c r="N14" t="str">
        <f>_xlfn.TEXTAFTER(Table1[[#This Row],[Product Info ]],"-")</f>
        <v xml:space="preserve"> Furniture</v>
      </c>
      <c r="O14" s="7" t="str">
        <f>_xlfn.TEXTJOIN(" | ",,Table1[[#This Row],[Region]],Table1[[#This Row],[Salesperson]])</f>
        <v>Dhaka | Mim</v>
      </c>
      <c r="P14" s="7" t="str">
        <f>_xlfn.TEXTJOIN("-",,Table1[[#This Row],[OrderID]],"BD")</f>
        <v>1014-BD</v>
      </c>
      <c r="Q14" s="7">
        <f>LEN(Table1[[#This Row],[Category]])</f>
        <v>9</v>
      </c>
      <c r="R14" s="7" t="str">
        <f>LEFT(Table1[[#This Row],[Salesperson]],1)</f>
        <v>M</v>
      </c>
    </row>
    <row r="15" spans="1:18" x14ac:dyDescent="0.25">
      <c r="A15" s="2">
        <v>1015</v>
      </c>
      <c r="B15" s="3">
        <v>46102</v>
      </c>
      <c r="C15" s="4" t="s">
        <v>29</v>
      </c>
      <c r="D15" s="4" t="s">
        <v>21</v>
      </c>
      <c r="E15" s="4" t="s">
        <v>12</v>
      </c>
      <c r="F15" s="4" t="s">
        <v>13</v>
      </c>
      <c r="G15" s="2">
        <v>3</v>
      </c>
      <c r="H15" s="5">
        <v>285</v>
      </c>
      <c r="I15" s="2">
        <v>0</v>
      </c>
      <c r="J15" s="4" t="s">
        <v>14</v>
      </c>
      <c r="K15" t="s">
        <v>35</v>
      </c>
      <c r="L15" t="str">
        <f>_xlfn.TEXTJOIN(" - ",,Table1[[#This Row],[Product]],Table1[[#This Row],[Category]])</f>
        <v>Chair - Furniture</v>
      </c>
      <c r="M15" t="str">
        <f>_xlfn.TEXTBEFORE(Table1[[#This Row],[Product Info ]]," - ")</f>
        <v>Chair</v>
      </c>
      <c r="N15" t="str">
        <f>_xlfn.TEXTAFTER(Table1[[#This Row],[Product Info ]],"-")</f>
        <v xml:space="preserve"> Furniture</v>
      </c>
      <c r="O15" s="7" t="str">
        <f>_xlfn.TEXTJOIN(" | ",,Table1[[#This Row],[Region]],Table1[[#This Row],[Salesperson]])</f>
        <v>Chattogram | Tanvir</v>
      </c>
      <c r="P15" s="7" t="str">
        <f>_xlfn.TEXTJOIN("-",,Table1[[#This Row],[OrderID]],"BD")</f>
        <v>1015-BD</v>
      </c>
      <c r="Q15" s="7">
        <f>LEN(Table1[[#This Row],[Category]])</f>
        <v>9</v>
      </c>
      <c r="R15" s="7" t="str">
        <f>LEFT(Table1[[#This Row],[Salesperson]],1)</f>
        <v>T</v>
      </c>
    </row>
    <row r="16" spans="1:18" x14ac:dyDescent="0.25">
      <c r="A16" s="2">
        <v>1016</v>
      </c>
      <c r="B16" s="3">
        <v>46169</v>
      </c>
      <c r="C16" s="4" t="s">
        <v>10</v>
      </c>
      <c r="D16" s="4" t="s">
        <v>16</v>
      </c>
      <c r="E16" s="4" t="s">
        <v>12</v>
      </c>
      <c r="F16" s="4" t="s">
        <v>13</v>
      </c>
      <c r="G16" s="2">
        <v>3</v>
      </c>
      <c r="H16" s="5">
        <v>1228</v>
      </c>
      <c r="I16" s="2">
        <v>0</v>
      </c>
      <c r="J16" s="4" t="s">
        <v>19</v>
      </c>
      <c r="K16" t="s">
        <v>34</v>
      </c>
      <c r="L16" t="str">
        <f>_xlfn.TEXTJOIN(" - ",,Table1[[#This Row],[Product]],Table1[[#This Row],[Category]])</f>
        <v>Chair - Furniture</v>
      </c>
      <c r="M16" t="str">
        <f>_xlfn.TEXTBEFORE(Table1[[#This Row],[Product Info ]]," - ")</f>
        <v>Chair</v>
      </c>
      <c r="N16" t="str">
        <f>_xlfn.TEXTAFTER(Table1[[#This Row],[Product Info ]],"-")</f>
        <v xml:space="preserve"> Furniture</v>
      </c>
      <c r="O16" s="7" t="str">
        <f>_xlfn.TEXTJOIN(" | ",,Table1[[#This Row],[Region]],Table1[[#This Row],[Salesperson]])</f>
        <v>Khulna | Rafi</v>
      </c>
      <c r="P16" s="7" t="str">
        <f>_xlfn.TEXTJOIN("-",,Table1[[#This Row],[OrderID]],"BD")</f>
        <v>1016-BD</v>
      </c>
      <c r="Q16" s="7">
        <f>LEN(Table1[[#This Row],[Category]])</f>
        <v>9</v>
      </c>
      <c r="R16" s="7" t="str">
        <f>LEFT(Table1[[#This Row],[Salesperson]],1)</f>
        <v>R</v>
      </c>
    </row>
    <row r="17" spans="1:18" x14ac:dyDescent="0.25">
      <c r="A17" s="2">
        <v>1017</v>
      </c>
      <c r="B17" s="3">
        <v>46101</v>
      </c>
      <c r="C17" s="4" t="s">
        <v>10</v>
      </c>
      <c r="D17" s="4" t="s">
        <v>21</v>
      </c>
      <c r="E17" s="4" t="s">
        <v>17</v>
      </c>
      <c r="F17" s="4" t="s">
        <v>18</v>
      </c>
      <c r="G17" s="2">
        <v>9</v>
      </c>
      <c r="H17" s="5">
        <v>1797</v>
      </c>
      <c r="I17" s="2">
        <v>15</v>
      </c>
      <c r="J17" s="4" t="s">
        <v>27</v>
      </c>
      <c r="K17" t="s">
        <v>35</v>
      </c>
      <c r="L17" t="str">
        <f>_xlfn.TEXTJOIN(" - ",,Table1[[#This Row],[Product]],Table1[[#This Row],[Category]])</f>
        <v>Mouse - Electronics</v>
      </c>
      <c r="M17" t="str">
        <f>_xlfn.TEXTBEFORE(Table1[[#This Row],[Product Info ]]," - ")</f>
        <v>Mouse</v>
      </c>
      <c r="N17" t="str">
        <f>_xlfn.TEXTAFTER(Table1[[#This Row],[Product Info ]],"-")</f>
        <v xml:space="preserve"> Electronics</v>
      </c>
      <c r="O17" s="7" t="str">
        <f>_xlfn.TEXTJOIN(" | ",,Table1[[#This Row],[Region]],Table1[[#This Row],[Salesperson]])</f>
        <v>Khulna | Tanvir</v>
      </c>
      <c r="P17" s="7" t="str">
        <f>_xlfn.TEXTJOIN("-",,Table1[[#This Row],[OrderID]],"BD")</f>
        <v>1017-BD</v>
      </c>
      <c r="Q17" s="7">
        <f>LEN(Table1[[#This Row],[Category]])</f>
        <v>11</v>
      </c>
      <c r="R17" s="7" t="str">
        <f>LEFT(Table1[[#This Row],[Salesperson]],1)</f>
        <v>T</v>
      </c>
    </row>
    <row r="18" spans="1:18" x14ac:dyDescent="0.25">
      <c r="A18" s="2">
        <v>1018</v>
      </c>
      <c r="B18" s="3">
        <v>46144</v>
      </c>
      <c r="C18" s="4" t="s">
        <v>20</v>
      </c>
      <c r="D18" s="4" t="s">
        <v>24</v>
      </c>
      <c r="E18" s="4" t="s">
        <v>31</v>
      </c>
      <c r="F18" s="4" t="s">
        <v>13</v>
      </c>
      <c r="G18" s="2">
        <v>5</v>
      </c>
      <c r="H18" s="5">
        <v>537</v>
      </c>
      <c r="I18" s="2">
        <v>15</v>
      </c>
      <c r="J18" s="4" t="s">
        <v>27</v>
      </c>
      <c r="K18" t="s">
        <v>36</v>
      </c>
      <c r="L18" t="str">
        <f>_xlfn.TEXTJOIN(" - ",,Table1[[#This Row],[Product]],Table1[[#This Row],[Category]])</f>
        <v>Desk - Furniture</v>
      </c>
      <c r="M18" t="str">
        <f>_xlfn.TEXTBEFORE(Table1[[#This Row],[Product Info ]]," - ")</f>
        <v>Desk</v>
      </c>
      <c r="N18" t="str">
        <f>_xlfn.TEXTAFTER(Table1[[#This Row],[Product Info ]],"-")</f>
        <v xml:space="preserve"> Furniture</v>
      </c>
      <c r="O18" s="7" t="str">
        <f>_xlfn.TEXTJOIN(" | ",,Table1[[#This Row],[Region]],Table1[[#This Row],[Salesperson]])</f>
        <v>Rajshahi | Mim</v>
      </c>
      <c r="P18" s="7" t="str">
        <f>_xlfn.TEXTJOIN("-",,Table1[[#This Row],[OrderID]],"BD")</f>
        <v>1018-BD</v>
      </c>
      <c r="Q18" s="7">
        <f>LEN(Table1[[#This Row],[Category]])</f>
        <v>9</v>
      </c>
      <c r="R18" s="7" t="str">
        <f>LEFT(Table1[[#This Row],[Salesperson]],1)</f>
        <v>M</v>
      </c>
    </row>
    <row r="19" spans="1:18" x14ac:dyDescent="0.25">
      <c r="A19" s="2">
        <v>1019</v>
      </c>
      <c r="B19" s="3">
        <v>46046</v>
      </c>
      <c r="C19" s="4" t="s">
        <v>20</v>
      </c>
      <c r="D19" s="4" t="s">
        <v>11</v>
      </c>
      <c r="E19" s="4" t="s">
        <v>17</v>
      </c>
      <c r="F19" s="4" t="s">
        <v>18</v>
      </c>
      <c r="G19" s="2">
        <v>8</v>
      </c>
      <c r="H19" s="5">
        <v>1454</v>
      </c>
      <c r="I19" s="2">
        <v>5</v>
      </c>
      <c r="J19" s="4" t="s">
        <v>19</v>
      </c>
      <c r="K19" t="s">
        <v>33</v>
      </c>
      <c r="L19" t="str">
        <f>_xlfn.TEXTJOIN(" - ",,Table1[[#This Row],[Product]],Table1[[#This Row],[Category]])</f>
        <v>Mouse - Electronics</v>
      </c>
      <c r="M19" t="str">
        <f>_xlfn.TEXTBEFORE(Table1[[#This Row],[Product Info ]]," - ")</f>
        <v>Mouse</v>
      </c>
      <c r="N19" t="str">
        <f>_xlfn.TEXTAFTER(Table1[[#This Row],[Product Info ]],"-")</f>
        <v xml:space="preserve"> Electronics</v>
      </c>
      <c r="O19" s="7" t="str">
        <f>_xlfn.TEXTJOIN(" | ",,Table1[[#This Row],[Region]],Table1[[#This Row],[Salesperson]])</f>
        <v>Rajshahi | Ayan</v>
      </c>
      <c r="P19" s="7" t="str">
        <f>_xlfn.TEXTJOIN("-",,Table1[[#This Row],[OrderID]],"BD")</f>
        <v>1019-BD</v>
      </c>
      <c r="Q19" s="7">
        <f>LEN(Table1[[#This Row],[Category]])</f>
        <v>11</v>
      </c>
      <c r="R19" s="7" t="str">
        <f>LEFT(Table1[[#This Row],[Salesperson]],1)</f>
        <v>A</v>
      </c>
    </row>
    <row r="20" spans="1:18" x14ac:dyDescent="0.25">
      <c r="A20" s="2">
        <v>1020</v>
      </c>
      <c r="B20" s="3">
        <v>46125</v>
      </c>
      <c r="C20" s="4" t="s">
        <v>20</v>
      </c>
      <c r="D20" s="4" t="s">
        <v>21</v>
      </c>
      <c r="E20" s="4" t="s">
        <v>12</v>
      </c>
      <c r="F20" s="4" t="s">
        <v>13</v>
      </c>
      <c r="G20" s="2">
        <v>3</v>
      </c>
      <c r="H20" s="5">
        <v>1365</v>
      </c>
      <c r="I20" s="2">
        <v>10</v>
      </c>
      <c r="J20" s="4" t="s">
        <v>27</v>
      </c>
      <c r="K20" t="s">
        <v>35</v>
      </c>
      <c r="L20" t="str">
        <f>_xlfn.TEXTJOIN(" - ",,Table1[[#This Row],[Product]],Table1[[#This Row],[Category]])</f>
        <v>Chair - Furniture</v>
      </c>
      <c r="M20" t="str">
        <f>_xlfn.TEXTBEFORE(Table1[[#This Row],[Product Info ]]," - ")</f>
        <v>Chair</v>
      </c>
      <c r="N20" t="str">
        <f>_xlfn.TEXTAFTER(Table1[[#This Row],[Product Info ]],"-")</f>
        <v xml:space="preserve"> Furniture</v>
      </c>
      <c r="O20" s="7" t="str">
        <f>_xlfn.TEXTJOIN(" | ",,Table1[[#This Row],[Region]],Table1[[#This Row],[Salesperson]])</f>
        <v>Rajshahi | Tanvir</v>
      </c>
      <c r="P20" s="7" t="str">
        <f>_xlfn.TEXTJOIN("-",,Table1[[#This Row],[OrderID]],"BD")</f>
        <v>1020-BD</v>
      </c>
      <c r="Q20" s="7">
        <f>LEN(Table1[[#This Row],[Category]])</f>
        <v>9</v>
      </c>
      <c r="R20" s="7" t="str">
        <f>LEFT(Table1[[#This Row],[Salesperson]],1)</f>
        <v>T</v>
      </c>
    </row>
    <row r="21" spans="1:18" x14ac:dyDescent="0.25">
      <c r="A21" s="2">
        <v>1021</v>
      </c>
      <c r="B21" s="3">
        <v>46118</v>
      </c>
      <c r="C21" s="4" t="s">
        <v>20</v>
      </c>
      <c r="D21" s="4" t="s">
        <v>24</v>
      </c>
      <c r="E21" s="4" t="s">
        <v>17</v>
      </c>
      <c r="F21" s="4" t="s">
        <v>18</v>
      </c>
      <c r="G21" s="2">
        <v>9</v>
      </c>
      <c r="H21" s="5">
        <v>231</v>
      </c>
      <c r="I21" s="2">
        <v>15</v>
      </c>
      <c r="J21" s="4" t="s">
        <v>27</v>
      </c>
      <c r="K21" t="s">
        <v>36</v>
      </c>
      <c r="L21" t="str">
        <f>_xlfn.TEXTJOIN(" - ",,Table1[[#This Row],[Product]],Table1[[#This Row],[Category]])</f>
        <v>Mouse - Electronics</v>
      </c>
      <c r="M21" t="str">
        <f>_xlfn.TEXTBEFORE(Table1[[#This Row],[Product Info ]]," - ")</f>
        <v>Mouse</v>
      </c>
      <c r="N21" t="str">
        <f>_xlfn.TEXTAFTER(Table1[[#This Row],[Product Info ]],"-")</f>
        <v xml:space="preserve"> Electronics</v>
      </c>
      <c r="O21" s="7" t="str">
        <f>_xlfn.TEXTJOIN(" | ",,Table1[[#This Row],[Region]],Table1[[#This Row],[Salesperson]])</f>
        <v>Rajshahi | Mim</v>
      </c>
      <c r="P21" s="7" t="str">
        <f>_xlfn.TEXTJOIN("-",,Table1[[#This Row],[OrderID]],"BD")</f>
        <v>1021-BD</v>
      </c>
      <c r="Q21" s="7">
        <f>LEN(Table1[[#This Row],[Category]])</f>
        <v>11</v>
      </c>
      <c r="R21" s="7" t="str">
        <f>LEFT(Table1[[#This Row],[Salesperson]],1)</f>
        <v>M</v>
      </c>
    </row>
    <row r="22" spans="1:18" x14ac:dyDescent="0.25">
      <c r="A22" s="2">
        <v>1022</v>
      </c>
      <c r="B22" s="3">
        <v>46166</v>
      </c>
      <c r="C22" s="4" t="s">
        <v>20</v>
      </c>
      <c r="D22" s="4" t="s">
        <v>24</v>
      </c>
      <c r="E22" s="4" t="s">
        <v>26</v>
      </c>
      <c r="F22" s="4" t="s">
        <v>23</v>
      </c>
      <c r="G22" s="2">
        <v>8</v>
      </c>
      <c r="H22" s="5">
        <v>1171</v>
      </c>
      <c r="I22" s="2">
        <v>15</v>
      </c>
      <c r="J22" s="4" t="s">
        <v>19</v>
      </c>
      <c r="K22" t="s">
        <v>36</v>
      </c>
      <c r="L22" t="str">
        <f>_xlfn.TEXTJOIN(" - ",,Table1[[#This Row],[Product]],Table1[[#This Row],[Category]])</f>
        <v>Pen - Stationery</v>
      </c>
      <c r="M22" t="str">
        <f>_xlfn.TEXTBEFORE(Table1[[#This Row],[Product Info ]]," - ")</f>
        <v>Pen</v>
      </c>
      <c r="N22" t="str">
        <f>_xlfn.TEXTAFTER(Table1[[#This Row],[Product Info ]],"-")</f>
        <v xml:space="preserve"> Stationery</v>
      </c>
      <c r="O22" s="7" t="str">
        <f>_xlfn.TEXTJOIN(" | ",,Table1[[#This Row],[Region]],Table1[[#This Row],[Salesperson]])</f>
        <v>Rajshahi | Mim</v>
      </c>
      <c r="P22" s="7" t="str">
        <f>_xlfn.TEXTJOIN("-",,Table1[[#This Row],[OrderID]],"BD")</f>
        <v>1022-BD</v>
      </c>
      <c r="Q22" s="7">
        <f>LEN(Table1[[#This Row],[Category]])</f>
        <v>10</v>
      </c>
      <c r="R22" s="7" t="str">
        <f>LEFT(Table1[[#This Row],[Salesperson]],1)</f>
        <v>M</v>
      </c>
    </row>
    <row r="23" spans="1:18" x14ac:dyDescent="0.25">
      <c r="A23" s="2">
        <v>1023</v>
      </c>
      <c r="B23" s="3">
        <v>46184</v>
      </c>
      <c r="C23" s="4" t="s">
        <v>15</v>
      </c>
      <c r="D23" s="4" t="s">
        <v>21</v>
      </c>
      <c r="E23" s="4" t="s">
        <v>22</v>
      </c>
      <c r="F23" s="4" t="s">
        <v>23</v>
      </c>
      <c r="G23" s="2">
        <v>6</v>
      </c>
      <c r="H23" s="5">
        <v>529</v>
      </c>
      <c r="I23" s="2">
        <v>10</v>
      </c>
      <c r="J23" s="4" t="s">
        <v>19</v>
      </c>
      <c r="K23" t="s">
        <v>35</v>
      </c>
      <c r="L23" t="str">
        <f>_xlfn.TEXTJOIN(" - ",,Table1[[#This Row],[Product]],Table1[[#This Row],[Category]])</f>
        <v>Notebook - Stationery</v>
      </c>
      <c r="M23" t="str">
        <f>_xlfn.TEXTBEFORE(Table1[[#This Row],[Product Info ]]," - ")</f>
        <v>Notebook</v>
      </c>
      <c r="N23" t="str">
        <f>_xlfn.TEXTAFTER(Table1[[#This Row],[Product Info ]],"-")</f>
        <v xml:space="preserve"> Stationery</v>
      </c>
      <c r="O23" s="7" t="str">
        <f>_xlfn.TEXTJOIN(" | ",,Table1[[#This Row],[Region]],Table1[[#This Row],[Salesperson]])</f>
        <v>Dhaka | Tanvir</v>
      </c>
      <c r="P23" s="7" t="str">
        <f>_xlfn.TEXTJOIN("-",,Table1[[#This Row],[OrderID]],"BD")</f>
        <v>1023-BD</v>
      </c>
      <c r="Q23" s="7">
        <f>LEN(Table1[[#This Row],[Category]])</f>
        <v>10</v>
      </c>
      <c r="R23" s="7" t="str">
        <f>LEFT(Table1[[#This Row],[Salesperson]],1)</f>
        <v>T</v>
      </c>
    </row>
    <row r="24" spans="1:18" x14ac:dyDescent="0.25">
      <c r="A24" s="2">
        <v>1024</v>
      </c>
      <c r="B24" s="3">
        <v>46100</v>
      </c>
      <c r="C24" s="4" t="s">
        <v>15</v>
      </c>
      <c r="D24" s="4" t="s">
        <v>21</v>
      </c>
      <c r="E24" s="4" t="s">
        <v>12</v>
      </c>
      <c r="F24" s="4" t="s">
        <v>13</v>
      </c>
      <c r="G24" s="2">
        <v>5</v>
      </c>
      <c r="H24" s="5">
        <v>1578</v>
      </c>
      <c r="I24" s="2">
        <v>15</v>
      </c>
      <c r="J24" s="4" t="s">
        <v>27</v>
      </c>
      <c r="K24" t="s">
        <v>35</v>
      </c>
      <c r="L24" t="str">
        <f>_xlfn.TEXTJOIN(" - ",,Table1[[#This Row],[Product]],Table1[[#This Row],[Category]])</f>
        <v>Chair - Furniture</v>
      </c>
      <c r="M24" t="str">
        <f>_xlfn.TEXTBEFORE(Table1[[#This Row],[Product Info ]]," - ")</f>
        <v>Chair</v>
      </c>
      <c r="N24" t="str">
        <f>_xlfn.TEXTAFTER(Table1[[#This Row],[Product Info ]],"-")</f>
        <v xml:space="preserve"> Furniture</v>
      </c>
      <c r="O24" s="7" t="str">
        <f>_xlfn.TEXTJOIN(" | ",,Table1[[#This Row],[Region]],Table1[[#This Row],[Salesperson]])</f>
        <v>Dhaka | Tanvir</v>
      </c>
      <c r="P24" s="7" t="str">
        <f>_xlfn.TEXTJOIN("-",,Table1[[#This Row],[OrderID]],"BD")</f>
        <v>1024-BD</v>
      </c>
      <c r="Q24" s="7">
        <f>LEN(Table1[[#This Row],[Category]])</f>
        <v>9</v>
      </c>
      <c r="R24" s="7" t="str">
        <f>LEFT(Table1[[#This Row],[Salesperson]],1)</f>
        <v>T</v>
      </c>
    </row>
    <row r="25" spans="1:18" x14ac:dyDescent="0.25">
      <c r="A25" s="2">
        <v>1025</v>
      </c>
      <c r="B25" s="3">
        <v>46142</v>
      </c>
      <c r="C25" s="4" t="s">
        <v>10</v>
      </c>
      <c r="D25" s="4" t="s">
        <v>16</v>
      </c>
      <c r="E25" s="4" t="s">
        <v>12</v>
      </c>
      <c r="F25" s="4" t="s">
        <v>13</v>
      </c>
      <c r="G25" s="2">
        <v>1</v>
      </c>
      <c r="H25" s="5">
        <v>1953</v>
      </c>
      <c r="I25" s="2">
        <v>5</v>
      </c>
      <c r="J25" s="4" t="s">
        <v>19</v>
      </c>
      <c r="K25" t="s">
        <v>34</v>
      </c>
      <c r="L25" t="str">
        <f>_xlfn.TEXTJOIN(" - ",,Table1[[#This Row],[Product]],Table1[[#This Row],[Category]])</f>
        <v>Chair - Furniture</v>
      </c>
      <c r="M25" t="str">
        <f>_xlfn.TEXTBEFORE(Table1[[#This Row],[Product Info ]]," - ")</f>
        <v>Chair</v>
      </c>
      <c r="N25" t="str">
        <f>_xlfn.TEXTAFTER(Table1[[#This Row],[Product Info ]],"-")</f>
        <v xml:space="preserve"> Furniture</v>
      </c>
      <c r="O25" s="7" t="str">
        <f>_xlfn.TEXTJOIN(" | ",,Table1[[#This Row],[Region]],Table1[[#This Row],[Salesperson]])</f>
        <v>Khulna | Rafi</v>
      </c>
      <c r="P25" s="7" t="str">
        <f>_xlfn.TEXTJOIN("-",,Table1[[#This Row],[OrderID]],"BD")</f>
        <v>1025-BD</v>
      </c>
      <c r="Q25" s="7">
        <f>LEN(Table1[[#This Row],[Category]])</f>
        <v>9</v>
      </c>
      <c r="R25" s="7" t="str">
        <f>LEFT(Table1[[#This Row],[Salesperson]],1)</f>
        <v>R</v>
      </c>
    </row>
    <row r="26" spans="1:18" x14ac:dyDescent="0.25">
      <c r="A26" s="2">
        <v>1026</v>
      </c>
      <c r="B26" s="3">
        <v>46195</v>
      </c>
      <c r="C26" s="4" t="s">
        <v>15</v>
      </c>
      <c r="D26" s="4" t="s">
        <v>21</v>
      </c>
      <c r="E26" s="4" t="s">
        <v>31</v>
      </c>
      <c r="F26" s="4" t="s">
        <v>13</v>
      </c>
      <c r="G26" s="2">
        <v>4</v>
      </c>
      <c r="H26" s="5">
        <v>1360</v>
      </c>
      <c r="I26" s="2">
        <v>15</v>
      </c>
      <c r="J26" s="4" t="s">
        <v>14</v>
      </c>
      <c r="K26" t="s">
        <v>35</v>
      </c>
      <c r="L26" t="str">
        <f>_xlfn.TEXTJOIN(" - ",,Table1[[#This Row],[Product]],Table1[[#This Row],[Category]])</f>
        <v>Desk - Furniture</v>
      </c>
      <c r="M26" t="str">
        <f>_xlfn.TEXTBEFORE(Table1[[#This Row],[Product Info ]]," - ")</f>
        <v>Desk</v>
      </c>
      <c r="N26" t="str">
        <f>_xlfn.TEXTAFTER(Table1[[#This Row],[Product Info ]],"-")</f>
        <v xml:space="preserve"> Furniture</v>
      </c>
      <c r="O26" s="7" t="str">
        <f>_xlfn.TEXTJOIN(" | ",,Table1[[#This Row],[Region]],Table1[[#This Row],[Salesperson]])</f>
        <v>Dhaka | Tanvir</v>
      </c>
      <c r="P26" s="7" t="str">
        <f>_xlfn.TEXTJOIN("-",,Table1[[#This Row],[OrderID]],"BD")</f>
        <v>1026-BD</v>
      </c>
      <c r="Q26" s="7">
        <f>LEN(Table1[[#This Row],[Category]])</f>
        <v>9</v>
      </c>
      <c r="R26" s="7" t="str">
        <f>LEFT(Table1[[#This Row],[Salesperson]],1)</f>
        <v>T</v>
      </c>
    </row>
    <row r="27" spans="1:18" x14ac:dyDescent="0.25">
      <c r="A27" s="2">
        <v>1027</v>
      </c>
      <c r="B27" s="3">
        <v>46135</v>
      </c>
      <c r="C27" s="4" t="s">
        <v>29</v>
      </c>
      <c r="D27" s="4" t="s">
        <v>28</v>
      </c>
      <c r="E27" s="4" t="s">
        <v>17</v>
      </c>
      <c r="F27" s="4" t="s">
        <v>18</v>
      </c>
      <c r="G27" s="2">
        <v>3</v>
      </c>
      <c r="H27" s="5">
        <v>1195</v>
      </c>
      <c r="I27" s="2">
        <v>10</v>
      </c>
      <c r="J27" s="4" t="s">
        <v>14</v>
      </c>
      <c r="K27" t="s">
        <v>37</v>
      </c>
      <c r="L27" t="str">
        <f>_xlfn.TEXTJOIN(" - ",,Table1[[#This Row],[Product]],Table1[[#This Row],[Category]])</f>
        <v>Mouse - Electronics</v>
      </c>
      <c r="M27" t="str">
        <f>_xlfn.TEXTBEFORE(Table1[[#This Row],[Product Info ]]," - ")</f>
        <v>Mouse</v>
      </c>
      <c r="N27" t="str">
        <f>_xlfn.TEXTAFTER(Table1[[#This Row],[Product Info ]],"-")</f>
        <v xml:space="preserve"> Electronics</v>
      </c>
      <c r="O27" s="7" t="str">
        <f>_xlfn.TEXTJOIN(" | ",,Table1[[#This Row],[Region]],Table1[[#This Row],[Salesperson]])</f>
        <v>Chattogram | Nila</v>
      </c>
      <c r="P27" s="7" t="str">
        <f>_xlfn.TEXTJOIN("-",,Table1[[#This Row],[OrderID]],"BD")</f>
        <v>1027-BD</v>
      </c>
      <c r="Q27" s="7">
        <f>LEN(Table1[[#This Row],[Category]])</f>
        <v>11</v>
      </c>
      <c r="R27" s="7" t="str">
        <f>LEFT(Table1[[#This Row],[Salesperson]],1)</f>
        <v>N</v>
      </c>
    </row>
    <row r="28" spans="1:18" x14ac:dyDescent="0.25">
      <c r="A28" s="2">
        <v>1028</v>
      </c>
      <c r="B28" s="3">
        <v>46058</v>
      </c>
      <c r="C28" s="4" t="s">
        <v>10</v>
      </c>
      <c r="D28" s="4" t="s">
        <v>11</v>
      </c>
      <c r="E28" s="4" t="s">
        <v>12</v>
      </c>
      <c r="F28" s="4" t="s">
        <v>13</v>
      </c>
      <c r="G28" s="2">
        <v>8</v>
      </c>
      <c r="H28" s="5">
        <v>1103</v>
      </c>
      <c r="I28" s="2">
        <v>0</v>
      </c>
      <c r="J28" s="4" t="s">
        <v>14</v>
      </c>
      <c r="K28" t="s">
        <v>33</v>
      </c>
      <c r="L28" t="str">
        <f>_xlfn.TEXTJOIN(" - ",,Table1[[#This Row],[Product]],Table1[[#This Row],[Category]])</f>
        <v>Chair - Furniture</v>
      </c>
      <c r="M28" t="str">
        <f>_xlfn.TEXTBEFORE(Table1[[#This Row],[Product Info ]]," - ")</f>
        <v>Chair</v>
      </c>
      <c r="N28" t="str">
        <f>_xlfn.TEXTAFTER(Table1[[#This Row],[Product Info ]],"-")</f>
        <v xml:space="preserve"> Furniture</v>
      </c>
      <c r="O28" s="7" t="str">
        <f>_xlfn.TEXTJOIN(" | ",,Table1[[#This Row],[Region]],Table1[[#This Row],[Salesperson]])</f>
        <v>Khulna | Ayan</v>
      </c>
      <c r="P28" s="7" t="str">
        <f>_xlfn.TEXTJOIN("-",,Table1[[#This Row],[OrderID]],"BD")</f>
        <v>1028-BD</v>
      </c>
      <c r="Q28" s="7">
        <f>LEN(Table1[[#This Row],[Category]])</f>
        <v>9</v>
      </c>
      <c r="R28" s="7" t="str">
        <f>LEFT(Table1[[#This Row],[Salesperson]],1)</f>
        <v>A</v>
      </c>
    </row>
    <row r="29" spans="1:18" x14ac:dyDescent="0.25">
      <c r="A29" s="2">
        <v>1029</v>
      </c>
      <c r="B29" s="3">
        <v>46046</v>
      </c>
      <c r="C29" s="4" t="s">
        <v>29</v>
      </c>
      <c r="D29" s="4" t="s">
        <v>28</v>
      </c>
      <c r="E29" s="4" t="s">
        <v>31</v>
      </c>
      <c r="F29" s="4" t="s">
        <v>13</v>
      </c>
      <c r="G29" s="2">
        <v>10</v>
      </c>
      <c r="H29" s="5">
        <v>1244</v>
      </c>
      <c r="I29" s="2">
        <v>15</v>
      </c>
      <c r="J29" s="4" t="s">
        <v>19</v>
      </c>
      <c r="K29" t="s">
        <v>37</v>
      </c>
      <c r="L29" t="str">
        <f>_xlfn.TEXTJOIN(" - ",,Table1[[#This Row],[Product]],Table1[[#This Row],[Category]])</f>
        <v>Desk - Furniture</v>
      </c>
      <c r="M29" t="str">
        <f>_xlfn.TEXTBEFORE(Table1[[#This Row],[Product Info ]]," - ")</f>
        <v>Desk</v>
      </c>
      <c r="N29" t="str">
        <f>_xlfn.TEXTAFTER(Table1[[#This Row],[Product Info ]],"-")</f>
        <v xml:space="preserve"> Furniture</v>
      </c>
      <c r="O29" s="7" t="str">
        <f>_xlfn.TEXTJOIN(" | ",,Table1[[#This Row],[Region]],Table1[[#This Row],[Salesperson]])</f>
        <v>Chattogram | Nila</v>
      </c>
      <c r="P29" s="7" t="str">
        <f>_xlfn.TEXTJOIN("-",,Table1[[#This Row],[OrderID]],"BD")</f>
        <v>1029-BD</v>
      </c>
      <c r="Q29" s="7">
        <f>LEN(Table1[[#This Row],[Category]])</f>
        <v>9</v>
      </c>
      <c r="R29" s="7" t="str">
        <f>LEFT(Table1[[#This Row],[Salesperson]],1)</f>
        <v>N</v>
      </c>
    </row>
    <row r="30" spans="1:18" x14ac:dyDescent="0.25">
      <c r="A30" s="2">
        <v>1030</v>
      </c>
      <c r="B30" s="3">
        <v>46067</v>
      </c>
      <c r="C30" s="4" t="s">
        <v>10</v>
      </c>
      <c r="D30" s="4" t="s">
        <v>21</v>
      </c>
      <c r="E30" s="4" t="s">
        <v>26</v>
      </c>
      <c r="F30" s="4" t="s">
        <v>23</v>
      </c>
      <c r="G30" s="2">
        <v>2</v>
      </c>
      <c r="H30" s="5">
        <v>1531</v>
      </c>
      <c r="I30" s="2">
        <v>0</v>
      </c>
      <c r="J30" s="4" t="s">
        <v>27</v>
      </c>
      <c r="K30" t="s">
        <v>35</v>
      </c>
      <c r="L30" t="str">
        <f>_xlfn.TEXTJOIN(" - ",,Table1[[#This Row],[Product]],Table1[[#This Row],[Category]])</f>
        <v>Pen - Stationery</v>
      </c>
      <c r="M30" t="str">
        <f>_xlfn.TEXTBEFORE(Table1[[#This Row],[Product Info ]]," - ")</f>
        <v>Pen</v>
      </c>
      <c r="N30" t="str">
        <f>_xlfn.TEXTAFTER(Table1[[#This Row],[Product Info ]],"-")</f>
        <v xml:space="preserve"> Stationery</v>
      </c>
      <c r="O30" s="7" t="str">
        <f>_xlfn.TEXTJOIN(" | ",,Table1[[#This Row],[Region]],Table1[[#This Row],[Salesperson]])</f>
        <v>Khulna | Tanvir</v>
      </c>
      <c r="P30" s="7" t="str">
        <f>_xlfn.TEXTJOIN("-",,Table1[[#This Row],[OrderID]],"BD")</f>
        <v>1030-BD</v>
      </c>
      <c r="Q30" s="7">
        <f>LEN(Table1[[#This Row],[Category]])</f>
        <v>10</v>
      </c>
      <c r="R30" s="7" t="str">
        <f>LEFT(Table1[[#This Row],[Salesperson]],1)</f>
        <v>T</v>
      </c>
    </row>
    <row r="31" spans="1:18" x14ac:dyDescent="0.25">
      <c r="A31" s="2">
        <v>1031</v>
      </c>
      <c r="B31" s="3">
        <v>46134</v>
      </c>
      <c r="C31" s="4" t="s">
        <v>29</v>
      </c>
      <c r="D31" s="4" t="s">
        <v>24</v>
      </c>
      <c r="E31" s="4" t="s">
        <v>22</v>
      </c>
      <c r="F31" s="4" t="s">
        <v>23</v>
      </c>
      <c r="G31" s="2">
        <v>8</v>
      </c>
      <c r="H31" s="5">
        <v>550</v>
      </c>
      <c r="I31" s="2">
        <v>10</v>
      </c>
      <c r="J31" s="4" t="s">
        <v>19</v>
      </c>
      <c r="K31" t="s">
        <v>36</v>
      </c>
      <c r="L31" t="str">
        <f>_xlfn.TEXTJOIN(" - ",,Table1[[#This Row],[Product]],Table1[[#This Row],[Category]])</f>
        <v>Notebook - Stationery</v>
      </c>
      <c r="M31" t="str">
        <f>_xlfn.TEXTBEFORE(Table1[[#This Row],[Product Info ]]," - ")</f>
        <v>Notebook</v>
      </c>
      <c r="N31" t="str">
        <f>_xlfn.TEXTAFTER(Table1[[#This Row],[Product Info ]],"-")</f>
        <v xml:space="preserve"> Stationery</v>
      </c>
      <c r="O31" s="7" t="str">
        <f>_xlfn.TEXTJOIN(" | ",,Table1[[#This Row],[Region]],Table1[[#This Row],[Salesperson]])</f>
        <v>Chattogram | Mim</v>
      </c>
      <c r="P31" s="7" t="str">
        <f>_xlfn.TEXTJOIN("-",,Table1[[#This Row],[OrderID]],"BD")</f>
        <v>1031-BD</v>
      </c>
      <c r="Q31" s="7">
        <f>LEN(Table1[[#This Row],[Category]])</f>
        <v>10</v>
      </c>
      <c r="R31" s="7" t="str">
        <f>LEFT(Table1[[#This Row],[Salesperson]],1)</f>
        <v>M</v>
      </c>
    </row>
    <row r="32" spans="1:18" x14ac:dyDescent="0.25">
      <c r="A32" s="2">
        <v>1032</v>
      </c>
      <c r="B32" s="3">
        <v>46121</v>
      </c>
      <c r="C32" s="4" t="s">
        <v>20</v>
      </c>
      <c r="D32" s="4" t="s">
        <v>30</v>
      </c>
      <c r="E32" s="4" t="s">
        <v>25</v>
      </c>
      <c r="F32" s="4" t="s">
        <v>18</v>
      </c>
      <c r="G32" s="2">
        <v>5</v>
      </c>
      <c r="H32" s="5">
        <v>758</v>
      </c>
      <c r="I32" s="2">
        <v>10</v>
      </c>
      <c r="J32" s="4" t="s">
        <v>19</v>
      </c>
      <c r="K32" t="s">
        <v>38</v>
      </c>
      <c r="L32" t="str">
        <f>_xlfn.TEXTJOIN(" - ",,Table1[[#This Row],[Product]],Table1[[#This Row],[Category]])</f>
        <v>Laptop - Electronics</v>
      </c>
      <c r="M32" t="str">
        <f>_xlfn.TEXTBEFORE(Table1[[#This Row],[Product Info ]]," - ")</f>
        <v>Laptop</v>
      </c>
      <c r="N32" t="str">
        <f>_xlfn.TEXTAFTER(Table1[[#This Row],[Product Info ]],"-")</f>
        <v xml:space="preserve"> Electronics</v>
      </c>
      <c r="O32" s="7" t="str">
        <f>_xlfn.TEXTJOIN(" | ",,Table1[[#This Row],[Region]],Table1[[#This Row],[Salesperson]])</f>
        <v>Rajshahi | Sami</v>
      </c>
      <c r="P32" s="7" t="str">
        <f>_xlfn.TEXTJOIN("-",,Table1[[#This Row],[OrderID]],"BD")</f>
        <v>1032-BD</v>
      </c>
      <c r="Q32" s="7">
        <f>LEN(Table1[[#This Row],[Category]])</f>
        <v>11</v>
      </c>
      <c r="R32" s="7" t="str">
        <f>LEFT(Table1[[#This Row],[Salesperson]],1)</f>
        <v>S</v>
      </c>
    </row>
    <row r="33" spans="1:18" x14ac:dyDescent="0.25">
      <c r="A33" s="2">
        <v>1033</v>
      </c>
      <c r="B33" s="3">
        <v>46124</v>
      </c>
      <c r="C33" s="4" t="s">
        <v>15</v>
      </c>
      <c r="D33" s="4" t="s">
        <v>30</v>
      </c>
      <c r="E33" s="4" t="s">
        <v>26</v>
      </c>
      <c r="F33" s="4" t="s">
        <v>23</v>
      </c>
      <c r="G33" s="2">
        <v>1</v>
      </c>
      <c r="H33" s="5">
        <v>1961</v>
      </c>
      <c r="I33" s="2">
        <v>0</v>
      </c>
      <c r="J33" s="4" t="s">
        <v>14</v>
      </c>
      <c r="K33" t="s">
        <v>38</v>
      </c>
      <c r="L33" t="str">
        <f>_xlfn.TEXTJOIN(" - ",,Table1[[#This Row],[Product]],Table1[[#This Row],[Category]])</f>
        <v>Pen - Stationery</v>
      </c>
      <c r="M33" t="str">
        <f>_xlfn.TEXTBEFORE(Table1[[#This Row],[Product Info ]]," - ")</f>
        <v>Pen</v>
      </c>
      <c r="N33" t="str">
        <f>_xlfn.TEXTAFTER(Table1[[#This Row],[Product Info ]],"-")</f>
        <v xml:space="preserve"> Stationery</v>
      </c>
      <c r="O33" s="7" t="str">
        <f>_xlfn.TEXTJOIN(" | ",,Table1[[#This Row],[Region]],Table1[[#This Row],[Salesperson]])</f>
        <v>Dhaka | Sami</v>
      </c>
      <c r="P33" s="7" t="str">
        <f>_xlfn.TEXTJOIN("-",,Table1[[#This Row],[OrderID]],"BD")</f>
        <v>1033-BD</v>
      </c>
      <c r="Q33" s="7">
        <f>LEN(Table1[[#This Row],[Category]])</f>
        <v>10</v>
      </c>
      <c r="R33" s="7" t="str">
        <f>LEFT(Table1[[#This Row],[Salesperson]],1)</f>
        <v>S</v>
      </c>
    </row>
    <row r="34" spans="1:18" x14ac:dyDescent="0.25">
      <c r="A34" s="2">
        <v>1034</v>
      </c>
      <c r="B34" s="3">
        <v>46041</v>
      </c>
      <c r="C34" s="4" t="s">
        <v>20</v>
      </c>
      <c r="D34" s="4" t="s">
        <v>24</v>
      </c>
      <c r="E34" s="4" t="s">
        <v>31</v>
      </c>
      <c r="F34" s="4" t="s">
        <v>13</v>
      </c>
      <c r="G34" s="2">
        <v>1</v>
      </c>
      <c r="H34" s="5">
        <v>1578</v>
      </c>
      <c r="I34" s="2">
        <v>15</v>
      </c>
      <c r="J34" s="4" t="s">
        <v>27</v>
      </c>
      <c r="K34" t="s">
        <v>36</v>
      </c>
      <c r="L34" t="str">
        <f>_xlfn.TEXTJOIN(" - ",,Table1[[#This Row],[Product]],Table1[[#This Row],[Category]])</f>
        <v>Desk - Furniture</v>
      </c>
      <c r="M34" t="str">
        <f>_xlfn.TEXTBEFORE(Table1[[#This Row],[Product Info ]]," - ")</f>
        <v>Desk</v>
      </c>
      <c r="N34" t="str">
        <f>_xlfn.TEXTAFTER(Table1[[#This Row],[Product Info ]],"-")</f>
        <v xml:space="preserve"> Furniture</v>
      </c>
      <c r="O34" s="7" t="str">
        <f>_xlfn.TEXTJOIN(" | ",,Table1[[#This Row],[Region]],Table1[[#This Row],[Salesperson]])</f>
        <v>Rajshahi | Mim</v>
      </c>
      <c r="P34" s="7" t="str">
        <f>_xlfn.TEXTJOIN("-",,Table1[[#This Row],[OrderID]],"BD")</f>
        <v>1034-BD</v>
      </c>
      <c r="Q34" s="7">
        <f>LEN(Table1[[#This Row],[Category]])</f>
        <v>9</v>
      </c>
      <c r="R34" s="7" t="str">
        <f>LEFT(Table1[[#This Row],[Salesperson]],1)</f>
        <v>M</v>
      </c>
    </row>
    <row r="35" spans="1:18" x14ac:dyDescent="0.25">
      <c r="A35" s="2">
        <v>1035</v>
      </c>
      <c r="B35" s="3">
        <v>46173</v>
      </c>
      <c r="C35" s="4" t="s">
        <v>29</v>
      </c>
      <c r="D35" s="4" t="s">
        <v>21</v>
      </c>
      <c r="E35" s="4" t="s">
        <v>17</v>
      </c>
      <c r="F35" s="4" t="s">
        <v>18</v>
      </c>
      <c r="G35" s="2">
        <v>4</v>
      </c>
      <c r="H35" s="5">
        <v>1219</v>
      </c>
      <c r="I35" s="2">
        <v>10</v>
      </c>
      <c r="J35" s="4" t="s">
        <v>14</v>
      </c>
      <c r="K35" t="s">
        <v>35</v>
      </c>
      <c r="L35" t="str">
        <f>_xlfn.TEXTJOIN(" - ",,Table1[[#This Row],[Product]],Table1[[#This Row],[Category]])</f>
        <v>Mouse - Electronics</v>
      </c>
      <c r="M35" t="str">
        <f>_xlfn.TEXTBEFORE(Table1[[#This Row],[Product Info ]]," - ")</f>
        <v>Mouse</v>
      </c>
      <c r="N35" t="str">
        <f>_xlfn.TEXTAFTER(Table1[[#This Row],[Product Info ]],"-")</f>
        <v xml:space="preserve"> Electronics</v>
      </c>
      <c r="O35" s="7" t="str">
        <f>_xlfn.TEXTJOIN(" | ",,Table1[[#This Row],[Region]],Table1[[#This Row],[Salesperson]])</f>
        <v>Chattogram | Tanvir</v>
      </c>
      <c r="P35" s="7" t="str">
        <f>_xlfn.TEXTJOIN("-",,Table1[[#This Row],[OrderID]],"BD")</f>
        <v>1035-BD</v>
      </c>
      <c r="Q35" s="7">
        <f>LEN(Table1[[#This Row],[Category]])</f>
        <v>11</v>
      </c>
      <c r="R35" s="7" t="str">
        <f>LEFT(Table1[[#This Row],[Salesperson]],1)</f>
        <v>T</v>
      </c>
    </row>
    <row r="36" spans="1:18" x14ac:dyDescent="0.25">
      <c r="A36" s="2">
        <v>1036</v>
      </c>
      <c r="B36" s="3">
        <v>46168</v>
      </c>
      <c r="C36" s="4" t="s">
        <v>29</v>
      </c>
      <c r="D36" s="4" t="s">
        <v>30</v>
      </c>
      <c r="E36" s="4" t="s">
        <v>12</v>
      </c>
      <c r="F36" s="4" t="s">
        <v>13</v>
      </c>
      <c r="G36" s="2">
        <v>3</v>
      </c>
      <c r="H36" s="5">
        <v>1586</v>
      </c>
      <c r="I36" s="2">
        <v>5</v>
      </c>
      <c r="J36" s="4" t="s">
        <v>27</v>
      </c>
      <c r="K36" t="s">
        <v>38</v>
      </c>
      <c r="L36" t="str">
        <f>_xlfn.TEXTJOIN(" - ",,Table1[[#This Row],[Product]],Table1[[#This Row],[Category]])</f>
        <v>Chair - Furniture</v>
      </c>
      <c r="M36" t="str">
        <f>_xlfn.TEXTBEFORE(Table1[[#This Row],[Product Info ]]," - ")</f>
        <v>Chair</v>
      </c>
      <c r="N36" t="str">
        <f>_xlfn.TEXTAFTER(Table1[[#This Row],[Product Info ]],"-")</f>
        <v xml:space="preserve"> Furniture</v>
      </c>
      <c r="O36" s="7" t="str">
        <f>_xlfn.TEXTJOIN(" | ",,Table1[[#This Row],[Region]],Table1[[#This Row],[Salesperson]])</f>
        <v>Chattogram | Sami</v>
      </c>
      <c r="P36" s="7" t="str">
        <f>_xlfn.TEXTJOIN("-",,Table1[[#This Row],[OrderID]],"BD")</f>
        <v>1036-BD</v>
      </c>
      <c r="Q36" s="7">
        <f>LEN(Table1[[#This Row],[Category]])</f>
        <v>9</v>
      </c>
      <c r="R36" s="7" t="str">
        <f>LEFT(Table1[[#This Row],[Salesperson]],1)</f>
        <v>S</v>
      </c>
    </row>
    <row r="37" spans="1:18" x14ac:dyDescent="0.25">
      <c r="A37" s="2">
        <v>1037</v>
      </c>
      <c r="B37" s="3">
        <v>46163</v>
      </c>
      <c r="C37" s="4" t="s">
        <v>15</v>
      </c>
      <c r="D37" s="4" t="s">
        <v>11</v>
      </c>
      <c r="E37" s="4" t="s">
        <v>26</v>
      </c>
      <c r="F37" s="4" t="s">
        <v>23</v>
      </c>
      <c r="G37" s="2">
        <v>10</v>
      </c>
      <c r="H37" s="5">
        <v>1260</v>
      </c>
      <c r="I37" s="2">
        <v>15</v>
      </c>
      <c r="J37" s="4" t="s">
        <v>19</v>
      </c>
      <c r="K37" t="s">
        <v>33</v>
      </c>
      <c r="L37" t="str">
        <f>_xlfn.TEXTJOIN(" - ",,Table1[[#This Row],[Product]],Table1[[#This Row],[Category]])</f>
        <v>Pen - Stationery</v>
      </c>
      <c r="M37" t="str">
        <f>_xlfn.TEXTBEFORE(Table1[[#This Row],[Product Info ]]," - ")</f>
        <v>Pen</v>
      </c>
      <c r="N37" t="str">
        <f>_xlfn.TEXTAFTER(Table1[[#This Row],[Product Info ]],"-")</f>
        <v xml:space="preserve"> Stationery</v>
      </c>
      <c r="O37" s="7" t="str">
        <f>_xlfn.TEXTJOIN(" | ",,Table1[[#This Row],[Region]],Table1[[#This Row],[Salesperson]])</f>
        <v>Dhaka | Ayan</v>
      </c>
      <c r="P37" s="7" t="str">
        <f>_xlfn.TEXTJOIN("-",,Table1[[#This Row],[OrderID]],"BD")</f>
        <v>1037-BD</v>
      </c>
      <c r="Q37" s="7">
        <f>LEN(Table1[[#This Row],[Category]])</f>
        <v>10</v>
      </c>
      <c r="R37" s="7" t="str">
        <f>LEFT(Table1[[#This Row],[Salesperson]],1)</f>
        <v>A</v>
      </c>
    </row>
    <row r="38" spans="1:18" x14ac:dyDescent="0.25">
      <c r="A38" s="2">
        <v>1038</v>
      </c>
      <c r="B38" s="3">
        <v>46113</v>
      </c>
      <c r="C38" s="4" t="s">
        <v>29</v>
      </c>
      <c r="D38" s="4" t="s">
        <v>16</v>
      </c>
      <c r="E38" s="4" t="s">
        <v>12</v>
      </c>
      <c r="F38" s="4" t="s">
        <v>13</v>
      </c>
      <c r="G38" s="2">
        <v>1</v>
      </c>
      <c r="H38" s="5">
        <v>1671</v>
      </c>
      <c r="I38" s="2">
        <v>10</v>
      </c>
      <c r="J38" s="4" t="s">
        <v>27</v>
      </c>
      <c r="K38" t="s">
        <v>34</v>
      </c>
      <c r="L38" t="str">
        <f>_xlfn.TEXTJOIN(" - ",,Table1[[#This Row],[Product]],Table1[[#This Row],[Category]])</f>
        <v>Chair - Furniture</v>
      </c>
      <c r="M38" t="str">
        <f>_xlfn.TEXTBEFORE(Table1[[#This Row],[Product Info ]]," - ")</f>
        <v>Chair</v>
      </c>
      <c r="N38" t="str">
        <f>_xlfn.TEXTAFTER(Table1[[#This Row],[Product Info ]],"-")</f>
        <v xml:space="preserve"> Furniture</v>
      </c>
      <c r="O38" s="7" t="str">
        <f>_xlfn.TEXTJOIN(" | ",,Table1[[#This Row],[Region]],Table1[[#This Row],[Salesperson]])</f>
        <v>Chattogram | Rafi</v>
      </c>
      <c r="P38" s="7" t="str">
        <f>_xlfn.TEXTJOIN("-",,Table1[[#This Row],[OrderID]],"BD")</f>
        <v>1038-BD</v>
      </c>
      <c r="Q38" s="7">
        <f>LEN(Table1[[#This Row],[Category]])</f>
        <v>9</v>
      </c>
      <c r="R38" s="7" t="str">
        <f>LEFT(Table1[[#This Row],[Salesperson]],1)</f>
        <v>R</v>
      </c>
    </row>
    <row r="39" spans="1:18" x14ac:dyDescent="0.25">
      <c r="A39" s="2">
        <v>1039</v>
      </c>
      <c r="B39" s="3">
        <v>46064</v>
      </c>
      <c r="C39" s="4" t="s">
        <v>15</v>
      </c>
      <c r="D39" s="4" t="s">
        <v>30</v>
      </c>
      <c r="E39" s="4" t="s">
        <v>31</v>
      </c>
      <c r="F39" s="4" t="s">
        <v>13</v>
      </c>
      <c r="G39" s="2">
        <v>5</v>
      </c>
      <c r="H39" s="5">
        <v>1309</v>
      </c>
      <c r="I39" s="2">
        <v>10</v>
      </c>
      <c r="J39" s="4" t="s">
        <v>14</v>
      </c>
      <c r="K39" t="s">
        <v>38</v>
      </c>
      <c r="L39" t="str">
        <f>_xlfn.TEXTJOIN(" - ",,Table1[[#This Row],[Product]],Table1[[#This Row],[Category]])</f>
        <v>Desk - Furniture</v>
      </c>
      <c r="M39" t="str">
        <f>_xlfn.TEXTBEFORE(Table1[[#This Row],[Product Info ]]," - ")</f>
        <v>Desk</v>
      </c>
      <c r="N39" t="str">
        <f>_xlfn.TEXTAFTER(Table1[[#This Row],[Product Info ]],"-")</f>
        <v xml:space="preserve"> Furniture</v>
      </c>
      <c r="O39" s="7" t="str">
        <f>_xlfn.TEXTJOIN(" | ",,Table1[[#This Row],[Region]],Table1[[#This Row],[Salesperson]])</f>
        <v>Dhaka | Sami</v>
      </c>
      <c r="P39" s="7" t="str">
        <f>_xlfn.TEXTJOIN("-",,Table1[[#This Row],[OrderID]],"BD")</f>
        <v>1039-BD</v>
      </c>
      <c r="Q39" s="7">
        <f>LEN(Table1[[#This Row],[Category]])</f>
        <v>9</v>
      </c>
      <c r="R39" s="7" t="str">
        <f>LEFT(Table1[[#This Row],[Salesperson]],1)</f>
        <v>S</v>
      </c>
    </row>
    <row r="40" spans="1:18" x14ac:dyDescent="0.25">
      <c r="A40" s="2">
        <v>1040</v>
      </c>
      <c r="B40" s="3">
        <v>46143</v>
      </c>
      <c r="C40" s="4" t="s">
        <v>15</v>
      </c>
      <c r="D40" s="4" t="s">
        <v>24</v>
      </c>
      <c r="E40" s="4" t="s">
        <v>12</v>
      </c>
      <c r="F40" s="4" t="s">
        <v>13</v>
      </c>
      <c r="G40" s="2">
        <v>9</v>
      </c>
      <c r="H40" s="5">
        <v>585</v>
      </c>
      <c r="I40" s="2">
        <v>15</v>
      </c>
      <c r="J40" s="4" t="s">
        <v>19</v>
      </c>
      <c r="K40" t="s">
        <v>36</v>
      </c>
      <c r="L40" t="str">
        <f>_xlfn.TEXTJOIN(" - ",,Table1[[#This Row],[Product]],Table1[[#This Row],[Category]])</f>
        <v>Chair - Furniture</v>
      </c>
      <c r="M40" t="str">
        <f>_xlfn.TEXTBEFORE(Table1[[#This Row],[Product Info ]]," - ")</f>
        <v>Chair</v>
      </c>
      <c r="N40" t="str">
        <f>_xlfn.TEXTAFTER(Table1[[#This Row],[Product Info ]],"-")</f>
        <v xml:space="preserve"> Furniture</v>
      </c>
      <c r="O40" s="7" t="str">
        <f>_xlfn.TEXTJOIN(" | ",,Table1[[#This Row],[Region]],Table1[[#This Row],[Salesperson]])</f>
        <v>Dhaka | Mim</v>
      </c>
      <c r="P40" s="7" t="str">
        <f>_xlfn.TEXTJOIN("-",,Table1[[#This Row],[OrderID]],"BD")</f>
        <v>1040-BD</v>
      </c>
      <c r="Q40" s="7">
        <f>LEN(Table1[[#This Row],[Category]])</f>
        <v>9</v>
      </c>
      <c r="R40" s="7" t="str">
        <f>LEFT(Table1[[#This Row],[Salesperson]],1)</f>
        <v>M</v>
      </c>
    </row>
    <row r="41" spans="1:18" x14ac:dyDescent="0.25">
      <c r="A41" s="2">
        <v>1041</v>
      </c>
      <c r="B41" s="3">
        <v>46128</v>
      </c>
      <c r="C41" s="4" t="s">
        <v>15</v>
      </c>
      <c r="D41" s="4" t="s">
        <v>21</v>
      </c>
      <c r="E41" s="4" t="s">
        <v>17</v>
      </c>
      <c r="F41" s="4" t="s">
        <v>18</v>
      </c>
      <c r="G41" s="2">
        <v>10</v>
      </c>
      <c r="H41" s="5">
        <v>1600</v>
      </c>
      <c r="I41" s="2">
        <v>15</v>
      </c>
      <c r="J41" s="4" t="s">
        <v>14</v>
      </c>
      <c r="K41" t="s">
        <v>35</v>
      </c>
      <c r="L41" t="str">
        <f>_xlfn.TEXTJOIN(" - ",,Table1[[#This Row],[Product]],Table1[[#This Row],[Category]])</f>
        <v>Mouse - Electronics</v>
      </c>
      <c r="M41" t="str">
        <f>_xlfn.TEXTBEFORE(Table1[[#This Row],[Product Info ]]," - ")</f>
        <v>Mouse</v>
      </c>
      <c r="N41" t="str">
        <f>_xlfn.TEXTAFTER(Table1[[#This Row],[Product Info ]],"-")</f>
        <v xml:space="preserve"> Electronics</v>
      </c>
      <c r="O41" s="7" t="str">
        <f>_xlfn.TEXTJOIN(" | ",,Table1[[#This Row],[Region]],Table1[[#This Row],[Salesperson]])</f>
        <v>Dhaka | Tanvir</v>
      </c>
      <c r="P41" s="7" t="str">
        <f>_xlfn.TEXTJOIN("-",,Table1[[#This Row],[OrderID]],"BD")</f>
        <v>1041-BD</v>
      </c>
      <c r="Q41" s="7">
        <f>LEN(Table1[[#This Row],[Category]])</f>
        <v>11</v>
      </c>
      <c r="R41" s="7" t="str">
        <f>LEFT(Table1[[#This Row],[Salesperson]],1)</f>
        <v>T</v>
      </c>
    </row>
    <row r="42" spans="1:18" x14ac:dyDescent="0.25">
      <c r="A42" s="2">
        <v>1042</v>
      </c>
      <c r="B42" s="3">
        <v>46029</v>
      </c>
      <c r="C42" s="4" t="s">
        <v>29</v>
      </c>
      <c r="D42" s="4" t="s">
        <v>21</v>
      </c>
      <c r="E42" s="4" t="s">
        <v>22</v>
      </c>
      <c r="F42" s="4" t="s">
        <v>23</v>
      </c>
      <c r="G42" s="2">
        <v>7</v>
      </c>
      <c r="H42" s="5">
        <v>793</v>
      </c>
      <c r="I42" s="2">
        <v>0</v>
      </c>
      <c r="J42" s="4" t="s">
        <v>19</v>
      </c>
      <c r="K42" t="s">
        <v>35</v>
      </c>
      <c r="L42" t="str">
        <f>_xlfn.TEXTJOIN(" - ",,Table1[[#This Row],[Product]],Table1[[#This Row],[Category]])</f>
        <v>Notebook - Stationery</v>
      </c>
      <c r="M42" t="str">
        <f>_xlfn.TEXTBEFORE(Table1[[#This Row],[Product Info ]]," - ")</f>
        <v>Notebook</v>
      </c>
      <c r="N42" t="str">
        <f>_xlfn.TEXTAFTER(Table1[[#This Row],[Product Info ]],"-")</f>
        <v xml:space="preserve"> Stationery</v>
      </c>
      <c r="O42" s="7" t="str">
        <f>_xlfn.TEXTJOIN(" | ",,Table1[[#This Row],[Region]],Table1[[#This Row],[Salesperson]])</f>
        <v>Chattogram | Tanvir</v>
      </c>
      <c r="P42" s="7" t="str">
        <f>_xlfn.TEXTJOIN("-",,Table1[[#This Row],[OrderID]],"BD")</f>
        <v>1042-BD</v>
      </c>
      <c r="Q42" s="7">
        <f>LEN(Table1[[#This Row],[Category]])</f>
        <v>10</v>
      </c>
      <c r="R42" s="7" t="str">
        <f>LEFT(Table1[[#This Row],[Salesperson]],1)</f>
        <v>T</v>
      </c>
    </row>
    <row r="43" spans="1:18" x14ac:dyDescent="0.25">
      <c r="A43" s="2">
        <v>1043</v>
      </c>
      <c r="B43" s="3">
        <v>46190</v>
      </c>
      <c r="C43" s="4" t="s">
        <v>15</v>
      </c>
      <c r="D43" s="4" t="s">
        <v>28</v>
      </c>
      <c r="E43" s="4" t="s">
        <v>26</v>
      </c>
      <c r="F43" s="4" t="s">
        <v>23</v>
      </c>
      <c r="G43" s="2">
        <v>8</v>
      </c>
      <c r="H43" s="5">
        <v>103</v>
      </c>
      <c r="I43" s="2">
        <v>5</v>
      </c>
      <c r="J43" s="4" t="s">
        <v>27</v>
      </c>
      <c r="K43" t="s">
        <v>37</v>
      </c>
      <c r="L43" t="str">
        <f>_xlfn.TEXTJOIN(" - ",,Table1[[#This Row],[Product]],Table1[[#This Row],[Category]])</f>
        <v>Pen - Stationery</v>
      </c>
      <c r="M43" t="str">
        <f>_xlfn.TEXTBEFORE(Table1[[#This Row],[Product Info ]]," - ")</f>
        <v>Pen</v>
      </c>
      <c r="N43" t="str">
        <f>_xlfn.TEXTAFTER(Table1[[#This Row],[Product Info ]],"-")</f>
        <v xml:space="preserve"> Stationery</v>
      </c>
      <c r="O43" s="7" t="str">
        <f>_xlfn.TEXTJOIN(" | ",,Table1[[#This Row],[Region]],Table1[[#This Row],[Salesperson]])</f>
        <v>Dhaka | Nila</v>
      </c>
      <c r="P43" s="7" t="str">
        <f>_xlfn.TEXTJOIN("-",,Table1[[#This Row],[OrderID]],"BD")</f>
        <v>1043-BD</v>
      </c>
      <c r="Q43" s="7">
        <f>LEN(Table1[[#This Row],[Category]])</f>
        <v>10</v>
      </c>
      <c r="R43" s="7" t="str">
        <f>LEFT(Table1[[#This Row],[Salesperson]],1)</f>
        <v>N</v>
      </c>
    </row>
    <row r="44" spans="1:18" x14ac:dyDescent="0.25">
      <c r="A44" s="2">
        <v>1044</v>
      </c>
      <c r="B44" s="3">
        <v>46082</v>
      </c>
      <c r="C44" s="4" t="s">
        <v>10</v>
      </c>
      <c r="D44" s="4" t="s">
        <v>11</v>
      </c>
      <c r="E44" s="4" t="s">
        <v>12</v>
      </c>
      <c r="F44" s="4" t="s">
        <v>13</v>
      </c>
      <c r="G44" s="2">
        <v>9</v>
      </c>
      <c r="H44" s="5">
        <v>230</v>
      </c>
      <c r="I44" s="2">
        <v>0</v>
      </c>
      <c r="J44" s="4" t="s">
        <v>14</v>
      </c>
      <c r="K44" t="s">
        <v>33</v>
      </c>
      <c r="L44" t="str">
        <f>_xlfn.TEXTJOIN(" - ",,Table1[[#This Row],[Product]],Table1[[#This Row],[Category]])</f>
        <v>Chair - Furniture</v>
      </c>
      <c r="M44" t="str">
        <f>_xlfn.TEXTBEFORE(Table1[[#This Row],[Product Info ]]," - ")</f>
        <v>Chair</v>
      </c>
      <c r="N44" t="str">
        <f>_xlfn.TEXTAFTER(Table1[[#This Row],[Product Info ]],"-")</f>
        <v xml:space="preserve"> Furniture</v>
      </c>
      <c r="O44" s="7" t="str">
        <f>_xlfn.TEXTJOIN(" | ",,Table1[[#This Row],[Region]],Table1[[#This Row],[Salesperson]])</f>
        <v>Khulna | Ayan</v>
      </c>
      <c r="P44" s="7" t="str">
        <f>_xlfn.TEXTJOIN("-",,Table1[[#This Row],[OrderID]],"BD")</f>
        <v>1044-BD</v>
      </c>
      <c r="Q44" s="7">
        <f>LEN(Table1[[#This Row],[Category]])</f>
        <v>9</v>
      </c>
      <c r="R44" s="7" t="str">
        <f>LEFT(Table1[[#This Row],[Salesperson]],1)</f>
        <v>A</v>
      </c>
    </row>
    <row r="45" spans="1:18" x14ac:dyDescent="0.25">
      <c r="A45" s="2">
        <v>1045</v>
      </c>
      <c r="B45" s="3">
        <v>46129</v>
      </c>
      <c r="C45" s="4" t="s">
        <v>10</v>
      </c>
      <c r="D45" s="4" t="s">
        <v>30</v>
      </c>
      <c r="E45" s="4" t="s">
        <v>26</v>
      </c>
      <c r="F45" s="4" t="s">
        <v>23</v>
      </c>
      <c r="G45" s="2">
        <v>8</v>
      </c>
      <c r="H45" s="5">
        <v>1544</v>
      </c>
      <c r="I45" s="2">
        <v>10</v>
      </c>
      <c r="J45" s="4" t="s">
        <v>27</v>
      </c>
      <c r="K45" t="s">
        <v>38</v>
      </c>
      <c r="L45" t="str">
        <f>_xlfn.TEXTJOIN(" - ",,Table1[[#This Row],[Product]],Table1[[#This Row],[Category]])</f>
        <v>Pen - Stationery</v>
      </c>
      <c r="M45" t="str">
        <f>_xlfn.TEXTBEFORE(Table1[[#This Row],[Product Info ]]," - ")</f>
        <v>Pen</v>
      </c>
      <c r="N45" t="str">
        <f>_xlfn.TEXTAFTER(Table1[[#This Row],[Product Info ]],"-")</f>
        <v xml:space="preserve"> Stationery</v>
      </c>
      <c r="O45" s="7" t="str">
        <f>_xlfn.TEXTJOIN(" | ",,Table1[[#This Row],[Region]],Table1[[#This Row],[Salesperson]])</f>
        <v>Khulna | Sami</v>
      </c>
      <c r="P45" s="7" t="str">
        <f>_xlfn.TEXTJOIN("-",,Table1[[#This Row],[OrderID]],"BD")</f>
        <v>1045-BD</v>
      </c>
      <c r="Q45" s="7">
        <f>LEN(Table1[[#This Row],[Category]])</f>
        <v>10</v>
      </c>
      <c r="R45" s="7" t="str">
        <f>LEFT(Table1[[#This Row],[Salesperson]],1)</f>
        <v>S</v>
      </c>
    </row>
    <row r="46" spans="1:18" x14ac:dyDescent="0.25">
      <c r="A46" s="2">
        <v>1046</v>
      </c>
      <c r="B46" s="3">
        <v>46194</v>
      </c>
      <c r="C46" s="4" t="s">
        <v>20</v>
      </c>
      <c r="D46" s="4" t="s">
        <v>11</v>
      </c>
      <c r="E46" s="4" t="s">
        <v>25</v>
      </c>
      <c r="F46" s="4" t="s">
        <v>18</v>
      </c>
      <c r="G46" s="2">
        <v>7</v>
      </c>
      <c r="H46" s="5">
        <v>808</v>
      </c>
      <c r="I46" s="2">
        <v>5</v>
      </c>
      <c r="J46" s="4" t="s">
        <v>27</v>
      </c>
      <c r="K46" t="s">
        <v>33</v>
      </c>
      <c r="L46" t="str">
        <f>_xlfn.TEXTJOIN(" - ",,Table1[[#This Row],[Product]],Table1[[#This Row],[Category]])</f>
        <v>Laptop - Electronics</v>
      </c>
      <c r="M46" t="str">
        <f>_xlfn.TEXTBEFORE(Table1[[#This Row],[Product Info ]]," - ")</f>
        <v>Laptop</v>
      </c>
      <c r="N46" t="str">
        <f>_xlfn.TEXTAFTER(Table1[[#This Row],[Product Info ]],"-")</f>
        <v xml:space="preserve"> Electronics</v>
      </c>
      <c r="O46" s="7" t="str">
        <f>_xlfn.TEXTJOIN(" | ",,Table1[[#This Row],[Region]],Table1[[#This Row],[Salesperson]])</f>
        <v>Rajshahi | Ayan</v>
      </c>
      <c r="P46" s="7" t="str">
        <f>_xlfn.TEXTJOIN("-",,Table1[[#This Row],[OrderID]],"BD")</f>
        <v>1046-BD</v>
      </c>
      <c r="Q46" s="7">
        <f>LEN(Table1[[#This Row],[Category]])</f>
        <v>11</v>
      </c>
      <c r="R46" s="7" t="str">
        <f>LEFT(Table1[[#This Row],[Salesperson]],1)</f>
        <v>A</v>
      </c>
    </row>
    <row r="47" spans="1:18" x14ac:dyDescent="0.25">
      <c r="A47" s="2">
        <v>1047</v>
      </c>
      <c r="B47" s="3">
        <v>46125</v>
      </c>
      <c r="C47" s="4" t="s">
        <v>20</v>
      </c>
      <c r="D47" s="4" t="s">
        <v>30</v>
      </c>
      <c r="E47" s="4" t="s">
        <v>26</v>
      </c>
      <c r="F47" s="4" t="s">
        <v>23</v>
      </c>
      <c r="G47" s="2">
        <v>7</v>
      </c>
      <c r="H47" s="5">
        <v>1860</v>
      </c>
      <c r="I47" s="2">
        <v>10</v>
      </c>
      <c r="J47" s="4" t="s">
        <v>27</v>
      </c>
      <c r="K47" t="s">
        <v>38</v>
      </c>
      <c r="L47" t="str">
        <f>_xlfn.TEXTJOIN(" - ",,Table1[[#This Row],[Product]],Table1[[#This Row],[Category]])</f>
        <v>Pen - Stationery</v>
      </c>
      <c r="M47" t="str">
        <f>_xlfn.TEXTBEFORE(Table1[[#This Row],[Product Info ]]," - ")</f>
        <v>Pen</v>
      </c>
      <c r="N47" t="str">
        <f>_xlfn.TEXTAFTER(Table1[[#This Row],[Product Info ]],"-")</f>
        <v xml:space="preserve"> Stationery</v>
      </c>
      <c r="O47" s="7" t="str">
        <f>_xlfn.TEXTJOIN(" | ",,Table1[[#This Row],[Region]],Table1[[#This Row],[Salesperson]])</f>
        <v>Rajshahi | Sami</v>
      </c>
      <c r="P47" s="7" t="str">
        <f>_xlfn.TEXTJOIN("-",,Table1[[#This Row],[OrderID]],"BD")</f>
        <v>1047-BD</v>
      </c>
      <c r="Q47" s="7">
        <f>LEN(Table1[[#This Row],[Category]])</f>
        <v>10</v>
      </c>
      <c r="R47" s="7" t="str">
        <f>LEFT(Table1[[#This Row],[Salesperson]],1)</f>
        <v>S</v>
      </c>
    </row>
    <row r="48" spans="1:18" x14ac:dyDescent="0.25">
      <c r="A48" s="2">
        <v>1048</v>
      </c>
      <c r="B48" s="3">
        <v>46152</v>
      </c>
      <c r="C48" s="4" t="s">
        <v>20</v>
      </c>
      <c r="D48" s="4" t="s">
        <v>28</v>
      </c>
      <c r="E48" s="4" t="s">
        <v>17</v>
      </c>
      <c r="F48" s="4" t="s">
        <v>18</v>
      </c>
      <c r="G48" s="2">
        <v>4</v>
      </c>
      <c r="H48" s="5">
        <v>1521</v>
      </c>
      <c r="I48" s="2">
        <v>5</v>
      </c>
      <c r="J48" s="4" t="s">
        <v>19</v>
      </c>
      <c r="K48" t="s">
        <v>37</v>
      </c>
      <c r="L48" t="str">
        <f>_xlfn.TEXTJOIN(" - ",,Table1[[#This Row],[Product]],Table1[[#This Row],[Category]])</f>
        <v>Mouse - Electronics</v>
      </c>
      <c r="M48" t="str">
        <f>_xlfn.TEXTBEFORE(Table1[[#This Row],[Product Info ]]," - ")</f>
        <v>Mouse</v>
      </c>
      <c r="N48" t="str">
        <f>_xlfn.TEXTAFTER(Table1[[#This Row],[Product Info ]],"-")</f>
        <v xml:space="preserve"> Electronics</v>
      </c>
      <c r="O48" s="7" t="str">
        <f>_xlfn.TEXTJOIN(" | ",,Table1[[#This Row],[Region]],Table1[[#This Row],[Salesperson]])</f>
        <v>Rajshahi | Nila</v>
      </c>
      <c r="P48" s="7" t="str">
        <f>_xlfn.TEXTJOIN("-",,Table1[[#This Row],[OrderID]],"BD")</f>
        <v>1048-BD</v>
      </c>
      <c r="Q48" s="7">
        <f>LEN(Table1[[#This Row],[Category]])</f>
        <v>11</v>
      </c>
      <c r="R48" s="7" t="str">
        <f>LEFT(Table1[[#This Row],[Salesperson]],1)</f>
        <v>N</v>
      </c>
    </row>
    <row r="49" spans="1:18" x14ac:dyDescent="0.25">
      <c r="A49" s="2">
        <v>1049</v>
      </c>
      <c r="B49" s="3">
        <v>46168</v>
      </c>
      <c r="C49" s="4" t="s">
        <v>20</v>
      </c>
      <c r="D49" s="4" t="s">
        <v>21</v>
      </c>
      <c r="E49" s="4" t="s">
        <v>17</v>
      </c>
      <c r="F49" s="4" t="s">
        <v>18</v>
      </c>
      <c r="G49" s="2">
        <v>3</v>
      </c>
      <c r="H49" s="5">
        <v>1023</v>
      </c>
      <c r="I49" s="2">
        <v>15</v>
      </c>
      <c r="J49" s="4" t="s">
        <v>14</v>
      </c>
      <c r="K49" t="s">
        <v>35</v>
      </c>
      <c r="L49" t="str">
        <f>_xlfn.TEXTJOIN(" - ",,Table1[[#This Row],[Product]],Table1[[#This Row],[Category]])</f>
        <v>Mouse - Electronics</v>
      </c>
      <c r="M49" t="str">
        <f>_xlfn.TEXTBEFORE(Table1[[#This Row],[Product Info ]]," - ")</f>
        <v>Mouse</v>
      </c>
      <c r="N49" t="str">
        <f>_xlfn.TEXTAFTER(Table1[[#This Row],[Product Info ]],"-")</f>
        <v xml:space="preserve"> Electronics</v>
      </c>
      <c r="O49" s="7" t="str">
        <f>_xlfn.TEXTJOIN(" | ",,Table1[[#This Row],[Region]],Table1[[#This Row],[Salesperson]])</f>
        <v>Rajshahi | Tanvir</v>
      </c>
      <c r="P49" s="7" t="str">
        <f>_xlfn.TEXTJOIN("-",,Table1[[#This Row],[OrderID]],"BD")</f>
        <v>1049-BD</v>
      </c>
      <c r="Q49" s="7">
        <f>LEN(Table1[[#This Row],[Category]])</f>
        <v>11</v>
      </c>
      <c r="R49" s="7" t="str">
        <f>LEFT(Table1[[#This Row],[Salesperson]],1)</f>
        <v>T</v>
      </c>
    </row>
    <row r="50" spans="1:18" x14ac:dyDescent="0.25">
      <c r="A50" s="2">
        <v>1050</v>
      </c>
      <c r="B50" s="3">
        <v>46099</v>
      </c>
      <c r="C50" s="4" t="s">
        <v>10</v>
      </c>
      <c r="D50" s="4" t="s">
        <v>24</v>
      </c>
      <c r="E50" s="4" t="s">
        <v>31</v>
      </c>
      <c r="F50" s="4" t="s">
        <v>13</v>
      </c>
      <c r="G50" s="2">
        <v>2</v>
      </c>
      <c r="H50" s="5">
        <v>244</v>
      </c>
      <c r="I50" s="2">
        <v>10</v>
      </c>
      <c r="J50" s="4" t="s">
        <v>27</v>
      </c>
      <c r="K50" t="s">
        <v>36</v>
      </c>
      <c r="L50" t="str">
        <f>_xlfn.TEXTJOIN(" - ",,Table1[[#This Row],[Product]],Table1[[#This Row],[Category]])</f>
        <v>Desk - Furniture</v>
      </c>
      <c r="M50" t="str">
        <f>_xlfn.TEXTBEFORE(Table1[[#This Row],[Product Info ]]," - ")</f>
        <v>Desk</v>
      </c>
      <c r="N50" t="str">
        <f>_xlfn.TEXTAFTER(Table1[[#This Row],[Product Info ]],"-")</f>
        <v xml:space="preserve"> Furniture</v>
      </c>
      <c r="O50" s="7" t="str">
        <f>_xlfn.TEXTJOIN(" | ",,Table1[[#This Row],[Region]],Table1[[#This Row],[Salesperson]])</f>
        <v>Khulna | Mim</v>
      </c>
      <c r="P50" s="7" t="str">
        <f>_xlfn.TEXTJOIN("-",,Table1[[#This Row],[OrderID]],"BD")</f>
        <v>1050-BD</v>
      </c>
      <c r="Q50" s="7">
        <f>LEN(Table1[[#This Row],[Category]])</f>
        <v>9</v>
      </c>
      <c r="R50" s="7" t="str">
        <f>LEFT(Table1[[#This Row],[Salesperson]],1)</f>
        <v>M</v>
      </c>
    </row>
    <row r="51" spans="1:18" x14ac:dyDescent="0.25">
      <c r="A51" s="2">
        <v>1051</v>
      </c>
      <c r="B51" s="3">
        <v>46106</v>
      </c>
      <c r="C51" s="4" t="s">
        <v>29</v>
      </c>
      <c r="D51" s="4" t="s">
        <v>24</v>
      </c>
      <c r="E51" s="4" t="s">
        <v>12</v>
      </c>
      <c r="F51" s="4" t="s">
        <v>13</v>
      </c>
      <c r="G51" s="2">
        <v>9</v>
      </c>
      <c r="H51" s="5">
        <v>1413</v>
      </c>
      <c r="I51" s="2">
        <v>5</v>
      </c>
      <c r="J51" s="4" t="s">
        <v>27</v>
      </c>
      <c r="K51" t="s">
        <v>36</v>
      </c>
      <c r="L51" t="str">
        <f>_xlfn.TEXTJOIN(" - ",,Table1[[#This Row],[Product]],Table1[[#This Row],[Category]])</f>
        <v>Chair - Furniture</v>
      </c>
      <c r="M51" t="str">
        <f>_xlfn.TEXTBEFORE(Table1[[#This Row],[Product Info ]]," - ")</f>
        <v>Chair</v>
      </c>
      <c r="N51" t="str">
        <f>_xlfn.TEXTAFTER(Table1[[#This Row],[Product Info ]],"-")</f>
        <v xml:space="preserve"> Furniture</v>
      </c>
      <c r="O51" s="7" t="str">
        <f>_xlfn.TEXTJOIN(" | ",,Table1[[#This Row],[Region]],Table1[[#This Row],[Salesperson]])</f>
        <v>Chattogram | Mim</v>
      </c>
      <c r="P51" s="7" t="str">
        <f>_xlfn.TEXTJOIN("-",,Table1[[#This Row],[OrderID]],"BD")</f>
        <v>1051-BD</v>
      </c>
      <c r="Q51" s="7">
        <f>LEN(Table1[[#This Row],[Category]])</f>
        <v>9</v>
      </c>
      <c r="R51" s="7" t="str">
        <f>LEFT(Table1[[#This Row],[Salesperson]],1)</f>
        <v>M</v>
      </c>
    </row>
    <row r="52" spans="1:18" x14ac:dyDescent="0.25">
      <c r="A52" s="2">
        <v>1052</v>
      </c>
      <c r="B52" s="3">
        <v>46126</v>
      </c>
      <c r="C52" s="4" t="s">
        <v>20</v>
      </c>
      <c r="D52" s="4" t="s">
        <v>30</v>
      </c>
      <c r="E52" s="4" t="s">
        <v>31</v>
      </c>
      <c r="F52" s="4" t="s">
        <v>13</v>
      </c>
      <c r="G52" s="2">
        <v>2</v>
      </c>
      <c r="H52" s="5">
        <v>1431</v>
      </c>
      <c r="I52" s="2">
        <v>0</v>
      </c>
      <c r="J52" s="4" t="s">
        <v>14</v>
      </c>
      <c r="K52" t="s">
        <v>38</v>
      </c>
      <c r="L52" t="str">
        <f>_xlfn.TEXTJOIN(" - ",,Table1[[#This Row],[Product]],Table1[[#This Row],[Category]])</f>
        <v>Desk - Furniture</v>
      </c>
      <c r="M52" t="str">
        <f>_xlfn.TEXTBEFORE(Table1[[#This Row],[Product Info ]]," - ")</f>
        <v>Desk</v>
      </c>
      <c r="N52" t="str">
        <f>_xlfn.TEXTAFTER(Table1[[#This Row],[Product Info ]],"-")</f>
        <v xml:space="preserve"> Furniture</v>
      </c>
      <c r="O52" s="7" t="str">
        <f>_xlfn.TEXTJOIN(" | ",,Table1[[#This Row],[Region]],Table1[[#This Row],[Salesperson]])</f>
        <v>Rajshahi | Sami</v>
      </c>
      <c r="P52" s="7" t="str">
        <f>_xlfn.TEXTJOIN("-",,Table1[[#This Row],[OrderID]],"BD")</f>
        <v>1052-BD</v>
      </c>
      <c r="Q52" s="7">
        <f>LEN(Table1[[#This Row],[Category]])</f>
        <v>9</v>
      </c>
      <c r="R52" s="7" t="str">
        <f>LEFT(Table1[[#This Row],[Salesperson]],1)</f>
        <v>S</v>
      </c>
    </row>
    <row r="53" spans="1:18" x14ac:dyDescent="0.25">
      <c r="A53" s="2">
        <v>1053</v>
      </c>
      <c r="B53" s="3">
        <v>46126</v>
      </c>
      <c r="C53" s="4" t="s">
        <v>20</v>
      </c>
      <c r="D53" s="4" t="s">
        <v>30</v>
      </c>
      <c r="E53" s="4" t="s">
        <v>31</v>
      </c>
      <c r="F53" s="4" t="s">
        <v>13</v>
      </c>
      <c r="G53" s="2">
        <v>2</v>
      </c>
      <c r="H53" s="5">
        <v>1573</v>
      </c>
      <c r="I53" s="2">
        <v>15</v>
      </c>
      <c r="J53" s="4" t="s">
        <v>27</v>
      </c>
      <c r="K53" t="s">
        <v>38</v>
      </c>
      <c r="L53" t="str">
        <f>_xlfn.TEXTJOIN(" - ",,Table1[[#This Row],[Product]],Table1[[#This Row],[Category]])</f>
        <v>Desk - Furniture</v>
      </c>
      <c r="M53" t="str">
        <f>_xlfn.TEXTBEFORE(Table1[[#This Row],[Product Info ]]," - ")</f>
        <v>Desk</v>
      </c>
      <c r="N53" t="str">
        <f>_xlfn.TEXTAFTER(Table1[[#This Row],[Product Info ]],"-")</f>
        <v xml:space="preserve"> Furniture</v>
      </c>
      <c r="O53" s="7" t="str">
        <f>_xlfn.TEXTJOIN(" | ",,Table1[[#This Row],[Region]],Table1[[#This Row],[Salesperson]])</f>
        <v>Rajshahi | Sami</v>
      </c>
      <c r="P53" s="7" t="str">
        <f>_xlfn.TEXTJOIN("-",,Table1[[#This Row],[OrderID]],"BD")</f>
        <v>1053-BD</v>
      </c>
      <c r="Q53" s="7">
        <f>LEN(Table1[[#This Row],[Category]])</f>
        <v>9</v>
      </c>
      <c r="R53" s="7" t="str">
        <f>LEFT(Table1[[#This Row],[Salesperson]],1)</f>
        <v>S</v>
      </c>
    </row>
    <row r="54" spans="1:18" x14ac:dyDescent="0.25">
      <c r="A54" s="2">
        <v>1054</v>
      </c>
      <c r="B54" s="3">
        <v>46105</v>
      </c>
      <c r="C54" s="4" t="s">
        <v>20</v>
      </c>
      <c r="D54" s="4" t="s">
        <v>24</v>
      </c>
      <c r="E54" s="4" t="s">
        <v>12</v>
      </c>
      <c r="F54" s="4" t="s">
        <v>13</v>
      </c>
      <c r="G54" s="2">
        <v>7</v>
      </c>
      <c r="H54" s="5">
        <v>282</v>
      </c>
      <c r="I54" s="2">
        <v>0</v>
      </c>
      <c r="J54" s="4" t="s">
        <v>19</v>
      </c>
      <c r="K54" t="s">
        <v>36</v>
      </c>
      <c r="L54" t="str">
        <f>_xlfn.TEXTJOIN(" - ",,Table1[[#This Row],[Product]],Table1[[#This Row],[Category]])</f>
        <v>Chair - Furniture</v>
      </c>
      <c r="M54" t="str">
        <f>_xlfn.TEXTBEFORE(Table1[[#This Row],[Product Info ]]," - ")</f>
        <v>Chair</v>
      </c>
      <c r="N54" t="str">
        <f>_xlfn.TEXTAFTER(Table1[[#This Row],[Product Info ]],"-")</f>
        <v xml:space="preserve"> Furniture</v>
      </c>
      <c r="O54" s="7" t="str">
        <f>_xlfn.TEXTJOIN(" | ",,Table1[[#This Row],[Region]],Table1[[#This Row],[Salesperson]])</f>
        <v>Rajshahi | Mim</v>
      </c>
      <c r="P54" s="7" t="str">
        <f>_xlfn.TEXTJOIN("-",,Table1[[#This Row],[OrderID]],"BD")</f>
        <v>1054-BD</v>
      </c>
      <c r="Q54" s="7">
        <f>LEN(Table1[[#This Row],[Category]])</f>
        <v>9</v>
      </c>
      <c r="R54" s="7" t="str">
        <f>LEFT(Table1[[#This Row],[Salesperson]],1)</f>
        <v>M</v>
      </c>
    </row>
    <row r="55" spans="1:18" x14ac:dyDescent="0.25">
      <c r="A55" s="2">
        <v>1055</v>
      </c>
      <c r="B55" s="3">
        <v>46174</v>
      </c>
      <c r="C55" s="4" t="s">
        <v>29</v>
      </c>
      <c r="D55" s="4" t="s">
        <v>24</v>
      </c>
      <c r="E55" s="4" t="s">
        <v>31</v>
      </c>
      <c r="F55" s="4" t="s">
        <v>13</v>
      </c>
      <c r="G55" s="2">
        <v>2</v>
      </c>
      <c r="H55" s="5">
        <v>597</v>
      </c>
      <c r="I55" s="2">
        <v>15</v>
      </c>
      <c r="J55" s="4" t="s">
        <v>27</v>
      </c>
      <c r="K55" t="s">
        <v>36</v>
      </c>
      <c r="L55" t="str">
        <f>_xlfn.TEXTJOIN(" - ",,Table1[[#This Row],[Product]],Table1[[#This Row],[Category]])</f>
        <v>Desk - Furniture</v>
      </c>
      <c r="M55" t="str">
        <f>_xlfn.TEXTBEFORE(Table1[[#This Row],[Product Info ]]," - ")</f>
        <v>Desk</v>
      </c>
      <c r="N55" t="str">
        <f>_xlfn.TEXTAFTER(Table1[[#This Row],[Product Info ]],"-")</f>
        <v xml:space="preserve"> Furniture</v>
      </c>
      <c r="O55" s="7" t="str">
        <f>_xlfn.TEXTJOIN(" | ",,Table1[[#This Row],[Region]],Table1[[#This Row],[Salesperson]])</f>
        <v>Chattogram | Mim</v>
      </c>
      <c r="P55" s="7" t="str">
        <f>_xlfn.TEXTJOIN("-",,Table1[[#This Row],[OrderID]],"BD")</f>
        <v>1055-BD</v>
      </c>
      <c r="Q55" s="7">
        <f>LEN(Table1[[#This Row],[Category]])</f>
        <v>9</v>
      </c>
      <c r="R55" s="7" t="str">
        <f>LEFT(Table1[[#This Row],[Salesperson]],1)</f>
        <v>M</v>
      </c>
    </row>
    <row r="56" spans="1:18" x14ac:dyDescent="0.25">
      <c r="A56" s="2">
        <v>1056</v>
      </c>
      <c r="B56" s="3">
        <v>46089</v>
      </c>
      <c r="C56" s="4" t="s">
        <v>20</v>
      </c>
      <c r="D56" s="4" t="s">
        <v>16</v>
      </c>
      <c r="E56" s="4" t="s">
        <v>22</v>
      </c>
      <c r="F56" s="4" t="s">
        <v>23</v>
      </c>
      <c r="G56" s="2">
        <v>10</v>
      </c>
      <c r="H56" s="5">
        <v>450</v>
      </c>
      <c r="I56" s="2">
        <v>15</v>
      </c>
      <c r="J56" s="4" t="s">
        <v>27</v>
      </c>
      <c r="K56" t="s">
        <v>34</v>
      </c>
      <c r="L56" t="str">
        <f>_xlfn.TEXTJOIN(" - ",,Table1[[#This Row],[Product]],Table1[[#This Row],[Category]])</f>
        <v>Notebook - Stationery</v>
      </c>
      <c r="M56" t="str">
        <f>_xlfn.TEXTBEFORE(Table1[[#This Row],[Product Info ]]," - ")</f>
        <v>Notebook</v>
      </c>
      <c r="N56" t="str">
        <f>_xlfn.TEXTAFTER(Table1[[#This Row],[Product Info ]],"-")</f>
        <v xml:space="preserve"> Stationery</v>
      </c>
      <c r="O56" s="7" t="str">
        <f>_xlfn.TEXTJOIN(" | ",,Table1[[#This Row],[Region]],Table1[[#This Row],[Salesperson]])</f>
        <v>Rajshahi | Rafi</v>
      </c>
      <c r="P56" s="7" t="str">
        <f>_xlfn.TEXTJOIN("-",,Table1[[#This Row],[OrderID]],"BD")</f>
        <v>1056-BD</v>
      </c>
      <c r="Q56" s="7">
        <f>LEN(Table1[[#This Row],[Category]])</f>
        <v>10</v>
      </c>
      <c r="R56" s="7" t="str">
        <f>LEFT(Table1[[#This Row],[Salesperson]],1)</f>
        <v>R</v>
      </c>
    </row>
    <row r="57" spans="1:18" x14ac:dyDescent="0.25">
      <c r="A57" s="2">
        <v>1057</v>
      </c>
      <c r="B57" s="3">
        <v>46179</v>
      </c>
      <c r="C57" s="4" t="s">
        <v>10</v>
      </c>
      <c r="D57" s="4" t="s">
        <v>28</v>
      </c>
      <c r="E57" s="4" t="s">
        <v>17</v>
      </c>
      <c r="F57" s="4" t="s">
        <v>18</v>
      </c>
      <c r="G57" s="2">
        <v>2</v>
      </c>
      <c r="H57" s="5">
        <v>619</v>
      </c>
      <c r="I57" s="2">
        <v>0</v>
      </c>
      <c r="J57" s="4" t="s">
        <v>27</v>
      </c>
      <c r="K57" t="s">
        <v>37</v>
      </c>
      <c r="L57" t="str">
        <f>_xlfn.TEXTJOIN(" - ",,Table1[[#This Row],[Product]],Table1[[#This Row],[Category]])</f>
        <v>Mouse - Electronics</v>
      </c>
      <c r="M57" t="str">
        <f>_xlfn.TEXTBEFORE(Table1[[#This Row],[Product Info ]]," - ")</f>
        <v>Mouse</v>
      </c>
      <c r="N57" t="str">
        <f>_xlfn.TEXTAFTER(Table1[[#This Row],[Product Info ]],"-")</f>
        <v xml:space="preserve"> Electronics</v>
      </c>
      <c r="O57" s="7" t="str">
        <f>_xlfn.TEXTJOIN(" | ",,Table1[[#This Row],[Region]],Table1[[#This Row],[Salesperson]])</f>
        <v>Khulna | Nila</v>
      </c>
      <c r="P57" s="7" t="str">
        <f>_xlfn.TEXTJOIN("-",,Table1[[#This Row],[OrderID]],"BD")</f>
        <v>1057-BD</v>
      </c>
      <c r="Q57" s="7">
        <f>LEN(Table1[[#This Row],[Category]])</f>
        <v>11</v>
      </c>
      <c r="R57" s="7" t="str">
        <f>LEFT(Table1[[#This Row],[Salesperson]],1)</f>
        <v>N</v>
      </c>
    </row>
    <row r="58" spans="1:18" x14ac:dyDescent="0.25">
      <c r="A58" s="2">
        <v>1058</v>
      </c>
      <c r="B58" s="3">
        <v>46134</v>
      </c>
      <c r="C58" s="4" t="s">
        <v>20</v>
      </c>
      <c r="D58" s="4" t="s">
        <v>16</v>
      </c>
      <c r="E58" s="4" t="s">
        <v>25</v>
      </c>
      <c r="F58" s="4" t="s">
        <v>18</v>
      </c>
      <c r="G58" s="2">
        <v>8</v>
      </c>
      <c r="H58" s="5">
        <v>426</v>
      </c>
      <c r="I58" s="2">
        <v>15</v>
      </c>
      <c r="J58" s="4" t="s">
        <v>27</v>
      </c>
      <c r="K58" t="s">
        <v>34</v>
      </c>
      <c r="L58" t="str">
        <f>_xlfn.TEXTJOIN(" - ",,Table1[[#This Row],[Product]],Table1[[#This Row],[Category]])</f>
        <v>Laptop - Electronics</v>
      </c>
      <c r="M58" t="str">
        <f>_xlfn.TEXTBEFORE(Table1[[#This Row],[Product Info ]]," - ")</f>
        <v>Laptop</v>
      </c>
      <c r="N58" t="str">
        <f>_xlfn.TEXTAFTER(Table1[[#This Row],[Product Info ]],"-")</f>
        <v xml:space="preserve"> Electronics</v>
      </c>
      <c r="O58" s="7" t="str">
        <f>_xlfn.TEXTJOIN(" | ",,Table1[[#This Row],[Region]],Table1[[#This Row],[Salesperson]])</f>
        <v>Rajshahi | Rafi</v>
      </c>
      <c r="P58" s="7" t="str">
        <f>_xlfn.TEXTJOIN("-",,Table1[[#This Row],[OrderID]],"BD")</f>
        <v>1058-BD</v>
      </c>
      <c r="Q58" s="7">
        <f>LEN(Table1[[#This Row],[Category]])</f>
        <v>11</v>
      </c>
      <c r="R58" s="7" t="str">
        <f>LEFT(Table1[[#This Row],[Salesperson]],1)</f>
        <v>R</v>
      </c>
    </row>
    <row r="59" spans="1:18" x14ac:dyDescent="0.25">
      <c r="A59" s="2">
        <v>1059</v>
      </c>
      <c r="B59" s="3">
        <v>46108</v>
      </c>
      <c r="C59" s="4" t="s">
        <v>15</v>
      </c>
      <c r="D59" s="4" t="s">
        <v>11</v>
      </c>
      <c r="E59" s="4" t="s">
        <v>26</v>
      </c>
      <c r="F59" s="4" t="s">
        <v>23</v>
      </c>
      <c r="G59" s="2">
        <v>7</v>
      </c>
      <c r="H59" s="5">
        <v>1119</v>
      </c>
      <c r="I59" s="2">
        <v>15</v>
      </c>
      <c r="J59" s="4" t="s">
        <v>14</v>
      </c>
      <c r="K59" t="s">
        <v>33</v>
      </c>
      <c r="L59" t="str">
        <f>_xlfn.TEXTJOIN(" - ",,Table1[[#This Row],[Product]],Table1[[#This Row],[Category]])</f>
        <v>Pen - Stationery</v>
      </c>
      <c r="M59" t="str">
        <f>_xlfn.TEXTBEFORE(Table1[[#This Row],[Product Info ]]," - ")</f>
        <v>Pen</v>
      </c>
      <c r="N59" t="str">
        <f>_xlfn.TEXTAFTER(Table1[[#This Row],[Product Info ]],"-")</f>
        <v xml:space="preserve"> Stationery</v>
      </c>
      <c r="O59" s="7" t="str">
        <f>_xlfn.TEXTJOIN(" | ",,Table1[[#This Row],[Region]],Table1[[#This Row],[Salesperson]])</f>
        <v>Dhaka | Ayan</v>
      </c>
      <c r="P59" s="7" t="str">
        <f>_xlfn.TEXTJOIN("-",,Table1[[#This Row],[OrderID]],"BD")</f>
        <v>1059-BD</v>
      </c>
      <c r="Q59" s="7">
        <f>LEN(Table1[[#This Row],[Category]])</f>
        <v>10</v>
      </c>
      <c r="R59" s="7" t="str">
        <f>LEFT(Table1[[#This Row],[Salesperson]],1)</f>
        <v>A</v>
      </c>
    </row>
    <row r="60" spans="1:18" x14ac:dyDescent="0.25">
      <c r="A60" s="2">
        <v>1060</v>
      </c>
      <c r="B60" s="3">
        <v>46026</v>
      </c>
      <c r="C60" s="4" t="s">
        <v>10</v>
      </c>
      <c r="D60" s="4" t="s">
        <v>16</v>
      </c>
      <c r="E60" s="4" t="s">
        <v>26</v>
      </c>
      <c r="F60" s="4" t="s">
        <v>23</v>
      </c>
      <c r="G60" s="2">
        <v>10</v>
      </c>
      <c r="H60" s="5">
        <v>1170</v>
      </c>
      <c r="I60" s="2">
        <v>10</v>
      </c>
      <c r="J60" s="4" t="s">
        <v>14</v>
      </c>
      <c r="K60" t="s">
        <v>34</v>
      </c>
      <c r="L60" t="str">
        <f>_xlfn.TEXTJOIN(" - ",,Table1[[#This Row],[Product]],Table1[[#This Row],[Category]])</f>
        <v>Pen - Stationery</v>
      </c>
      <c r="M60" t="str">
        <f>_xlfn.TEXTBEFORE(Table1[[#This Row],[Product Info ]]," - ")</f>
        <v>Pen</v>
      </c>
      <c r="N60" t="str">
        <f>_xlfn.TEXTAFTER(Table1[[#This Row],[Product Info ]],"-")</f>
        <v xml:space="preserve"> Stationery</v>
      </c>
      <c r="O60" s="7" t="str">
        <f>_xlfn.TEXTJOIN(" | ",,Table1[[#This Row],[Region]],Table1[[#This Row],[Salesperson]])</f>
        <v>Khulna | Rafi</v>
      </c>
      <c r="P60" s="7" t="str">
        <f>_xlfn.TEXTJOIN("-",,Table1[[#This Row],[OrderID]],"BD")</f>
        <v>1060-BD</v>
      </c>
      <c r="Q60" s="7">
        <f>LEN(Table1[[#This Row],[Category]])</f>
        <v>10</v>
      </c>
      <c r="R60" s="7" t="str">
        <f>LEFT(Table1[[#This Row],[Salesperson]],1)</f>
        <v>R</v>
      </c>
    </row>
    <row r="61" spans="1:18" x14ac:dyDescent="0.25">
      <c r="A61" s="2">
        <v>1061</v>
      </c>
      <c r="B61" s="3">
        <v>46095</v>
      </c>
      <c r="C61" s="4" t="s">
        <v>15</v>
      </c>
      <c r="D61" s="4" t="s">
        <v>16</v>
      </c>
      <c r="E61" s="4" t="s">
        <v>12</v>
      </c>
      <c r="F61" s="4" t="s">
        <v>13</v>
      </c>
      <c r="G61" s="2">
        <v>5</v>
      </c>
      <c r="H61" s="5">
        <v>1714</v>
      </c>
      <c r="I61" s="2">
        <v>0</v>
      </c>
      <c r="J61" s="4" t="s">
        <v>27</v>
      </c>
      <c r="K61" t="s">
        <v>34</v>
      </c>
      <c r="L61" t="str">
        <f>_xlfn.TEXTJOIN(" - ",,Table1[[#This Row],[Product]],Table1[[#This Row],[Category]])</f>
        <v>Chair - Furniture</v>
      </c>
      <c r="M61" t="str">
        <f>_xlfn.TEXTBEFORE(Table1[[#This Row],[Product Info ]]," - ")</f>
        <v>Chair</v>
      </c>
      <c r="N61" t="str">
        <f>_xlfn.TEXTAFTER(Table1[[#This Row],[Product Info ]],"-")</f>
        <v xml:space="preserve"> Furniture</v>
      </c>
      <c r="O61" s="7" t="str">
        <f>_xlfn.TEXTJOIN(" | ",,Table1[[#This Row],[Region]],Table1[[#This Row],[Salesperson]])</f>
        <v>Dhaka | Rafi</v>
      </c>
      <c r="P61" s="7" t="str">
        <f>_xlfn.TEXTJOIN("-",,Table1[[#This Row],[OrderID]],"BD")</f>
        <v>1061-BD</v>
      </c>
      <c r="Q61" s="7">
        <f>LEN(Table1[[#This Row],[Category]])</f>
        <v>9</v>
      </c>
      <c r="R61" s="7" t="str">
        <f>LEFT(Table1[[#This Row],[Salesperson]],1)</f>
        <v>R</v>
      </c>
    </row>
    <row r="62" spans="1:18" x14ac:dyDescent="0.25">
      <c r="A62" s="2">
        <v>1062</v>
      </c>
      <c r="B62" s="3">
        <v>46125</v>
      </c>
      <c r="C62" s="4" t="s">
        <v>10</v>
      </c>
      <c r="D62" s="4" t="s">
        <v>28</v>
      </c>
      <c r="E62" s="4" t="s">
        <v>25</v>
      </c>
      <c r="F62" s="4" t="s">
        <v>18</v>
      </c>
      <c r="G62" s="2">
        <v>9</v>
      </c>
      <c r="H62" s="5">
        <v>920</v>
      </c>
      <c r="I62" s="2">
        <v>0</v>
      </c>
      <c r="J62" s="4" t="s">
        <v>19</v>
      </c>
      <c r="K62" t="s">
        <v>37</v>
      </c>
      <c r="L62" t="str">
        <f>_xlfn.TEXTJOIN(" - ",,Table1[[#This Row],[Product]],Table1[[#This Row],[Category]])</f>
        <v>Laptop - Electronics</v>
      </c>
      <c r="M62" t="str">
        <f>_xlfn.TEXTBEFORE(Table1[[#This Row],[Product Info ]]," - ")</f>
        <v>Laptop</v>
      </c>
      <c r="N62" t="str">
        <f>_xlfn.TEXTAFTER(Table1[[#This Row],[Product Info ]],"-")</f>
        <v xml:space="preserve"> Electronics</v>
      </c>
      <c r="O62" s="7" t="str">
        <f>_xlfn.TEXTJOIN(" | ",,Table1[[#This Row],[Region]],Table1[[#This Row],[Salesperson]])</f>
        <v>Khulna | Nila</v>
      </c>
      <c r="P62" s="7" t="str">
        <f>_xlfn.TEXTJOIN("-",,Table1[[#This Row],[OrderID]],"BD")</f>
        <v>1062-BD</v>
      </c>
      <c r="Q62" s="7">
        <f>LEN(Table1[[#This Row],[Category]])</f>
        <v>11</v>
      </c>
      <c r="R62" s="7" t="str">
        <f>LEFT(Table1[[#This Row],[Salesperson]],1)</f>
        <v>N</v>
      </c>
    </row>
    <row r="63" spans="1:18" x14ac:dyDescent="0.25">
      <c r="A63" s="2">
        <v>1063</v>
      </c>
      <c r="B63" s="3">
        <v>46164</v>
      </c>
      <c r="C63" s="4" t="s">
        <v>10</v>
      </c>
      <c r="D63" s="4" t="s">
        <v>24</v>
      </c>
      <c r="E63" s="4" t="s">
        <v>22</v>
      </c>
      <c r="F63" s="4" t="s">
        <v>23</v>
      </c>
      <c r="G63" s="2">
        <v>2</v>
      </c>
      <c r="H63" s="5">
        <v>1242</v>
      </c>
      <c r="I63" s="2">
        <v>10</v>
      </c>
      <c r="J63" s="4" t="s">
        <v>14</v>
      </c>
      <c r="K63" t="s">
        <v>36</v>
      </c>
      <c r="L63" t="str">
        <f>_xlfn.TEXTJOIN(" - ",,Table1[[#This Row],[Product]],Table1[[#This Row],[Category]])</f>
        <v>Notebook - Stationery</v>
      </c>
      <c r="M63" t="str">
        <f>_xlfn.TEXTBEFORE(Table1[[#This Row],[Product Info ]]," - ")</f>
        <v>Notebook</v>
      </c>
      <c r="N63" t="str">
        <f>_xlfn.TEXTAFTER(Table1[[#This Row],[Product Info ]],"-")</f>
        <v xml:space="preserve"> Stationery</v>
      </c>
      <c r="O63" s="7" t="str">
        <f>_xlfn.TEXTJOIN(" | ",,Table1[[#This Row],[Region]],Table1[[#This Row],[Salesperson]])</f>
        <v>Khulna | Mim</v>
      </c>
      <c r="P63" s="7" t="str">
        <f>_xlfn.TEXTJOIN("-",,Table1[[#This Row],[OrderID]],"BD")</f>
        <v>1063-BD</v>
      </c>
      <c r="Q63" s="7">
        <f>LEN(Table1[[#This Row],[Category]])</f>
        <v>10</v>
      </c>
      <c r="R63" s="7" t="str">
        <f>LEFT(Table1[[#This Row],[Salesperson]],1)</f>
        <v>M</v>
      </c>
    </row>
    <row r="64" spans="1:18" x14ac:dyDescent="0.25">
      <c r="A64" s="2">
        <v>1064</v>
      </c>
      <c r="B64" s="3">
        <v>46081</v>
      </c>
      <c r="C64" s="4" t="s">
        <v>29</v>
      </c>
      <c r="D64" s="4" t="s">
        <v>28</v>
      </c>
      <c r="E64" s="4" t="s">
        <v>22</v>
      </c>
      <c r="F64" s="4" t="s">
        <v>23</v>
      </c>
      <c r="G64" s="2">
        <v>1</v>
      </c>
      <c r="H64" s="5">
        <v>500</v>
      </c>
      <c r="I64" s="2">
        <v>0</v>
      </c>
      <c r="J64" s="4" t="s">
        <v>19</v>
      </c>
      <c r="K64" t="s">
        <v>37</v>
      </c>
      <c r="L64" t="str">
        <f>_xlfn.TEXTJOIN(" - ",,Table1[[#This Row],[Product]],Table1[[#This Row],[Category]])</f>
        <v>Notebook - Stationery</v>
      </c>
      <c r="M64" t="str">
        <f>_xlfn.TEXTBEFORE(Table1[[#This Row],[Product Info ]]," - ")</f>
        <v>Notebook</v>
      </c>
      <c r="N64" t="str">
        <f>_xlfn.TEXTAFTER(Table1[[#This Row],[Product Info ]],"-")</f>
        <v xml:space="preserve"> Stationery</v>
      </c>
      <c r="O64" s="7" t="str">
        <f>_xlfn.TEXTJOIN(" | ",,Table1[[#This Row],[Region]],Table1[[#This Row],[Salesperson]])</f>
        <v>Chattogram | Nila</v>
      </c>
      <c r="P64" s="7" t="str">
        <f>_xlfn.TEXTJOIN("-",,Table1[[#This Row],[OrderID]],"BD")</f>
        <v>1064-BD</v>
      </c>
      <c r="Q64" s="7">
        <f>LEN(Table1[[#This Row],[Category]])</f>
        <v>10</v>
      </c>
      <c r="R64" s="7" t="str">
        <f>LEFT(Table1[[#This Row],[Salesperson]],1)</f>
        <v>N</v>
      </c>
    </row>
    <row r="65" spans="1:18" x14ac:dyDescent="0.25">
      <c r="A65" s="2">
        <v>1065</v>
      </c>
      <c r="B65" s="3">
        <v>46157</v>
      </c>
      <c r="C65" s="4" t="s">
        <v>29</v>
      </c>
      <c r="D65" s="4" t="s">
        <v>16</v>
      </c>
      <c r="E65" s="4" t="s">
        <v>17</v>
      </c>
      <c r="F65" s="4" t="s">
        <v>18</v>
      </c>
      <c r="G65" s="2">
        <v>5</v>
      </c>
      <c r="H65" s="5">
        <v>1649</v>
      </c>
      <c r="I65" s="2">
        <v>15</v>
      </c>
      <c r="J65" s="4" t="s">
        <v>27</v>
      </c>
      <c r="K65" t="s">
        <v>34</v>
      </c>
      <c r="L65" t="str">
        <f>_xlfn.TEXTJOIN(" - ",,Table1[[#This Row],[Product]],Table1[[#This Row],[Category]])</f>
        <v>Mouse - Electronics</v>
      </c>
      <c r="M65" t="str">
        <f>_xlfn.TEXTBEFORE(Table1[[#This Row],[Product Info ]]," - ")</f>
        <v>Mouse</v>
      </c>
      <c r="N65" t="str">
        <f>_xlfn.TEXTAFTER(Table1[[#This Row],[Product Info ]],"-")</f>
        <v xml:space="preserve"> Electronics</v>
      </c>
      <c r="O65" s="7" t="str">
        <f>_xlfn.TEXTJOIN(" | ",,Table1[[#This Row],[Region]],Table1[[#This Row],[Salesperson]])</f>
        <v>Chattogram | Rafi</v>
      </c>
      <c r="P65" s="7" t="str">
        <f>_xlfn.TEXTJOIN("-",,Table1[[#This Row],[OrderID]],"BD")</f>
        <v>1065-BD</v>
      </c>
      <c r="Q65" s="7">
        <f>LEN(Table1[[#This Row],[Category]])</f>
        <v>11</v>
      </c>
      <c r="R65" s="7" t="str">
        <f>LEFT(Table1[[#This Row],[Salesperson]],1)</f>
        <v>R</v>
      </c>
    </row>
    <row r="66" spans="1:18" x14ac:dyDescent="0.25">
      <c r="A66" s="2">
        <v>1066</v>
      </c>
      <c r="B66" s="3">
        <v>46169</v>
      </c>
      <c r="C66" s="4" t="s">
        <v>15</v>
      </c>
      <c r="D66" s="4" t="s">
        <v>28</v>
      </c>
      <c r="E66" s="4" t="s">
        <v>12</v>
      </c>
      <c r="F66" s="4" t="s">
        <v>13</v>
      </c>
      <c r="G66" s="2">
        <v>2</v>
      </c>
      <c r="H66" s="5">
        <v>900</v>
      </c>
      <c r="I66" s="2">
        <v>10</v>
      </c>
      <c r="J66" s="4" t="s">
        <v>27</v>
      </c>
      <c r="K66" t="s">
        <v>37</v>
      </c>
      <c r="L66" t="str">
        <f>_xlfn.TEXTJOIN(" - ",,Table1[[#This Row],[Product]],Table1[[#This Row],[Category]])</f>
        <v>Chair - Furniture</v>
      </c>
      <c r="M66" t="str">
        <f>_xlfn.TEXTBEFORE(Table1[[#This Row],[Product Info ]]," - ")</f>
        <v>Chair</v>
      </c>
      <c r="N66" t="str">
        <f>_xlfn.TEXTAFTER(Table1[[#This Row],[Product Info ]],"-")</f>
        <v xml:space="preserve"> Furniture</v>
      </c>
      <c r="O66" s="7" t="str">
        <f>_xlfn.TEXTJOIN(" | ",,Table1[[#This Row],[Region]],Table1[[#This Row],[Salesperson]])</f>
        <v>Dhaka | Nila</v>
      </c>
      <c r="P66" s="7" t="str">
        <f>_xlfn.TEXTJOIN("-",,Table1[[#This Row],[OrderID]],"BD")</f>
        <v>1066-BD</v>
      </c>
      <c r="Q66" s="7">
        <f>LEN(Table1[[#This Row],[Category]])</f>
        <v>9</v>
      </c>
      <c r="R66" s="7" t="str">
        <f>LEFT(Table1[[#This Row],[Salesperson]],1)</f>
        <v>N</v>
      </c>
    </row>
    <row r="67" spans="1:18" x14ac:dyDescent="0.25">
      <c r="A67" s="2">
        <v>1067</v>
      </c>
      <c r="B67" s="3">
        <v>46146</v>
      </c>
      <c r="C67" s="4" t="s">
        <v>20</v>
      </c>
      <c r="D67" s="4" t="s">
        <v>28</v>
      </c>
      <c r="E67" s="4" t="s">
        <v>25</v>
      </c>
      <c r="F67" s="4" t="s">
        <v>18</v>
      </c>
      <c r="G67" s="2">
        <v>7</v>
      </c>
      <c r="H67" s="5">
        <v>1058</v>
      </c>
      <c r="I67" s="2">
        <v>10</v>
      </c>
      <c r="J67" s="4" t="s">
        <v>19</v>
      </c>
      <c r="K67" t="s">
        <v>37</v>
      </c>
      <c r="L67" t="str">
        <f>_xlfn.TEXTJOIN(" - ",,Table1[[#This Row],[Product]],Table1[[#This Row],[Category]])</f>
        <v>Laptop - Electronics</v>
      </c>
      <c r="M67" t="str">
        <f>_xlfn.TEXTBEFORE(Table1[[#This Row],[Product Info ]]," - ")</f>
        <v>Laptop</v>
      </c>
      <c r="N67" t="str">
        <f>_xlfn.TEXTAFTER(Table1[[#This Row],[Product Info ]],"-")</f>
        <v xml:space="preserve"> Electronics</v>
      </c>
      <c r="O67" s="7" t="str">
        <f>_xlfn.TEXTJOIN(" | ",,Table1[[#This Row],[Region]],Table1[[#This Row],[Salesperson]])</f>
        <v>Rajshahi | Nila</v>
      </c>
      <c r="P67" s="7" t="str">
        <f>_xlfn.TEXTJOIN("-",,Table1[[#This Row],[OrderID]],"BD")</f>
        <v>1067-BD</v>
      </c>
      <c r="Q67" s="7">
        <f>LEN(Table1[[#This Row],[Category]])</f>
        <v>11</v>
      </c>
      <c r="R67" s="7" t="str">
        <f>LEFT(Table1[[#This Row],[Salesperson]],1)</f>
        <v>N</v>
      </c>
    </row>
    <row r="68" spans="1:18" x14ac:dyDescent="0.25">
      <c r="A68" s="2">
        <v>1068</v>
      </c>
      <c r="B68" s="3">
        <v>46175</v>
      </c>
      <c r="C68" s="4" t="s">
        <v>15</v>
      </c>
      <c r="D68" s="4" t="s">
        <v>28</v>
      </c>
      <c r="E68" s="4" t="s">
        <v>12</v>
      </c>
      <c r="F68" s="4" t="s">
        <v>13</v>
      </c>
      <c r="G68" s="2">
        <v>10</v>
      </c>
      <c r="H68" s="5">
        <v>1039</v>
      </c>
      <c r="I68" s="2">
        <v>5</v>
      </c>
      <c r="J68" s="4" t="s">
        <v>19</v>
      </c>
      <c r="K68" t="s">
        <v>37</v>
      </c>
      <c r="L68" t="str">
        <f>_xlfn.TEXTJOIN(" - ",,Table1[[#This Row],[Product]],Table1[[#This Row],[Category]])</f>
        <v>Chair - Furniture</v>
      </c>
      <c r="M68" t="str">
        <f>_xlfn.TEXTBEFORE(Table1[[#This Row],[Product Info ]]," - ")</f>
        <v>Chair</v>
      </c>
      <c r="N68" t="str">
        <f>_xlfn.TEXTAFTER(Table1[[#This Row],[Product Info ]],"-")</f>
        <v xml:space="preserve"> Furniture</v>
      </c>
      <c r="O68" s="7" t="str">
        <f>_xlfn.TEXTJOIN(" | ",,Table1[[#This Row],[Region]],Table1[[#This Row],[Salesperson]])</f>
        <v>Dhaka | Nila</v>
      </c>
      <c r="P68" s="7" t="str">
        <f>_xlfn.TEXTJOIN("-",,Table1[[#This Row],[OrderID]],"BD")</f>
        <v>1068-BD</v>
      </c>
      <c r="Q68" s="7">
        <f>LEN(Table1[[#This Row],[Category]])</f>
        <v>9</v>
      </c>
      <c r="R68" s="7" t="str">
        <f>LEFT(Table1[[#This Row],[Salesperson]],1)</f>
        <v>N</v>
      </c>
    </row>
    <row r="69" spans="1:18" x14ac:dyDescent="0.25">
      <c r="A69" s="2">
        <v>1069</v>
      </c>
      <c r="B69" s="3">
        <v>46042</v>
      </c>
      <c r="C69" s="4" t="s">
        <v>20</v>
      </c>
      <c r="D69" s="4" t="s">
        <v>11</v>
      </c>
      <c r="E69" s="4" t="s">
        <v>26</v>
      </c>
      <c r="F69" s="4" t="s">
        <v>23</v>
      </c>
      <c r="G69" s="2">
        <v>4</v>
      </c>
      <c r="H69" s="5">
        <v>1008</v>
      </c>
      <c r="I69" s="2">
        <v>15</v>
      </c>
      <c r="J69" s="4" t="s">
        <v>19</v>
      </c>
      <c r="K69" t="s">
        <v>33</v>
      </c>
      <c r="L69" t="str">
        <f>_xlfn.TEXTJOIN(" - ",,Table1[[#This Row],[Product]],Table1[[#This Row],[Category]])</f>
        <v>Pen - Stationery</v>
      </c>
      <c r="M69" t="str">
        <f>_xlfn.TEXTBEFORE(Table1[[#This Row],[Product Info ]]," - ")</f>
        <v>Pen</v>
      </c>
      <c r="N69" t="str">
        <f>_xlfn.TEXTAFTER(Table1[[#This Row],[Product Info ]],"-")</f>
        <v xml:space="preserve"> Stationery</v>
      </c>
      <c r="O69" s="7" t="str">
        <f>_xlfn.TEXTJOIN(" | ",,Table1[[#This Row],[Region]],Table1[[#This Row],[Salesperson]])</f>
        <v>Rajshahi | Ayan</v>
      </c>
      <c r="P69" s="7" t="str">
        <f>_xlfn.TEXTJOIN("-",,Table1[[#This Row],[OrderID]],"BD")</f>
        <v>1069-BD</v>
      </c>
      <c r="Q69" s="7">
        <f>LEN(Table1[[#This Row],[Category]])</f>
        <v>10</v>
      </c>
      <c r="R69" s="7" t="str">
        <f>LEFT(Table1[[#This Row],[Salesperson]],1)</f>
        <v>A</v>
      </c>
    </row>
    <row r="70" spans="1:18" x14ac:dyDescent="0.25">
      <c r="A70" s="2">
        <v>1070</v>
      </c>
      <c r="B70" s="3">
        <v>46061</v>
      </c>
      <c r="C70" s="4" t="s">
        <v>15</v>
      </c>
      <c r="D70" s="4" t="s">
        <v>28</v>
      </c>
      <c r="E70" s="4" t="s">
        <v>31</v>
      </c>
      <c r="F70" s="4" t="s">
        <v>13</v>
      </c>
      <c r="G70" s="2">
        <v>8</v>
      </c>
      <c r="H70" s="5">
        <v>1318</v>
      </c>
      <c r="I70" s="2">
        <v>5</v>
      </c>
      <c r="J70" s="4" t="s">
        <v>19</v>
      </c>
      <c r="K70" t="s">
        <v>37</v>
      </c>
      <c r="L70" t="str">
        <f>_xlfn.TEXTJOIN(" - ",,Table1[[#This Row],[Product]],Table1[[#This Row],[Category]])</f>
        <v>Desk - Furniture</v>
      </c>
      <c r="M70" t="str">
        <f>_xlfn.TEXTBEFORE(Table1[[#This Row],[Product Info ]]," - ")</f>
        <v>Desk</v>
      </c>
      <c r="N70" t="str">
        <f>_xlfn.TEXTAFTER(Table1[[#This Row],[Product Info ]],"-")</f>
        <v xml:space="preserve"> Furniture</v>
      </c>
      <c r="O70" s="7" t="str">
        <f>_xlfn.TEXTJOIN(" | ",,Table1[[#This Row],[Region]],Table1[[#This Row],[Salesperson]])</f>
        <v>Dhaka | Nila</v>
      </c>
      <c r="P70" s="7" t="str">
        <f>_xlfn.TEXTJOIN("-",,Table1[[#This Row],[OrderID]],"BD")</f>
        <v>1070-BD</v>
      </c>
      <c r="Q70" s="7">
        <f>LEN(Table1[[#This Row],[Category]])</f>
        <v>9</v>
      </c>
      <c r="R70" s="7" t="str">
        <f>LEFT(Table1[[#This Row],[Salesperson]],1)</f>
        <v>N</v>
      </c>
    </row>
    <row r="71" spans="1:18" x14ac:dyDescent="0.25">
      <c r="A71" s="2">
        <v>1071</v>
      </c>
      <c r="B71" s="3">
        <v>46190</v>
      </c>
      <c r="C71" s="4" t="s">
        <v>20</v>
      </c>
      <c r="D71" s="4" t="s">
        <v>11</v>
      </c>
      <c r="E71" s="4" t="s">
        <v>22</v>
      </c>
      <c r="F71" s="4" t="s">
        <v>23</v>
      </c>
      <c r="G71" s="2">
        <v>9</v>
      </c>
      <c r="H71" s="5">
        <v>1096</v>
      </c>
      <c r="I71" s="2">
        <v>5</v>
      </c>
      <c r="J71" s="4" t="s">
        <v>14</v>
      </c>
      <c r="K71" t="s">
        <v>33</v>
      </c>
      <c r="L71" t="str">
        <f>_xlfn.TEXTJOIN(" - ",,Table1[[#This Row],[Product]],Table1[[#This Row],[Category]])</f>
        <v>Notebook - Stationery</v>
      </c>
      <c r="M71" t="str">
        <f>_xlfn.TEXTBEFORE(Table1[[#This Row],[Product Info ]]," - ")</f>
        <v>Notebook</v>
      </c>
      <c r="N71" t="str">
        <f>_xlfn.TEXTAFTER(Table1[[#This Row],[Product Info ]],"-")</f>
        <v xml:space="preserve"> Stationery</v>
      </c>
      <c r="O71" s="7" t="str">
        <f>_xlfn.TEXTJOIN(" | ",,Table1[[#This Row],[Region]],Table1[[#This Row],[Salesperson]])</f>
        <v>Rajshahi | Ayan</v>
      </c>
      <c r="P71" s="7" t="str">
        <f>_xlfn.TEXTJOIN("-",,Table1[[#This Row],[OrderID]],"BD")</f>
        <v>1071-BD</v>
      </c>
      <c r="Q71" s="7">
        <f>LEN(Table1[[#This Row],[Category]])</f>
        <v>10</v>
      </c>
      <c r="R71" s="7" t="str">
        <f>LEFT(Table1[[#This Row],[Salesperson]],1)</f>
        <v>A</v>
      </c>
    </row>
    <row r="72" spans="1:18" x14ac:dyDescent="0.25">
      <c r="A72" s="2">
        <v>1072</v>
      </c>
      <c r="B72" s="3">
        <v>46152</v>
      </c>
      <c r="C72" s="4" t="s">
        <v>20</v>
      </c>
      <c r="D72" s="4" t="s">
        <v>16</v>
      </c>
      <c r="E72" s="4" t="s">
        <v>25</v>
      </c>
      <c r="F72" s="4" t="s">
        <v>18</v>
      </c>
      <c r="G72" s="2">
        <v>8</v>
      </c>
      <c r="H72" s="5">
        <v>263</v>
      </c>
      <c r="I72" s="2">
        <v>10</v>
      </c>
      <c r="J72" s="4" t="s">
        <v>19</v>
      </c>
      <c r="K72" t="s">
        <v>34</v>
      </c>
      <c r="L72" t="str">
        <f>_xlfn.TEXTJOIN(" - ",,Table1[[#This Row],[Product]],Table1[[#This Row],[Category]])</f>
        <v>Laptop - Electronics</v>
      </c>
      <c r="M72" t="str">
        <f>_xlfn.TEXTBEFORE(Table1[[#This Row],[Product Info ]]," - ")</f>
        <v>Laptop</v>
      </c>
      <c r="N72" t="str">
        <f>_xlfn.TEXTAFTER(Table1[[#This Row],[Product Info ]],"-")</f>
        <v xml:space="preserve"> Electronics</v>
      </c>
      <c r="O72" s="7" t="str">
        <f>_xlfn.TEXTJOIN(" | ",,Table1[[#This Row],[Region]],Table1[[#This Row],[Salesperson]])</f>
        <v>Rajshahi | Rafi</v>
      </c>
      <c r="P72" s="7" t="str">
        <f>_xlfn.TEXTJOIN("-",,Table1[[#This Row],[OrderID]],"BD")</f>
        <v>1072-BD</v>
      </c>
      <c r="Q72" s="7">
        <f>LEN(Table1[[#This Row],[Category]])</f>
        <v>11</v>
      </c>
      <c r="R72" s="7" t="str">
        <f>LEFT(Table1[[#This Row],[Salesperson]],1)</f>
        <v>R</v>
      </c>
    </row>
    <row r="73" spans="1:18" x14ac:dyDescent="0.25">
      <c r="A73" s="2">
        <v>1073</v>
      </c>
      <c r="B73" s="3">
        <v>46159</v>
      </c>
      <c r="C73" s="4" t="s">
        <v>10</v>
      </c>
      <c r="D73" s="4" t="s">
        <v>21</v>
      </c>
      <c r="E73" s="4" t="s">
        <v>12</v>
      </c>
      <c r="F73" s="4" t="s">
        <v>13</v>
      </c>
      <c r="G73" s="2">
        <v>4</v>
      </c>
      <c r="H73" s="5">
        <v>823</v>
      </c>
      <c r="I73" s="2">
        <v>0</v>
      </c>
      <c r="J73" s="4" t="s">
        <v>19</v>
      </c>
      <c r="K73" t="s">
        <v>35</v>
      </c>
      <c r="L73" t="str">
        <f>_xlfn.TEXTJOIN(" - ",,Table1[[#This Row],[Product]],Table1[[#This Row],[Category]])</f>
        <v>Chair - Furniture</v>
      </c>
      <c r="M73" t="str">
        <f>_xlfn.TEXTBEFORE(Table1[[#This Row],[Product Info ]]," - ")</f>
        <v>Chair</v>
      </c>
      <c r="N73" t="str">
        <f>_xlfn.TEXTAFTER(Table1[[#This Row],[Product Info ]],"-")</f>
        <v xml:space="preserve"> Furniture</v>
      </c>
      <c r="O73" s="7" t="str">
        <f>_xlfn.TEXTJOIN(" | ",,Table1[[#This Row],[Region]],Table1[[#This Row],[Salesperson]])</f>
        <v>Khulna | Tanvir</v>
      </c>
      <c r="P73" s="7" t="str">
        <f>_xlfn.TEXTJOIN("-",,Table1[[#This Row],[OrderID]],"BD")</f>
        <v>1073-BD</v>
      </c>
      <c r="Q73" s="7">
        <f>LEN(Table1[[#This Row],[Category]])</f>
        <v>9</v>
      </c>
      <c r="R73" s="7" t="str">
        <f>LEFT(Table1[[#This Row],[Salesperson]],1)</f>
        <v>T</v>
      </c>
    </row>
    <row r="74" spans="1:18" x14ac:dyDescent="0.25">
      <c r="A74" s="2">
        <v>1074</v>
      </c>
      <c r="B74" s="3">
        <v>46099</v>
      </c>
      <c r="C74" s="4" t="s">
        <v>10</v>
      </c>
      <c r="D74" s="4" t="s">
        <v>24</v>
      </c>
      <c r="E74" s="4" t="s">
        <v>12</v>
      </c>
      <c r="F74" s="4" t="s">
        <v>13</v>
      </c>
      <c r="G74" s="2">
        <v>6</v>
      </c>
      <c r="H74" s="5">
        <v>452</v>
      </c>
      <c r="I74" s="2">
        <v>10</v>
      </c>
      <c r="J74" s="4" t="s">
        <v>14</v>
      </c>
      <c r="K74" t="s">
        <v>36</v>
      </c>
      <c r="L74" t="str">
        <f>_xlfn.TEXTJOIN(" - ",,Table1[[#This Row],[Product]],Table1[[#This Row],[Category]])</f>
        <v>Chair - Furniture</v>
      </c>
      <c r="M74" t="str">
        <f>_xlfn.TEXTBEFORE(Table1[[#This Row],[Product Info ]]," - ")</f>
        <v>Chair</v>
      </c>
      <c r="N74" t="str">
        <f>_xlfn.TEXTAFTER(Table1[[#This Row],[Product Info ]],"-")</f>
        <v xml:space="preserve"> Furniture</v>
      </c>
      <c r="O74" s="7" t="str">
        <f>_xlfn.TEXTJOIN(" | ",,Table1[[#This Row],[Region]],Table1[[#This Row],[Salesperson]])</f>
        <v>Khulna | Mim</v>
      </c>
      <c r="P74" s="7" t="str">
        <f>_xlfn.TEXTJOIN("-",,Table1[[#This Row],[OrderID]],"BD")</f>
        <v>1074-BD</v>
      </c>
      <c r="Q74" s="7">
        <f>LEN(Table1[[#This Row],[Category]])</f>
        <v>9</v>
      </c>
      <c r="R74" s="7" t="str">
        <f>LEFT(Table1[[#This Row],[Salesperson]],1)</f>
        <v>M</v>
      </c>
    </row>
    <row r="75" spans="1:18" x14ac:dyDescent="0.25">
      <c r="A75" s="2">
        <v>1075</v>
      </c>
      <c r="B75" s="3">
        <v>46165</v>
      </c>
      <c r="C75" s="4" t="s">
        <v>10</v>
      </c>
      <c r="D75" s="4" t="s">
        <v>24</v>
      </c>
      <c r="E75" s="4" t="s">
        <v>17</v>
      </c>
      <c r="F75" s="4" t="s">
        <v>18</v>
      </c>
      <c r="G75" s="2">
        <v>8</v>
      </c>
      <c r="H75" s="5">
        <v>1120</v>
      </c>
      <c r="I75" s="2">
        <v>15</v>
      </c>
      <c r="J75" s="4" t="s">
        <v>27</v>
      </c>
      <c r="K75" t="s">
        <v>36</v>
      </c>
      <c r="L75" t="str">
        <f>_xlfn.TEXTJOIN(" - ",,Table1[[#This Row],[Product]],Table1[[#This Row],[Category]])</f>
        <v>Mouse - Electronics</v>
      </c>
      <c r="M75" t="str">
        <f>_xlfn.TEXTBEFORE(Table1[[#This Row],[Product Info ]]," - ")</f>
        <v>Mouse</v>
      </c>
      <c r="N75" t="str">
        <f>_xlfn.TEXTAFTER(Table1[[#This Row],[Product Info ]],"-")</f>
        <v xml:space="preserve"> Electronics</v>
      </c>
      <c r="O75" s="7" t="str">
        <f>_xlfn.TEXTJOIN(" | ",,Table1[[#This Row],[Region]],Table1[[#This Row],[Salesperson]])</f>
        <v>Khulna | Mim</v>
      </c>
      <c r="P75" s="7" t="str">
        <f>_xlfn.TEXTJOIN("-",,Table1[[#This Row],[OrderID]],"BD")</f>
        <v>1075-BD</v>
      </c>
      <c r="Q75" s="7">
        <f>LEN(Table1[[#This Row],[Category]])</f>
        <v>11</v>
      </c>
      <c r="R75" s="7" t="str">
        <f>LEFT(Table1[[#This Row],[Salesperson]],1)</f>
        <v>M</v>
      </c>
    </row>
    <row r="76" spans="1:18" x14ac:dyDescent="0.25">
      <c r="A76" s="2">
        <v>1076</v>
      </c>
      <c r="B76" s="3">
        <v>46078</v>
      </c>
      <c r="C76" s="4" t="s">
        <v>20</v>
      </c>
      <c r="D76" s="4" t="s">
        <v>11</v>
      </c>
      <c r="E76" s="4" t="s">
        <v>31</v>
      </c>
      <c r="F76" s="4" t="s">
        <v>13</v>
      </c>
      <c r="G76" s="2">
        <v>3</v>
      </c>
      <c r="H76" s="5">
        <v>1778</v>
      </c>
      <c r="I76" s="2">
        <v>10</v>
      </c>
      <c r="J76" s="4" t="s">
        <v>19</v>
      </c>
      <c r="K76" t="s">
        <v>33</v>
      </c>
      <c r="L76" t="str">
        <f>_xlfn.TEXTJOIN(" - ",,Table1[[#This Row],[Product]],Table1[[#This Row],[Category]])</f>
        <v>Desk - Furniture</v>
      </c>
      <c r="M76" t="str">
        <f>_xlfn.TEXTBEFORE(Table1[[#This Row],[Product Info ]]," - ")</f>
        <v>Desk</v>
      </c>
      <c r="N76" t="str">
        <f>_xlfn.TEXTAFTER(Table1[[#This Row],[Product Info ]],"-")</f>
        <v xml:space="preserve"> Furniture</v>
      </c>
      <c r="O76" s="7" t="str">
        <f>_xlfn.TEXTJOIN(" | ",,Table1[[#This Row],[Region]],Table1[[#This Row],[Salesperson]])</f>
        <v>Rajshahi | Ayan</v>
      </c>
      <c r="P76" s="7" t="str">
        <f>_xlfn.TEXTJOIN("-",,Table1[[#This Row],[OrderID]],"BD")</f>
        <v>1076-BD</v>
      </c>
      <c r="Q76" s="7">
        <f>LEN(Table1[[#This Row],[Category]])</f>
        <v>9</v>
      </c>
      <c r="R76" s="7" t="str">
        <f>LEFT(Table1[[#This Row],[Salesperson]],1)</f>
        <v>A</v>
      </c>
    </row>
    <row r="77" spans="1:18" x14ac:dyDescent="0.25">
      <c r="A77" s="2">
        <v>1077</v>
      </c>
      <c r="B77" s="3">
        <v>46152</v>
      </c>
      <c r="C77" s="4" t="s">
        <v>15</v>
      </c>
      <c r="D77" s="4" t="s">
        <v>24</v>
      </c>
      <c r="E77" s="4" t="s">
        <v>22</v>
      </c>
      <c r="F77" s="4" t="s">
        <v>23</v>
      </c>
      <c r="G77" s="2">
        <v>3</v>
      </c>
      <c r="H77" s="5">
        <v>253</v>
      </c>
      <c r="I77" s="2">
        <v>10</v>
      </c>
      <c r="J77" s="4" t="s">
        <v>19</v>
      </c>
      <c r="K77" t="s">
        <v>36</v>
      </c>
      <c r="L77" t="str">
        <f>_xlfn.TEXTJOIN(" - ",,Table1[[#This Row],[Product]],Table1[[#This Row],[Category]])</f>
        <v>Notebook - Stationery</v>
      </c>
      <c r="M77" t="str">
        <f>_xlfn.TEXTBEFORE(Table1[[#This Row],[Product Info ]]," - ")</f>
        <v>Notebook</v>
      </c>
      <c r="N77" t="str">
        <f>_xlfn.TEXTAFTER(Table1[[#This Row],[Product Info ]],"-")</f>
        <v xml:space="preserve"> Stationery</v>
      </c>
      <c r="O77" s="7" t="str">
        <f>_xlfn.TEXTJOIN(" | ",,Table1[[#This Row],[Region]],Table1[[#This Row],[Salesperson]])</f>
        <v>Dhaka | Mim</v>
      </c>
      <c r="P77" s="7" t="str">
        <f>_xlfn.TEXTJOIN("-",,Table1[[#This Row],[OrderID]],"BD")</f>
        <v>1077-BD</v>
      </c>
      <c r="Q77" s="7">
        <f>LEN(Table1[[#This Row],[Category]])</f>
        <v>10</v>
      </c>
      <c r="R77" s="7" t="str">
        <f>LEFT(Table1[[#This Row],[Salesperson]],1)</f>
        <v>M</v>
      </c>
    </row>
    <row r="78" spans="1:18" x14ac:dyDescent="0.25">
      <c r="A78" s="2">
        <v>1078</v>
      </c>
      <c r="B78" s="3">
        <v>46092</v>
      </c>
      <c r="C78" s="4" t="s">
        <v>15</v>
      </c>
      <c r="D78" s="4" t="s">
        <v>21</v>
      </c>
      <c r="E78" s="4" t="s">
        <v>31</v>
      </c>
      <c r="F78" s="4" t="s">
        <v>13</v>
      </c>
      <c r="G78" s="2">
        <v>5</v>
      </c>
      <c r="H78" s="5">
        <v>1023</v>
      </c>
      <c r="I78" s="2">
        <v>0</v>
      </c>
      <c r="J78" s="4" t="s">
        <v>14</v>
      </c>
      <c r="K78" t="s">
        <v>35</v>
      </c>
      <c r="L78" t="str">
        <f>_xlfn.TEXTJOIN(" - ",,Table1[[#This Row],[Product]],Table1[[#This Row],[Category]])</f>
        <v>Desk - Furniture</v>
      </c>
      <c r="M78" t="str">
        <f>_xlfn.TEXTBEFORE(Table1[[#This Row],[Product Info ]]," - ")</f>
        <v>Desk</v>
      </c>
      <c r="N78" t="str">
        <f>_xlfn.TEXTAFTER(Table1[[#This Row],[Product Info ]],"-")</f>
        <v xml:space="preserve"> Furniture</v>
      </c>
      <c r="O78" s="7" t="str">
        <f>_xlfn.TEXTJOIN(" | ",,Table1[[#This Row],[Region]],Table1[[#This Row],[Salesperson]])</f>
        <v>Dhaka | Tanvir</v>
      </c>
      <c r="P78" s="7" t="str">
        <f>_xlfn.TEXTJOIN("-",,Table1[[#This Row],[OrderID]],"BD")</f>
        <v>1078-BD</v>
      </c>
      <c r="Q78" s="7">
        <f>LEN(Table1[[#This Row],[Category]])</f>
        <v>9</v>
      </c>
      <c r="R78" s="7" t="str">
        <f>LEFT(Table1[[#This Row],[Salesperson]],1)</f>
        <v>T</v>
      </c>
    </row>
    <row r="79" spans="1:18" x14ac:dyDescent="0.25">
      <c r="A79" s="2">
        <v>1079</v>
      </c>
      <c r="B79" s="3">
        <v>46168</v>
      </c>
      <c r="C79" s="4" t="s">
        <v>20</v>
      </c>
      <c r="D79" s="4" t="s">
        <v>21</v>
      </c>
      <c r="E79" s="4" t="s">
        <v>17</v>
      </c>
      <c r="F79" s="4" t="s">
        <v>18</v>
      </c>
      <c r="G79" s="2">
        <v>1</v>
      </c>
      <c r="H79" s="5">
        <v>768</v>
      </c>
      <c r="I79" s="2">
        <v>15</v>
      </c>
      <c r="J79" s="4" t="s">
        <v>19</v>
      </c>
      <c r="K79" t="s">
        <v>35</v>
      </c>
      <c r="L79" t="str">
        <f>_xlfn.TEXTJOIN(" - ",,Table1[[#This Row],[Product]],Table1[[#This Row],[Category]])</f>
        <v>Mouse - Electronics</v>
      </c>
      <c r="M79" t="str">
        <f>_xlfn.TEXTBEFORE(Table1[[#This Row],[Product Info ]]," - ")</f>
        <v>Mouse</v>
      </c>
      <c r="N79" t="str">
        <f>_xlfn.TEXTAFTER(Table1[[#This Row],[Product Info ]],"-")</f>
        <v xml:space="preserve"> Electronics</v>
      </c>
      <c r="O79" s="7" t="str">
        <f>_xlfn.TEXTJOIN(" | ",,Table1[[#This Row],[Region]],Table1[[#This Row],[Salesperson]])</f>
        <v>Rajshahi | Tanvir</v>
      </c>
      <c r="P79" s="7" t="str">
        <f>_xlfn.TEXTJOIN("-",,Table1[[#This Row],[OrderID]],"BD")</f>
        <v>1079-BD</v>
      </c>
      <c r="Q79" s="7">
        <f>LEN(Table1[[#This Row],[Category]])</f>
        <v>11</v>
      </c>
      <c r="R79" s="7" t="str">
        <f>LEFT(Table1[[#This Row],[Salesperson]],1)</f>
        <v>T</v>
      </c>
    </row>
    <row r="80" spans="1:18" x14ac:dyDescent="0.25">
      <c r="A80" s="2">
        <v>1080</v>
      </c>
      <c r="B80" s="3">
        <v>46154</v>
      </c>
      <c r="C80" s="4" t="s">
        <v>29</v>
      </c>
      <c r="D80" s="4" t="s">
        <v>16</v>
      </c>
      <c r="E80" s="4" t="s">
        <v>25</v>
      </c>
      <c r="F80" s="4" t="s">
        <v>18</v>
      </c>
      <c r="G80" s="2">
        <v>7</v>
      </c>
      <c r="H80" s="5">
        <v>1055</v>
      </c>
      <c r="I80" s="2">
        <v>5</v>
      </c>
      <c r="J80" s="4" t="s">
        <v>19</v>
      </c>
      <c r="K80" t="s">
        <v>34</v>
      </c>
      <c r="L80" t="str">
        <f>_xlfn.TEXTJOIN(" - ",,Table1[[#This Row],[Product]],Table1[[#This Row],[Category]])</f>
        <v>Laptop - Electronics</v>
      </c>
      <c r="M80" t="str">
        <f>_xlfn.TEXTBEFORE(Table1[[#This Row],[Product Info ]]," - ")</f>
        <v>Laptop</v>
      </c>
      <c r="N80" t="str">
        <f>_xlfn.TEXTAFTER(Table1[[#This Row],[Product Info ]],"-")</f>
        <v xml:space="preserve"> Electronics</v>
      </c>
      <c r="O80" s="7" t="str">
        <f>_xlfn.TEXTJOIN(" | ",,Table1[[#This Row],[Region]],Table1[[#This Row],[Salesperson]])</f>
        <v>Chattogram | Rafi</v>
      </c>
      <c r="P80" s="7" t="str">
        <f>_xlfn.TEXTJOIN("-",,Table1[[#This Row],[OrderID]],"BD")</f>
        <v>1080-BD</v>
      </c>
      <c r="Q80" s="7">
        <f>LEN(Table1[[#This Row],[Category]])</f>
        <v>11</v>
      </c>
      <c r="R80" s="7" t="str">
        <f>LEFT(Table1[[#This Row],[Salesperson]],1)</f>
        <v>R</v>
      </c>
    </row>
    <row r="81" spans="1:18" x14ac:dyDescent="0.25">
      <c r="A81" s="2">
        <v>1081</v>
      </c>
      <c r="B81" s="3">
        <v>46201</v>
      </c>
      <c r="C81" s="4" t="s">
        <v>29</v>
      </c>
      <c r="D81" s="4" t="s">
        <v>11</v>
      </c>
      <c r="E81" s="4" t="s">
        <v>31</v>
      </c>
      <c r="F81" s="4" t="s">
        <v>13</v>
      </c>
      <c r="G81" s="2">
        <v>2</v>
      </c>
      <c r="H81" s="5">
        <v>693</v>
      </c>
      <c r="I81" s="2">
        <v>5</v>
      </c>
      <c r="J81" s="4" t="s">
        <v>27</v>
      </c>
      <c r="K81" t="s">
        <v>33</v>
      </c>
      <c r="L81" t="str">
        <f>_xlfn.TEXTJOIN(" - ",,Table1[[#This Row],[Product]],Table1[[#This Row],[Category]])</f>
        <v>Desk - Furniture</v>
      </c>
      <c r="M81" t="str">
        <f>_xlfn.TEXTBEFORE(Table1[[#This Row],[Product Info ]]," - ")</f>
        <v>Desk</v>
      </c>
      <c r="N81" t="str">
        <f>_xlfn.TEXTAFTER(Table1[[#This Row],[Product Info ]],"-")</f>
        <v xml:space="preserve"> Furniture</v>
      </c>
      <c r="O81" s="7" t="str">
        <f>_xlfn.TEXTJOIN(" | ",,Table1[[#This Row],[Region]],Table1[[#This Row],[Salesperson]])</f>
        <v>Chattogram | Ayan</v>
      </c>
      <c r="P81" s="7" t="str">
        <f>_xlfn.TEXTJOIN("-",,Table1[[#This Row],[OrderID]],"BD")</f>
        <v>1081-BD</v>
      </c>
      <c r="Q81" s="7">
        <f>LEN(Table1[[#This Row],[Category]])</f>
        <v>9</v>
      </c>
      <c r="R81" s="7" t="str">
        <f>LEFT(Table1[[#This Row],[Salesperson]],1)</f>
        <v>A</v>
      </c>
    </row>
    <row r="82" spans="1:18" x14ac:dyDescent="0.25">
      <c r="A82" s="2">
        <v>1082</v>
      </c>
      <c r="B82" s="3">
        <v>46079</v>
      </c>
      <c r="C82" s="4" t="s">
        <v>15</v>
      </c>
      <c r="D82" s="4" t="s">
        <v>16</v>
      </c>
      <c r="E82" s="4" t="s">
        <v>17</v>
      </c>
      <c r="F82" s="4" t="s">
        <v>18</v>
      </c>
      <c r="G82" s="2">
        <v>10</v>
      </c>
      <c r="H82" s="5">
        <v>1898</v>
      </c>
      <c r="I82" s="2">
        <v>5</v>
      </c>
      <c r="J82" s="4" t="s">
        <v>27</v>
      </c>
      <c r="K82" t="s">
        <v>34</v>
      </c>
      <c r="L82" t="str">
        <f>_xlfn.TEXTJOIN(" - ",,Table1[[#This Row],[Product]],Table1[[#This Row],[Category]])</f>
        <v>Mouse - Electronics</v>
      </c>
      <c r="M82" t="str">
        <f>_xlfn.TEXTBEFORE(Table1[[#This Row],[Product Info ]]," - ")</f>
        <v>Mouse</v>
      </c>
      <c r="N82" t="str">
        <f>_xlfn.TEXTAFTER(Table1[[#This Row],[Product Info ]],"-")</f>
        <v xml:space="preserve"> Electronics</v>
      </c>
      <c r="O82" s="7" t="str">
        <f>_xlfn.TEXTJOIN(" | ",,Table1[[#This Row],[Region]],Table1[[#This Row],[Salesperson]])</f>
        <v>Dhaka | Rafi</v>
      </c>
      <c r="P82" s="7" t="str">
        <f>_xlfn.TEXTJOIN("-",,Table1[[#This Row],[OrderID]],"BD")</f>
        <v>1082-BD</v>
      </c>
      <c r="Q82" s="7">
        <f>LEN(Table1[[#This Row],[Category]])</f>
        <v>11</v>
      </c>
      <c r="R82" s="7" t="str">
        <f>LEFT(Table1[[#This Row],[Salesperson]],1)</f>
        <v>R</v>
      </c>
    </row>
    <row r="83" spans="1:18" x14ac:dyDescent="0.25">
      <c r="A83" s="2">
        <v>1083</v>
      </c>
      <c r="B83" s="3">
        <v>46176</v>
      </c>
      <c r="C83" s="4" t="s">
        <v>20</v>
      </c>
      <c r="D83" s="4" t="s">
        <v>30</v>
      </c>
      <c r="E83" s="4" t="s">
        <v>31</v>
      </c>
      <c r="F83" s="4" t="s">
        <v>13</v>
      </c>
      <c r="G83" s="2">
        <v>4</v>
      </c>
      <c r="H83" s="5">
        <v>951</v>
      </c>
      <c r="I83" s="2">
        <v>10</v>
      </c>
      <c r="J83" s="4" t="s">
        <v>27</v>
      </c>
      <c r="K83" t="s">
        <v>38</v>
      </c>
      <c r="L83" t="str">
        <f>_xlfn.TEXTJOIN(" - ",,Table1[[#This Row],[Product]],Table1[[#This Row],[Category]])</f>
        <v>Desk - Furniture</v>
      </c>
      <c r="M83" t="str">
        <f>_xlfn.TEXTBEFORE(Table1[[#This Row],[Product Info ]]," - ")</f>
        <v>Desk</v>
      </c>
      <c r="N83" t="str">
        <f>_xlfn.TEXTAFTER(Table1[[#This Row],[Product Info ]],"-")</f>
        <v xml:space="preserve"> Furniture</v>
      </c>
      <c r="O83" s="7" t="str">
        <f>_xlfn.TEXTJOIN(" | ",,Table1[[#This Row],[Region]],Table1[[#This Row],[Salesperson]])</f>
        <v>Rajshahi | Sami</v>
      </c>
      <c r="P83" s="7" t="str">
        <f>_xlfn.TEXTJOIN("-",,Table1[[#This Row],[OrderID]],"BD")</f>
        <v>1083-BD</v>
      </c>
      <c r="Q83" s="7">
        <f>LEN(Table1[[#This Row],[Category]])</f>
        <v>9</v>
      </c>
      <c r="R83" s="7" t="str">
        <f>LEFT(Table1[[#This Row],[Salesperson]],1)</f>
        <v>S</v>
      </c>
    </row>
    <row r="84" spans="1:18" x14ac:dyDescent="0.25">
      <c r="A84" s="2">
        <v>1084</v>
      </c>
      <c r="B84" s="3">
        <v>46091</v>
      </c>
      <c r="C84" s="4" t="s">
        <v>10</v>
      </c>
      <c r="D84" s="4" t="s">
        <v>30</v>
      </c>
      <c r="E84" s="4" t="s">
        <v>25</v>
      </c>
      <c r="F84" s="4" t="s">
        <v>18</v>
      </c>
      <c r="G84" s="2">
        <v>5</v>
      </c>
      <c r="H84" s="5">
        <v>106</v>
      </c>
      <c r="I84" s="2">
        <v>0</v>
      </c>
      <c r="J84" s="4" t="s">
        <v>19</v>
      </c>
      <c r="K84" t="s">
        <v>38</v>
      </c>
      <c r="L84" t="str">
        <f>_xlfn.TEXTJOIN(" - ",,Table1[[#This Row],[Product]],Table1[[#This Row],[Category]])</f>
        <v>Laptop - Electronics</v>
      </c>
      <c r="M84" t="str">
        <f>_xlfn.TEXTBEFORE(Table1[[#This Row],[Product Info ]]," - ")</f>
        <v>Laptop</v>
      </c>
      <c r="N84" t="str">
        <f>_xlfn.TEXTAFTER(Table1[[#This Row],[Product Info ]],"-")</f>
        <v xml:space="preserve"> Electronics</v>
      </c>
      <c r="O84" s="7" t="str">
        <f>_xlfn.TEXTJOIN(" | ",,Table1[[#This Row],[Region]],Table1[[#This Row],[Salesperson]])</f>
        <v>Khulna | Sami</v>
      </c>
      <c r="P84" s="7" t="str">
        <f>_xlfn.TEXTJOIN("-",,Table1[[#This Row],[OrderID]],"BD")</f>
        <v>1084-BD</v>
      </c>
      <c r="Q84" s="7">
        <f>LEN(Table1[[#This Row],[Category]])</f>
        <v>11</v>
      </c>
      <c r="R84" s="7" t="str">
        <f>LEFT(Table1[[#This Row],[Salesperson]],1)</f>
        <v>S</v>
      </c>
    </row>
    <row r="85" spans="1:18" x14ac:dyDescent="0.25">
      <c r="A85" s="2">
        <v>1085</v>
      </c>
      <c r="B85" s="3">
        <v>46045</v>
      </c>
      <c r="C85" s="4" t="s">
        <v>29</v>
      </c>
      <c r="D85" s="4" t="s">
        <v>30</v>
      </c>
      <c r="E85" s="4" t="s">
        <v>26</v>
      </c>
      <c r="F85" s="4" t="s">
        <v>23</v>
      </c>
      <c r="G85" s="2">
        <v>2</v>
      </c>
      <c r="H85" s="5">
        <v>1041</v>
      </c>
      <c r="I85" s="2">
        <v>10</v>
      </c>
      <c r="J85" s="4" t="s">
        <v>14</v>
      </c>
      <c r="K85" t="s">
        <v>38</v>
      </c>
      <c r="L85" t="str">
        <f>_xlfn.TEXTJOIN(" - ",,Table1[[#This Row],[Product]],Table1[[#This Row],[Category]])</f>
        <v>Pen - Stationery</v>
      </c>
      <c r="M85" t="str">
        <f>_xlfn.TEXTBEFORE(Table1[[#This Row],[Product Info ]]," - ")</f>
        <v>Pen</v>
      </c>
      <c r="N85" t="str">
        <f>_xlfn.TEXTAFTER(Table1[[#This Row],[Product Info ]],"-")</f>
        <v xml:space="preserve"> Stationery</v>
      </c>
      <c r="O85" s="7" t="str">
        <f>_xlfn.TEXTJOIN(" | ",,Table1[[#This Row],[Region]],Table1[[#This Row],[Salesperson]])</f>
        <v>Chattogram | Sami</v>
      </c>
      <c r="P85" s="7" t="str">
        <f>_xlfn.TEXTJOIN("-",,Table1[[#This Row],[OrderID]],"BD")</f>
        <v>1085-BD</v>
      </c>
      <c r="Q85" s="7">
        <f>LEN(Table1[[#This Row],[Category]])</f>
        <v>10</v>
      </c>
      <c r="R85" s="7" t="str">
        <f>LEFT(Table1[[#This Row],[Salesperson]],1)</f>
        <v>S</v>
      </c>
    </row>
    <row r="86" spans="1:18" x14ac:dyDescent="0.25">
      <c r="A86" s="2">
        <v>1086</v>
      </c>
      <c r="B86" s="3">
        <v>46130</v>
      </c>
      <c r="C86" s="4" t="s">
        <v>20</v>
      </c>
      <c r="D86" s="4" t="s">
        <v>21</v>
      </c>
      <c r="E86" s="4" t="s">
        <v>22</v>
      </c>
      <c r="F86" s="4" t="s">
        <v>23</v>
      </c>
      <c r="G86" s="2">
        <v>5</v>
      </c>
      <c r="H86" s="5">
        <v>1359</v>
      </c>
      <c r="I86" s="2">
        <v>5</v>
      </c>
      <c r="J86" s="4" t="s">
        <v>14</v>
      </c>
      <c r="K86" t="s">
        <v>35</v>
      </c>
      <c r="L86" t="str">
        <f>_xlfn.TEXTJOIN(" - ",,Table1[[#This Row],[Product]],Table1[[#This Row],[Category]])</f>
        <v>Notebook - Stationery</v>
      </c>
      <c r="M86" t="str">
        <f>_xlfn.TEXTBEFORE(Table1[[#This Row],[Product Info ]]," - ")</f>
        <v>Notebook</v>
      </c>
      <c r="N86" t="str">
        <f>_xlfn.TEXTAFTER(Table1[[#This Row],[Product Info ]],"-")</f>
        <v xml:space="preserve"> Stationery</v>
      </c>
      <c r="O86" s="7" t="str">
        <f>_xlfn.TEXTJOIN(" | ",,Table1[[#This Row],[Region]],Table1[[#This Row],[Salesperson]])</f>
        <v>Rajshahi | Tanvir</v>
      </c>
      <c r="P86" s="7" t="str">
        <f>_xlfn.TEXTJOIN("-",,Table1[[#This Row],[OrderID]],"BD")</f>
        <v>1086-BD</v>
      </c>
      <c r="Q86" s="7">
        <f>LEN(Table1[[#This Row],[Category]])</f>
        <v>10</v>
      </c>
      <c r="R86" s="7" t="str">
        <f>LEFT(Table1[[#This Row],[Salesperson]],1)</f>
        <v>T</v>
      </c>
    </row>
    <row r="87" spans="1:18" x14ac:dyDescent="0.25">
      <c r="A87" s="2">
        <v>1087</v>
      </c>
      <c r="B87" s="3">
        <v>46191</v>
      </c>
      <c r="C87" s="4" t="s">
        <v>20</v>
      </c>
      <c r="D87" s="4" t="s">
        <v>30</v>
      </c>
      <c r="E87" s="4" t="s">
        <v>31</v>
      </c>
      <c r="F87" s="4" t="s">
        <v>13</v>
      </c>
      <c r="G87" s="2">
        <v>2</v>
      </c>
      <c r="H87" s="5">
        <v>1545</v>
      </c>
      <c r="I87" s="2">
        <v>0</v>
      </c>
      <c r="J87" s="4" t="s">
        <v>19</v>
      </c>
      <c r="K87" t="s">
        <v>38</v>
      </c>
      <c r="L87" t="str">
        <f>_xlfn.TEXTJOIN(" - ",,Table1[[#This Row],[Product]],Table1[[#This Row],[Category]])</f>
        <v>Desk - Furniture</v>
      </c>
      <c r="M87" t="str">
        <f>_xlfn.TEXTBEFORE(Table1[[#This Row],[Product Info ]]," - ")</f>
        <v>Desk</v>
      </c>
      <c r="N87" t="str">
        <f>_xlfn.TEXTAFTER(Table1[[#This Row],[Product Info ]],"-")</f>
        <v xml:space="preserve"> Furniture</v>
      </c>
      <c r="O87" s="7" t="str">
        <f>_xlfn.TEXTJOIN(" | ",,Table1[[#This Row],[Region]],Table1[[#This Row],[Salesperson]])</f>
        <v>Rajshahi | Sami</v>
      </c>
      <c r="P87" s="7" t="str">
        <f>_xlfn.TEXTJOIN("-",,Table1[[#This Row],[OrderID]],"BD")</f>
        <v>1087-BD</v>
      </c>
      <c r="Q87" s="7">
        <f>LEN(Table1[[#This Row],[Category]])</f>
        <v>9</v>
      </c>
      <c r="R87" s="7" t="str">
        <f>LEFT(Table1[[#This Row],[Salesperson]],1)</f>
        <v>S</v>
      </c>
    </row>
    <row r="88" spans="1:18" x14ac:dyDescent="0.25">
      <c r="A88" s="2">
        <v>1088</v>
      </c>
      <c r="B88" s="3">
        <v>46108</v>
      </c>
      <c r="C88" s="4" t="s">
        <v>29</v>
      </c>
      <c r="D88" s="4" t="s">
        <v>16</v>
      </c>
      <c r="E88" s="4" t="s">
        <v>26</v>
      </c>
      <c r="F88" s="4" t="s">
        <v>23</v>
      </c>
      <c r="G88" s="2">
        <v>7</v>
      </c>
      <c r="H88" s="5">
        <v>553</v>
      </c>
      <c r="I88" s="2">
        <v>15</v>
      </c>
      <c r="J88" s="4" t="s">
        <v>14</v>
      </c>
      <c r="K88" t="s">
        <v>34</v>
      </c>
      <c r="L88" t="str">
        <f>_xlfn.TEXTJOIN(" - ",,Table1[[#This Row],[Product]],Table1[[#This Row],[Category]])</f>
        <v>Pen - Stationery</v>
      </c>
      <c r="M88" t="str">
        <f>_xlfn.TEXTBEFORE(Table1[[#This Row],[Product Info ]]," - ")</f>
        <v>Pen</v>
      </c>
      <c r="N88" t="str">
        <f>_xlfn.TEXTAFTER(Table1[[#This Row],[Product Info ]],"-")</f>
        <v xml:space="preserve"> Stationery</v>
      </c>
      <c r="O88" s="7" t="str">
        <f>_xlfn.TEXTJOIN(" | ",,Table1[[#This Row],[Region]],Table1[[#This Row],[Salesperson]])</f>
        <v>Chattogram | Rafi</v>
      </c>
      <c r="P88" s="7" t="str">
        <f>_xlfn.TEXTJOIN("-",,Table1[[#This Row],[OrderID]],"BD")</f>
        <v>1088-BD</v>
      </c>
      <c r="Q88" s="7">
        <f>LEN(Table1[[#This Row],[Category]])</f>
        <v>10</v>
      </c>
      <c r="R88" s="7" t="str">
        <f>LEFT(Table1[[#This Row],[Salesperson]],1)</f>
        <v>R</v>
      </c>
    </row>
    <row r="89" spans="1:18" x14ac:dyDescent="0.25">
      <c r="A89" s="2">
        <v>1089</v>
      </c>
      <c r="B89" s="3">
        <v>46092</v>
      </c>
      <c r="C89" s="4" t="s">
        <v>10</v>
      </c>
      <c r="D89" s="4" t="s">
        <v>30</v>
      </c>
      <c r="E89" s="4" t="s">
        <v>17</v>
      </c>
      <c r="F89" s="4" t="s">
        <v>18</v>
      </c>
      <c r="G89" s="2">
        <v>9</v>
      </c>
      <c r="H89" s="5">
        <v>1572</v>
      </c>
      <c r="I89" s="2">
        <v>0</v>
      </c>
      <c r="J89" s="4" t="s">
        <v>27</v>
      </c>
      <c r="K89" t="s">
        <v>38</v>
      </c>
      <c r="L89" t="str">
        <f>_xlfn.TEXTJOIN(" - ",,Table1[[#This Row],[Product]],Table1[[#This Row],[Category]])</f>
        <v>Mouse - Electronics</v>
      </c>
      <c r="M89" t="str">
        <f>_xlfn.TEXTBEFORE(Table1[[#This Row],[Product Info ]]," - ")</f>
        <v>Mouse</v>
      </c>
      <c r="N89" t="str">
        <f>_xlfn.TEXTAFTER(Table1[[#This Row],[Product Info ]],"-")</f>
        <v xml:space="preserve"> Electronics</v>
      </c>
      <c r="O89" s="7" t="str">
        <f>_xlfn.TEXTJOIN(" | ",,Table1[[#This Row],[Region]],Table1[[#This Row],[Salesperson]])</f>
        <v>Khulna | Sami</v>
      </c>
      <c r="P89" s="7" t="str">
        <f>_xlfn.TEXTJOIN("-",,Table1[[#This Row],[OrderID]],"BD")</f>
        <v>1089-BD</v>
      </c>
      <c r="Q89" s="7">
        <f>LEN(Table1[[#This Row],[Category]])</f>
        <v>11</v>
      </c>
      <c r="R89" s="7" t="str">
        <f>LEFT(Table1[[#This Row],[Salesperson]],1)</f>
        <v>S</v>
      </c>
    </row>
    <row r="90" spans="1:18" x14ac:dyDescent="0.25">
      <c r="A90" s="2">
        <v>1090</v>
      </c>
      <c r="B90" s="3">
        <v>46166</v>
      </c>
      <c r="C90" s="4" t="s">
        <v>10</v>
      </c>
      <c r="D90" s="4" t="s">
        <v>21</v>
      </c>
      <c r="E90" s="4" t="s">
        <v>31</v>
      </c>
      <c r="F90" s="4" t="s">
        <v>13</v>
      </c>
      <c r="G90" s="2">
        <v>2</v>
      </c>
      <c r="H90" s="5">
        <v>156</v>
      </c>
      <c r="I90" s="2">
        <v>10</v>
      </c>
      <c r="J90" s="4" t="s">
        <v>27</v>
      </c>
      <c r="K90" t="s">
        <v>35</v>
      </c>
      <c r="L90" t="str">
        <f>_xlfn.TEXTJOIN(" - ",,Table1[[#This Row],[Product]],Table1[[#This Row],[Category]])</f>
        <v>Desk - Furniture</v>
      </c>
      <c r="M90" t="str">
        <f>_xlfn.TEXTBEFORE(Table1[[#This Row],[Product Info ]]," - ")</f>
        <v>Desk</v>
      </c>
      <c r="N90" t="str">
        <f>_xlfn.TEXTAFTER(Table1[[#This Row],[Product Info ]],"-")</f>
        <v xml:space="preserve"> Furniture</v>
      </c>
      <c r="O90" s="7" t="str">
        <f>_xlfn.TEXTJOIN(" | ",,Table1[[#This Row],[Region]],Table1[[#This Row],[Salesperson]])</f>
        <v>Khulna | Tanvir</v>
      </c>
      <c r="P90" s="7" t="str">
        <f>_xlfn.TEXTJOIN("-",,Table1[[#This Row],[OrderID]],"BD")</f>
        <v>1090-BD</v>
      </c>
      <c r="Q90" s="7">
        <f>LEN(Table1[[#This Row],[Category]])</f>
        <v>9</v>
      </c>
      <c r="R90" s="7" t="str">
        <f>LEFT(Table1[[#This Row],[Salesperson]],1)</f>
        <v>T</v>
      </c>
    </row>
    <row r="91" spans="1:18" x14ac:dyDescent="0.25">
      <c r="A91" s="2">
        <v>1091</v>
      </c>
      <c r="B91" s="3">
        <v>46145</v>
      </c>
      <c r="C91" s="4" t="s">
        <v>29</v>
      </c>
      <c r="D91" s="4" t="s">
        <v>30</v>
      </c>
      <c r="E91" s="4" t="s">
        <v>26</v>
      </c>
      <c r="F91" s="4" t="s">
        <v>23</v>
      </c>
      <c r="G91" s="2">
        <v>2</v>
      </c>
      <c r="H91" s="5">
        <v>525</v>
      </c>
      <c r="I91" s="2">
        <v>5</v>
      </c>
      <c r="J91" s="4" t="s">
        <v>27</v>
      </c>
      <c r="K91" t="s">
        <v>38</v>
      </c>
      <c r="L91" t="str">
        <f>_xlfn.TEXTJOIN(" - ",,Table1[[#This Row],[Product]],Table1[[#This Row],[Category]])</f>
        <v>Pen - Stationery</v>
      </c>
      <c r="M91" t="str">
        <f>_xlfn.TEXTBEFORE(Table1[[#This Row],[Product Info ]]," - ")</f>
        <v>Pen</v>
      </c>
      <c r="N91" t="str">
        <f>_xlfn.TEXTAFTER(Table1[[#This Row],[Product Info ]],"-")</f>
        <v xml:space="preserve"> Stationery</v>
      </c>
      <c r="O91" s="7" t="str">
        <f>_xlfn.TEXTJOIN(" | ",,Table1[[#This Row],[Region]],Table1[[#This Row],[Salesperson]])</f>
        <v>Chattogram | Sami</v>
      </c>
      <c r="P91" s="7" t="str">
        <f>_xlfn.TEXTJOIN("-",,Table1[[#This Row],[OrderID]],"BD")</f>
        <v>1091-BD</v>
      </c>
      <c r="Q91" s="7">
        <f>LEN(Table1[[#This Row],[Category]])</f>
        <v>10</v>
      </c>
      <c r="R91" s="7" t="str">
        <f>LEFT(Table1[[#This Row],[Salesperson]],1)</f>
        <v>S</v>
      </c>
    </row>
    <row r="92" spans="1:18" x14ac:dyDescent="0.25">
      <c r="A92" s="2">
        <v>1092</v>
      </c>
      <c r="B92" s="3">
        <v>46086</v>
      </c>
      <c r="C92" s="4" t="s">
        <v>20</v>
      </c>
      <c r="D92" s="4" t="s">
        <v>21</v>
      </c>
      <c r="E92" s="4" t="s">
        <v>22</v>
      </c>
      <c r="F92" s="4" t="s">
        <v>23</v>
      </c>
      <c r="G92" s="2">
        <v>6</v>
      </c>
      <c r="H92" s="5">
        <v>426</v>
      </c>
      <c r="I92" s="2">
        <v>10</v>
      </c>
      <c r="J92" s="4" t="s">
        <v>27</v>
      </c>
      <c r="K92" t="s">
        <v>35</v>
      </c>
      <c r="L92" t="str">
        <f>_xlfn.TEXTJOIN(" - ",,Table1[[#This Row],[Product]],Table1[[#This Row],[Category]])</f>
        <v>Notebook - Stationery</v>
      </c>
      <c r="M92" t="str">
        <f>_xlfn.TEXTBEFORE(Table1[[#This Row],[Product Info ]]," - ")</f>
        <v>Notebook</v>
      </c>
      <c r="N92" t="str">
        <f>_xlfn.TEXTAFTER(Table1[[#This Row],[Product Info ]],"-")</f>
        <v xml:space="preserve"> Stationery</v>
      </c>
      <c r="O92" s="7" t="str">
        <f>_xlfn.TEXTJOIN(" | ",,Table1[[#This Row],[Region]],Table1[[#This Row],[Salesperson]])</f>
        <v>Rajshahi | Tanvir</v>
      </c>
      <c r="P92" s="7" t="str">
        <f>_xlfn.TEXTJOIN("-",,Table1[[#This Row],[OrderID]],"BD")</f>
        <v>1092-BD</v>
      </c>
      <c r="Q92" s="7">
        <f>LEN(Table1[[#This Row],[Category]])</f>
        <v>10</v>
      </c>
      <c r="R92" s="7" t="str">
        <f>LEFT(Table1[[#This Row],[Salesperson]],1)</f>
        <v>T</v>
      </c>
    </row>
    <row r="93" spans="1:18" x14ac:dyDescent="0.25">
      <c r="A93" s="2">
        <v>1093</v>
      </c>
      <c r="B93" s="3">
        <v>46033</v>
      </c>
      <c r="C93" s="4" t="s">
        <v>29</v>
      </c>
      <c r="D93" s="4" t="s">
        <v>30</v>
      </c>
      <c r="E93" s="4" t="s">
        <v>25</v>
      </c>
      <c r="F93" s="4" t="s">
        <v>18</v>
      </c>
      <c r="G93" s="2">
        <v>1</v>
      </c>
      <c r="H93" s="5">
        <v>1473</v>
      </c>
      <c r="I93" s="2">
        <v>0</v>
      </c>
      <c r="J93" s="4" t="s">
        <v>27</v>
      </c>
      <c r="K93" t="s">
        <v>38</v>
      </c>
      <c r="L93" t="str">
        <f>_xlfn.TEXTJOIN(" - ",,Table1[[#This Row],[Product]],Table1[[#This Row],[Category]])</f>
        <v>Laptop - Electronics</v>
      </c>
      <c r="M93" t="str">
        <f>_xlfn.TEXTBEFORE(Table1[[#This Row],[Product Info ]]," - ")</f>
        <v>Laptop</v>
      </c>
      <c r="N93" t="str">
        <f>_xlfn.TEXTAFTER(Table1[[#This Row],[Product Info ]],"-")</f>
        <v xml:space="preserve"> Electronics</v>
      </c>
      <c r="O93" s="7" t="str">
        <f>_xlfn.TEXTJOIN(" | ",,Table1[[#This Row],[Region]],Table1[[#This Row],[Salesperson]])</f>
        <v>Chattogram | Sami</v>
      </c>
      <c r="P93" s="7" t="str">
        <f>_xlfn.TEXTJOIN("-",,Table1[[#This Row],[OrderID]],"BD")</f>
        <v>1093-BD</v>
      </c>
      <c r="Q93" s="7">
        <f>LEN(Table1[[#This Row],[Category]])</f>
        <v>11</v>
      </c>
      <c r="R93" s="7" t="str">
        <f>LEFT(Table1[[#This Row],[Salesperson]],1)</f>
        <v>S</v>
      </c>
    </row>
    <row r="94" spans="1:18" x14ac:dyDescent="0.25">
      <c r="A94" s="2">
        <v>1094</v>
      </c>
      <c r="B94" s="3">
        <v>46117</v>
      </c>
      <c r="C94" s="4" t="s">
        <v>15</v>
      </c>
      <c r="D94" s="4" t="s">
        <v>24</v>
      </c>
      <c r="E94" s="4" t="s">
        <v>26</v>
      </c>
      <c r="F94" s="4" t="s">
        <v>23</v>
      </c>
      <c r="G94" s="2">
        <v>9</v>
      </c>
      <c r="H94" s="5">
        <v>1895</v>
      </c>
      <c r="I94" s="2">
        <v>0</v>
      </c>
      <c r="J94" s="4" t="s">
        <v>27</v>
      </c>
      <c r="K94" t="s">
        <v>36</v>
      </c>
      <c r="L94" t="str">
        <f>_xlfn.TEXTJOIN(" - ",,Table1[[#This Row],[Product]],Table1[[#This Row],[Category]])</f>
        <v>Pen - Stationery</v>
      </c>
      <c r="M94" t="str">
        <f>_xlfn.TEXTBEFORE(Table1[[#This Row],[Product Info ]]," - ")</f>
        <v>Pen</v>
      </c>
      <c r="N94" t="str">
        <f>_xlfn.TEXTAFTER(Table1[[#This Row],[Product Info ]],"-")</f>
        <v xml:space="preserve"> Stationery</v>
      </c>
      <c r="O94" s="7" t="str">
        <f>_xlfn.TEXTJOIN(" | ",,Table1[[#This Row],[Region]],Table1[[#This Row],[Salesperson]])</f>
        <v>Dhaka | Mim</v>
      </c>
      <c r="P94" s="7" t="str">
        <f>_xlfn.TEXTJOIN("-",,Table1[[#This Row],[OrderID]],"BD")</f>
        <v>1094-BD</v>
      </c>
      <c r="Q94" s="7">
        <f>LEN(Table1[[#This Row],[Category]])</f>
        <v>10</v>
      </c>
      <c r="R94" s="7" t="str">
        <f>LEFT(Table1[[#This Row],[Salesperson]],1)</f>
        <v>M</v>
      </c>
    </row>
    <row r="95" spans="1:18" x14ac:dyDescent="0.25">
      <c r="A95" s="2">
        <v>1095</v>
      </c>
      <c r="B95" s="3">
        <v>46100</v>
      </c>
      <c r="C95" s="4" t="s">
        <v>20</v>
      </c>
      <c r="D95" s="4" t="s">
        <v>16</v>
      </c>
      <c r="E95" s="4" t="s">
        <v>12</v>
      </c>
      <c r="F95" s="4" t="s">
        <v>13</v>
      </c>
      <c r="G95" s="2">
        <v>5</v>
      </c>
      <c r="H95" s="5">
        <v>944</v>
      </c>
      <c r="I95" s="2">
        <v>10</v>
      </c>
      <c r="J95" s="4" t="s">
        <v>27</v>
      </c>
      <c r="K95" t="s">
        <v>34</v>
      </c>
      <c r="L95" t="str">
        <f>_xlfn.TEXTJOIN(" - ",,Table1[[#This Row],[Product]],Table1[[#This Row],[Category]])</f>
        <v>Chair - Furniture</v>
      </c>
      <c r="M95" t="str">
        <f>_xlfn.TEXTBEFORE(Table1[[#This Row],[Product Info ]]," - ")</f>
        <v>Chair</v>
      </c>
      <c r="N95" t="str">
        <f>_xlfn.TEXTAFTER(Table1[[#This Row],[Product Info ]],"-")</f>
        <v xml:space="preserve"> Furniture</v>
      </c>
      <c r="O95" s="7" t="str">
        <f>_xlfn.TEXTJOIN(" | ",,Table1[[#This Row],[Region]],Table1[[#This Row],[Salesperson]])</f>
        <v>Rajshahi | Rafi</v>
      </c>
      <c r="P95" s="7" t="str">
        <f>_xlfn.TEXTJOIN("-",,Table1[[#This Row],[OrderID]],"BD")</f>
        <v>1095-BD</v>
      </c>
      <c r="Q95" s="7">
        <f>LEN(Table1[[#This Row],[Category]])</f>
        <v>9</v>
      </c>
      <c r="R95" s="7" t="str">
        <f>LEFT(Table1[[#This Row],[Salesperson]],1)</f>
        <v>R</v>
      </c>
    </row>
    <row r="96" spans="1:18" x14ac:dyDescent="0.25">
      <c r="A96" s="2">
        <v>1096</v>
      </c>
      <c r="B96" s="3">
        <v>46106</v>
      </c>
      <c r="C96" s="4" t="s">
        <v>10</v>
      </c>
      <c r="D96" s="4" t="s">
        <v>11</v>
      </c>
      <c r="E96" s="4" t="s">
        <v>25</v>
      </c>
      <c r="F96" s="4" t="s">
        <v>18</v>
      </c>
      <c r="G96" s="2">
        <v>4</v>
      </c>
      <c r="H96" s="5">
        <v>1566</v>
      </c>
      <c r="I96" s="2">
        <v>5</v>
      </c>
      <c r="J96" s="4" t="s">
        <v>19</v>
      </c>
      <c r="K96" t="s">
        <v>33</v>
      </c>
      <c r="L96" t="str">
        <f>_xlfn.TEXTJOIN(" - ",,Table1[[#This Row],[Product]],Table1[[#This Row],[Category]])</f>
        <v>Laptop - Electronics</v>
      </c>
      <c r="M96" t="str">
        <f>_xlfn.TEXTBEFORE(Table1[[#This Row],[Product Info ]]," - ")</f>
        <v>Laptop</v>
      </c>
      <c r="N96" t="str">
        <f>_xlfn.TEXTAFTER(Table1[[#This Row],[Product Info ]],"-")</f>
        <v xml:space="preserve"> Electronics</v>
      </c>
      <c r="O96" s="7" t="str">
        <f>_xlfn.TEXTJOIN(" | ",,Table1[[#This Row],[Region]],Table1[[#This Row],[Salesperson]])</f>
        <v>Khulna | Ayan</v>
      </c>
      <c r="P96" s="7" t="str">
        <f>_xlfn.TEXTJOIN("-",,Table1[[#This Row],[OrderID]],"BD")</f>
        <v>1096-BD</v>
      </c>
      <c r="Q96" s="7">
        <f>LEN(Table1[[#This Row],[Category]])</f>
        <v>11</v>
      </c>
      <c r="R96" s="7" t="str">
        <f>LEFT(Table1[[#This Row],[Salesperson]],1)</f>
        <v>A</v>
      </c>
    </row>
    <row r="97" spans="1:18" x14ac:dyDescent="0.25">
      <c r="A97" s="2">
        <v>1097</v>
      </c>
      <c r="B97" s="3">
        <v>46169</v>
      </c>
      <c r="C97" s="4" t="s">
        <v>29</v>
      </c>
      <c r="D97" s="4" t="s">
        <v>16</v>
      </c>
      <c r="E97" s="4" t="s">
        <v>26</v>
      </c>
      <c r="F97" s="4" t="s">
        <v>23</v>
      </c>
      <c r="G97" s="2">
        <v>10</v>
      </c>
      <c r="H97" s="5">
        <v>1759</v>
      </c>
      <c r="I97" s="2">
        <v>5</v>
      </c>
      <c r="J97" s="4" t="s">
        <v>19</v>
      </c>
      <c r="K97" t="s">
        <v>34</v>
      </c>
      <c r="L97" t="str">
        <f>_xlfn.TEXTJOIN(" - ",,Table1[[#This Row],[Product]],Table1[[#This Row],[Category]])</f>
        <v>Pen - Stationery</v>
      </c>
      <c r="M97" t="str">
        <f>_xlfn.TEXTBEFORE(Table1[[#This Row],[Product Info ]]," - ")</f>
        <v>Pen</v>
      </c>
      <c r="N97" t="str">
        <f>_xlfn.TEXTAFTER(Table1[[#This Row],[Product Info ]],"-")</f>
        <v xml:space="preserve"> Stationery</v>
      </c>
      <c r="O97" s="7" t="str">
        <f>_xlfn.TEXTJOIN(" | ",,Table1[[#This Row],[Region]],Table1[[#This Row],[Salesperson]])</f>
        <v>Chattogram | Rafi</v>
      </c>
      <c r="P97" s="7" t="str">
        <f>_xlfn.TEXTJOIN("-",,Table1[[#This Row],[OrderID]],"BD")</f>
        <v>1097-BD</v>
      </c>
      <c r="Q97" s="7">
        <f>LEN(Table1[[#This Row],[Category]])</f>
        <v>10</v>
      </c>
      <c r="R97" s="7" t="str">
        <f>LEFT(Table1[[#This Row],[Salesperson]],1)</f>
        <v>R</v>
      </c>
    </row>
    <row r="98" spans="1:18" x14ac:dyDescent="0.25">
      <c r="A98" s="2">
        <v>1098</v>
      </c>
      <c r="B98" s="3">
        <v>46194</v>
      </c>
      <c r="C98" s="4" t="s">
        <v>29</v>
      </c>
      <c r="D98" s="4" t="s">
        <v>21</v>
      </c>
      <c r="E98" s="4" t="s">
        <v>31</v>
      </c>
      <c r="F98" s="4" t="s">
        <v>13</v>
      </c>
      <c r="G98" s="2">
        <v>3</v>
      </c>
      <c r="H98" s="5">
        <v>1473</v>
      </c>
      <c r="I98" s="2">
        <v>15</v>
      </c>
      <c r="J98" s="4" t="s">
        <v>19</v>
      </c>
      <c r="K98" t="s">
        <v>35</v>
      </c>
      <c r="L98" t="str">
        <f>_xlfn.TEXTJOIN(" - ",,Table1[[#This Row],[Product]],Table1[[#This Row],[Category]])</f>
        <v>Desk - Furniture</v>
      </c>
      <c r="M98" t="str">
        <f>_xlfn.TEXTBEFORE(Table1[[#This Row],[Product Info ]]," - ")</f>
        <v>Desk</v>
      </c>
      <c r="N98" t="str">
        <f>_xlfn.TEXTAFTER(Table1[[#This Row],[Product Info ]],"-")</f>
        <v xml:space="preserve"> Furniture</v>
      </c>
      <c r="O98" s="7" t="str">
        <f>_xlfn.TEXTJOIN(" | ",,Table1[[#This Row],[Region]],Table1[[#This Row],[Salesperson]])</f>
        <v>Chattogram | Tanvir</v>
      </c>
      <c r="P98" s="7" t="str">
        <f>_xlfn.TEXTJOIN("-",,Table1[[#This Row],[OrderID]],"BD")</f>
        <v>1098-BD</v>
      </c>
      <c r="Q98" s="7">
        <f>LEN(Table1[[#This Row],[Category]])</f>
        <v>9</v>
      </c>
      <c r="R98" s="7" t="str">
        <f>LEFT(Table1[[#This Row],[Salesperson]],1)</f>
        <v>T</v>
      </c>
    </row>
    <row r="99" spans="1:18" x14ac:dyDescent="0.25">
      <c r="A99" s="2">
        <v>1099</v>
      </c>
      <c r="B99" s="3">
        <v>46077</v>
      </c>
      <c r="C99" s="4" t="s">
        <v>10</v>
      </c>
      <c r="D99" s="4" t="s">
        <v>28</v>
      </c>
      <c r="E99" s="4" t="s">
        <v>25</v>
      </c>
      <c r="F99" s="4" t="s">
        <v>18</v>
      </c>
      <c r="G99" s="2">
        <v>10</v>
      </c>
      <c r="H99" s="5">
        <v>455</v>
      </c>
      <c r="I99" s="2">
        <v>5</v>
      </c>
      <c r="J99" s="4" t="s">
        <v>14</v>
      </c>
      <c r="K99" t="s">
        <v>37</v>
      </c>
      <c r="L99" t="str">
        <f>_xlfn.TEXTJOIN(" - ",,Table1[[#This Row],[Product]],Table1[[#This Row],[Category]])</f>
        <v>Laptop - Electronics</v>
      </c>
      <c r="M99" t="str">
        <f>_xlfn.TEXTBEFORE(Table1[[#This Row],[Product Info ]]," - ")</f>
        <v>Laptop</v>
      </c>
      <c r="N99" t="str">
        <f>_xlfn.TEXTAFTER(Table1[[#This Row],[Product Info ]],"-")</f>
        <v xml:space="preserve"> Electronics</v>
      </c>
      <c r="O99" s="7" t="str">
        <f>_xlfn.TEXTJOIN(" | ",,Table1[[#This Row],[Region]],Table1[[#This Row],[Salesperson]])</f>
        <v>Khulna | Nila</v>
      </c>
      <c r="P99" s="7" t="str">
        <f>_xlfn.TEXTJOIN("-",,Table1[[#This Row],[OrderID]],"BD")</f>
        <v>1099-BD</v>
      </c>
      <c r="Q99" s="7">
        <f>LEN(Table1[[#This Row],[Category]])</f>
        <v>11</v>
      </c>
      <c r="R99" s="7" t="str">
        <f>LEFT(Table1[[#This Row],[Salesperson]],1)</f>
        <v>N</v>
      </c>
    </row>
    <row r="100" spans="1:18" x14ac:dyDescent="0.25">
      <c r="A100" s="2">
        <v>1100</v>
      </c>
      <c r="B100" s="3">
        <v>46107</v>
      </c>
      <c r="C100" s="4" t="s">
        <v>15</v>
      </c>
      <c r="D100" s="4" t="s">
        <v>21</v>
      </c>
      <c r="E100" s="4" t="s">
        <v>22</v>
      </c>
      <c r="F100" s="4" t="s">
        <v>23</v>
      </c>
      <c r="G100" s="2">
        <v>8</v>
      </c>
      <c r="H100" s="5">
        <v>185</v>
      </c>
      <c r="I100" s="2">
        <v>5</v>
      </c>
      <c r="J100" s="4" t="s">
        <v>19</v>
      </c>
      <c r="K100" t="s">
        <v>35</v>
      </c>
      <c r="L100" t="str">
        <f>_xlfn.TEXTJOIN(" - ",,Table1[[#This Row],[Product]],Table1[[#This Row],[Category]])</f>
        <v>Notebook - Stationery</v>
      </c>
      <c r="M100" t="str">
        <f>_xlfn.TEXTBEFORE(Table1[[#This Row],[Product Info ]]," - ")</f>
        <v>Notebook</v>
      </c>
      <c r="N100" t="str">
        <f>_xlfn.TEXTAFTER(Table1[[#This Row],[Product Info ]],"-")</f>
        <v xml:space="preserve"> Stationery</v>
      </c>
      <c r="O100" s="7" t="str">
        <f>_xlfn.TEXTJOIN(" | ",,Table1[[#This Row],[Region]],Table1[[#This Row],[Salesperson]])</f>
        <v>Dhaka | Tanvir</v>
      </c>
      <c r="P100" s="7" t="str">
        <f>_xlfn.TEXTJOIN("-",,Table1[[#This Row],[OrderID]],"BD")</f>
        <v>1100-BD</v>
      </c>
      <c r="Q100" s="7">
        <f>LEN(Table1[[#This Row],[Category]])</f>
        <v>10</v>
      </c>
      <c r="R100" s="7" t="str">
        <f>LEFT(Table1[[#This Row],[Salesperson]],1)</f>
        <v>T</v>
      </c>
    </row>
    <row r="101" spans="1:18" x14ac:dyDescent="0.25">
      <c r="A101" s="2">
        <v>1101</v>
      </c>
      <c r="B101" s="3">
        <v>46186</v>
      </c>
      <c r="C101" s="4" t="s">
        <v>29</v>
      </c>
      <c r="D101" s="4" t="s">
        <v>30</v>
      </c>
      <c r="E101" s="4" t="s">
        <v>31</v>
      </c>
      <c r="F101" s="4" t="s">
        <v>13</v>
      </c>
      <c r="G101" s="2">
        <v>4</v>
      </c>
      <c r="H101" s="5">
        <v>1570</v>
      </c>
      <c r="I101" s="2">
        <v>0</v>
      </c>
      <c r="J101" s="4" t="s">
        <v>19</v>
      </c>
      <c r="K101" t="s">
        <v>38</v>
      </c>
      <c r="L101" t="str">
        <f>_xlfn.TEXTJOIN(" - ",,Table1[[#This Row],[Product]],Table1[[#This Row],[Category]])</f>
        <v>Desk - Furniture</v>
      </c>
      <c r="M101" t="str">
        <f>_xlfn.TEXTBEFORE(Table1[[#This Row],[Product Info ]]," - ")</f>
        <v>Desk</v>
      </c>
      <c r="N101" t="str">
        <f>_xlfn.TEXTAFTER(Table1[[#This Row],[Product Info ]],"-")</f>
        <v xml:space="preserve"> Furniture</v>
      </c>
      <c r="O101" s="7" t="str">
        <f>_xlfn.TEXTJOIN(" | ",,Table1[[#This Row],[Region]],Table1[[#This Row],[Salesperson]])</f>
        <v>Chattogram | Sami</v>
      </c>
      <c r="P101" s="7" t="str">
        <f>_xlfn.TEXTJOIN("-",,Table1[[#This Row],[OrderID]],"BD")</f>
        <v>1101-BD</v>
      </c>
      <c r="Q101" s="7">
        <f>LEN(Table1[[#This Row],[Category]])</f>
        <v>9</v>
      </c>
      <c r="R101" s="7" t="str">
        <f>LEFT(Table1[[#This Row],[Salesperson]],1)</f>
        <v>S</v>
      </c>
    </row>
  </sheetData>
  <pageMargins left="0.75" right="0.75" top="1" bottom="1" header="0.5" footer="0.5"/>
  <pageSetup scale="31" orientation="landscape" r:id="rId1"/>
  <headerFooter>
    <oddFooter>&amp;R&amp;P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E668-15F0-4A94-840A-59F456A5AFB9}">
  <dimension ref="A1:R101"/>
  <sheetViews>
    <sheetView workbookViewId="0">
      <selection activeCell="N13" sqref="N13"/>
    </sheetView>
  </sheetViews>
  <sheetFormatPr defaultRowHeight="15" x14ac:dyDescent="0.25"/>
  <cols>
    <col min="1" max="1" width="12.5703125" bestFit="1" customWidth="1"/>
    <col min="2" max="2" width="9.7109375" bestFit="1" customWidth="1"/>
    <col min="3" max="3" width="11.7109375" bestFit="1" customWidth="1"/>
    <col min="4" max="4" width="16.28515625" bestFit="1" customWidth="1"/>
    <col min="5" max="5" width="12.42578125" bestFit="1" customWidth="1"/>
    <col min="6" max="6" width="13.42578125" bestFit="1" customWidth="1"/>
    <col min="7" max="7" width="8.7109375" bestFit="1" customWidth="1"/>
    <col min="8" max="8" width="13.85546875" bestFit="1" customWidth="1"/>
    <col min="9" max="9" width="13.28515625" bestFit="1" customWidth="1"/>
    <col min="10" max="10" width="11" bestFit="1" customWidth="1"/>
    <col min="11" max="11" width="21.42578125" bestFit="1" customWidth="1"/>
    <col min="12" max="12" width="20.85546875" bestFit="1" customWidth="1"/>
    <col min="13" max="13" width="18.85546875" bestFit="1" customWidth="1"/>
    <col min="14" max="14" width="19.85546875" bestFit="1" customWidth="1"/>
    <col min="15" max="15" width="24.5703125" bestFit="1" customWidth="1"/>
    <col min="16" max="16" width="16.5703125" bestFit="1" customWidth="1"/>
    <col min="17" max="17" width="20.28515625" bestFit="1" customWidth="1"/>
    <col min="18" max="18" width="23.140625" bestFit="1" customWidth="1"/>
  </cols>
  <sheetData>
    <row r="1" spans="1:18" ht="15.75" thickBo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23" t="s">
        <v>42</v>
      </c>
      <c r="L1" s="23" t="s">
        <v>47</v>
      </c>
      <c r="M1" s="23" t="s">
        <v>48</v>
      </c>
      <c r="N1" s="23" t="s">
        <v>49</v>
      </c>
      <c r="O1" s="23" t="s">
        <v>50</v>
      </c>
      <c r="P1" s="10"/>
      <c r="Q1" s="10"/>
      <c r="R1" s="10"/>
    </row>
    <row r="2" spans="1:18" ht="15.75" thickTop="1" x14ac:dyDescent="0.25">
      <c r="A2" s="11">
        <v>1002</v>
      </c>
      <c r="B2" s="12">
        <v>46174</v>
      </c>
      <c r="C2" s="13" t="s">
        <v>10</v>
      </c>
      <c r="D2" s="13" t="s">
        <v>11</v>
      </c>
      <c r="E2" s="13" t="s">
        <v>12</v>
      </c>
      <c r="F2" s="13" t="s">
        <v>13</v>
      </c>
      <c r="G2" s="11">
        <v>1</v>
      </c>
      <c r="H2" s="14">
        <v>351</v>
      </c>
      <c r="I2" s="11">
        <v>15</v>
      </c>
      <c r="J2" s="13" t="s">
        <v>14</v>
      </c>
      <c r="K2" s="22" t="str">
        <f>IF(Table3[[#This Row],[Qty]]&gt;5,"High","Low")</f>
        <v>Low</v>
      </c>
      <c r="L2" s="24" t="str">
        <f>IF(Table3[[#This Row],[Status]]="Completed","Done","Not Done")</f>
        <v>Not Done</v>
      </c>
      <c r="M2" s="24" t="str">
        <f>IF(Table3[[#This Row],[Discount]]&gt;0,"Discounted","No Discount")</f>
        <v>Discounted</v>
      </c>
      <c r="N2" s="25" t="str">
        <f>IF(Table3[[#This Row],[UnitPrice]]&gt;=1000,"Expensive","Affordable")</f>
        <v>Affordable</v>
      </c>
      <c r="O2" s="25" t="str">
        <f>IF(Table3[[#This Row],[Region]]="Dhaka","Local","Outside")</f>
        <v>Outside</v>
      </c>
      <c r="P2" s="15"/>
      <c r="Q2" s="15"/>
      <c r="R2" s="15"/>
    </row>
    <row r="3" spans="1:18" x14ac:dyDescent="0.25">
      <c r="A3" s="16">
        <v>1003</v>
      </c>
      <c r="B3" s="17">
        <v>46122</v>
      </c>
      <c r="C3" s="18" t="s">
        <v>15</v>
      </c>
      <c r="D3" s="18" t="s">
        <v>16</v>
      </c>
      <c r="E3" s="18" t="s">
        <v>17</v>
      </c>
      <c r="F3" s="18" t="s">
        <v>18</v>
      </c>
      <c r="G3" s="16">
        <v>3</v>
      </c>
      <c r="H3" s="19">
        <v>1736</v>
      </c>
      <c r="I3" s="16">
        <v>5</v>
      </c>
      <c r="J3" s="18" t="s">
        <v>19</v>
      </c>
      <c r="K3" s="20" t="str">
        <f>IF(Table3[[#This Row],[Qty]]&gt;5,"High","Low")</f>
        <v>Low</v>
      </c>
      <c r="L3" s="6" t="str">
        <f>IF(Table3[[#This Row],[Status]]="Completed","Done","Not Done")</f>
        <v>Not Done</v>
      </c>
      <c r="M3" s="6" t="str">
        <f>IF(Table3[[#This Row],[Discount]]&gt;0,"Discounted","No Discount")</f>
        <v>Discounted</v>
      </c>
      <c r="N3" s="8" t="str">
        <f>IF(Table3[[#This Row],[UnitPrice]]&gt;=1000,"Expensive","Affordable")</f>
        <v>Expensive</v>
      </c>
      <c r="O3" s="8" t="str">
        <f>IF(Table3[[#This Row],[Region]]="Dhaka","Local","Outside")</f>
        <v>Local</v>
      </c>
      <c r="P3" s="8"/>
      <c r="Q3" s="8"/>
      <c r="R3" s="8"/>
    </row>
    <row r="4" spans="1:18" x14ac:dyDescent="0.25">
      <c r="A4" s="11">
        <v>1004</v>
      </c>
      <c r="B4" s="12">
        <v>46116</v>
      </c>
      <c r="C4" s="13" t="s">
        <v>20</v>
      </c>
      <c r="D4" s="13" t="s">
        <v>21</v>
      </c>
      <c r="E4" s="13" t="s">
        <v>22</v>
      </c>
      <c r="F4" s="13" t="s">
        <v>23</v>
      </c>
      <c r="G4" s="11">
        <v>4</v>
      </c>
      <c r="H4" s="14">
        <v>1799</v>
      </c>
      <c r="I4" s="11">
        <v>10</v>
      </c>
      <c r="J4" s="13" t="s">
        <v>14</v>
      </c>
      <c r="K4" s="20" t="str">
        <f>IF(Table3[[#This Row],[Qty]]&gt;5,"High","Low")</f>
        <v>Low</v>
      </c>
      <c r="L4" s="6" t="str">
        <f>IF(Table3[[#This Row],[Status]]="Completed","Done","Not Done")</f>
        <v>Not Done</v>
      </c>
      <c r="M4" s="6" t="str">
        <f>IF(Table3[[#This Row],[Discount]]&gt;0,"Discounted","No Discount")</f>
        <v>Discounted</v>
      </c>
      <c r="N4" s="8" t="str">
        <f>IF(Table3[[#This Row],[UnitPrice]]&gt;=1000,"Expensive","Affordable")</f>
        <v>Expensive</v>
      </c>
      <c r="O4" s="8" t="str">
        <f>IF(Table3[[#This Row],[Region]]="Dhaka","Local","Outside")</f>
        <v>Outside</v>
      </c>
      <c r="P4" s="21"/>
      <c r="Q4" s="21"/>
      <c r="R4" s="21"/>
    </row>
    <row r="5" spans="1:18" x14ac:dyDescent="0.25">
      <c r="A5" s="16">
        <v>1005</v>
      </c>
      <c r="B5" s="17">
        <v>46199</v>
      </c>
      <c r="C5" s="18" t="s">
        <v>10</v>
      </c>
      <c r="D5" s="18" t="s">
        <v>24</v>
      </c>
      <c r="E5" s="18" t="s">
        <v>25</v>
      </c>
      <c r="F5" s="18" t="s">
        <v>18</v>
      </c>
      <c r="G5" s="16">
        <v>5</v>
      </c>
      <c r="H5" s="19">
        <v>1140</v>
      </c>
      <c r="I5" s="16">
        <v>5</v>
      </c>
      <c r="J5" s="18" t="s">
        <v>14</v>
      </c>
      <c r="K5" s="20" t="str">
        <f>IF(Table3[[#This Row],[Qty]]&gt;5,"High","Low")</f>
        <v>Low</v>
      </c>
      <c r="L5" s="6" t="str">
        <f>IF(Table3[[#This Row],[Status]]="Completed","Done","Not Done")</f>
        <v>Not Done</v>
      </c>
      <c r="M5" s="6" t="str">
        <f>IF(Table3[[#This Row],[Discount]]&gt;0,"Discounted","No Discount")</f>
        <v>Discounted</v>
      </c>
      <c r="N5" s="8" t="str">
        <f>IF(Table3[[#This Row],[UnitPrice]]&gt;=1000,"Expensive","Affordable")</f>
        <v>Expensive</v>
      </c>
      <c r="O5" s="8" t="str">
        <f>IF(Table3[[#This Row],[Region]]="Dhaka","Local","Outside")</f>
        <v>Outside</v>
      </c>
      <c r="P5" s="8"/>
      <c r="Q5" s="8"/>
      <c r="R5" s="8"/>
    </row>
    <row r="6" spans="1:18" x14ac:dyDescent="0.25">
      <c r="A6" s="11">
        <v>1006</v>
      </c>
      <c r="B6" s="12">
        <v>46158</v>
      </c>
      <c r="C6" s="13" t="s">
        <v>20</v>
      </c>
      <c r="D6" s="13" t="s">
        <v>21</v>
      </c>
      <c r="E6" s="13" t="s">
        <v>25</v>
      </c>
      <c r="F6" s="13" t="s">
        <v>18</v>
      </c>
      <c r="G6" s="11">
        <v>8</v>
      </c>
      <c r="H6" s="14">
        <v>1618</v>
      </c>
      <c r="I6" s="11">
        <v>15</v>
      </c>
      <c r="J6" s="13" t="s">
        <v>19</v>
      </c>
      <c r="K6" s="20" t="str">
        <f>IF(Table3[[#This Row],[Qty]]&gt;5,"High","Low")</f>
        <v>High</v>
      </c>
      <c r="L6" s="6" t="str">
        <f>IF(Table3[[#This Row],[Status]]="Completed","Done","Not Done")</f>
        <v>Not Done</v>
      </c>
      <c r="M6" s="6" t="str">
        <f>IF(Table3[[#This Row],[Discount]]&gt;0,"Discounted","No Discount")</f>
        <v>Discounted</v>
      </c>
      <c r="N6" s="8" t="str">
        <f>IF(Table3[[#This Row],[UnitPrice]]&gt;=1000,"Expensive","Affordable")</f>
        <v>Expensive</v>
      </c>
      <c r="O6" s="8" t="str">
        <f>IF(Table3[[#This Row],[Region]]="Dhaka","Local","Outside")</f>
        <v>Outside</v>
      </c>
      <c r="P6" s="21"/>
      <c r="Q6" s="21"/>
      <c r="R6" s="21"/>
    </row>
    <row r="7" spans="1:18" x14ac:dyDescent="0.25">
      <c r="A7" s="16">
        <v>1007</v>
      </c>
      <c r="B7" s="17">
        <v>46106</v>
      </c>
      <c r="C7" s="18" t="s">
        <v>10</v>
      </c>
      <c r="D7" s="18" t="s">
        <v>16</v>
      </c>
      <c r="E7" s="18" t="s">
        <v>26</v>
      </c>
      <c r="F7" s="18" t="s">
        <v>23</v>
      </c>
      <c r="G7" s="16">
        <v>8</v>
      </c>
      <c r="H7" s="19">
        <v>297</v>
      </c>
      <c r="I7" s="16">
        <v>10</v>
      </c>
      <c r="J7" s="18" t="s">
        <v>27</v>
      </c>
      <c r="K7" s="20" t="str">
        <f>IF(Table3[[#This Row],[Qty]]&gt;5,"High","Low")</f>
        <v>High</v>
      </c>
      <c r="L7" s="6" t="str">
        <f>IF(Table3[[#This Row],[Status]]="Completed","Done","Not Done")</f>
        <v>Done</v>
      </c>
      <c r="M7" s="6" t="str">
        <f>IF(Table3[[#This Row],[Discount]]&gt;0,"Discounted","No Discount")</f>
        <v>Discounted</v>
      </c>
      <c r="N7" s="8" t="str">
        <f>IF(Table3[[#This Row],[UnitPrice]]&gt;=1000,"Expensive","Affordable")</f>
        <v>Affordable</v>
      </c>
      <c r="O7" s="8" t="str">
        <f>IF(Table3[[#This Row],[Region]]="Dhaka","Local","Outside")</f>
        <v>Outside</v>
      </c>
      <c r="P7" s="8"/>
      <c r="Q7" s="8"/>
      <c r="R7" s="8"/>
    </row>
    <row r="8" spans="1:18" x14ac:dyDescent="0.25">
      <c r="A8" s="11">
        <v>1008</v>
      </c>
      <c r="B8" s="12">
        <v>46127</v>
      </c>
      <c r="C8" s="13" t="s">
        <v>15</v>
      </c>
      <c r="D8" s="13" t="s">
        <v>28</v>
      </c>
      <c r="E8" s="13" t="s">
        <v>17</v>
      </c>
      <c r="F8" s="13" t="s">
        <v>18</v>
      </c>
      <c r="G8" s="11">
        <v>1</v>
      </c>
      <c r="H8" s="14">
        <v>1768</v>
      </c>
      <c r="I8" s="11">
        <v>5</v>
      </c>
      <c r="J8" s="13" t="s">
        <v>19</v>
      </c>
      <c r="K8" s="20" t="str">
        <f>IF(Table3[[#This Row],[Qty]]&gt;5,"High","Low")</f>
        <v>Low</v>
      </c>
      <c r="L8" s="6" t="str">
        <f>IF(Table3[[#This Row],[Status]]="Completed","Done","Not Done")</f>
        <v>Not Done</v>
      </c>
      <c r="M8" s="6" t="str">
        <f>IF(Table3[[#This Row],[Discount]]&gt;0,"Discounted","No Discount")</f>
        <v>Discounted</v>
      </c>
      <c r="N8" s="8" t="str">
        <f>IF(Table3[[#This Row],[UnitPrice]]&gt;=1000,"Expensive","Affordable")</f>
        <v>Expensive</v>
      </c>
      <c r="O8" s="8" t="str">
        <f>IF(Table3[[#This Row],[Region]]="Dhaka","Local","Outside")</f>
        <v>Local</v>
      </c>
      <c r="P8" s="21"/>
      <c r="Q8" s="21"/>
      <c r="R8" s="21"/>
    </row>
    <row r="9" spans="1:18" x14ac:dyDescent="0.25">
      <c r="A9" s="16">
        <v>1009</v>
      </c>
      <c r="B9" s="17">
        <v>46192</v>
      </c>
      <c r="C9" s="18" t="s">
        <v>29</v>
      </c>
      <c r="D9" s="18" t="s">
        <v>24</v>
      </c>
      <c r="E9" s="18" t="s">
        <v>12</v>
      </c>
      <c r="F9" s="18" t="s">
        <v>13</v>
      </c>
      <c r="G9" s="16">
        <v>3</v>
      </c>
      <c r="H9" s="19">
        <v>1291</v>
      </c>
      <c r="I9" s="16">
        <v>15</v>
      </c>
      <c r="J9" s="18" t="s">
        <v>19</v>
      </c>
      <c r="K9" s="20" t="str">
        <f>IF(Table3[[#This Row],[Qty]]&gt;5,"High","Low")</f>
        <v>Low</v>
      </c>
      <c r="L9" s="6" t="str">
        <f>IF(Table3[[#This Row],[Status]]="Completed","Done","Not Done")</f>
        <v>Not Done</v>
      </c>
      <c r="M9" s="6" t="str">
        <f>IF(Table3[[#This Row],[Discount]]&gt;0,"Discounted","No Discount")</f>
        <v>Discounted</v>
      </c>
      <c r="N9" s="8" t="str">
        <f>IF(Table3[[#This Row],[UnitPrice]]&gt;=1000,"Expensive","Affordable")</f>
        <v>Expensive</v>
      </c>
      <c r="O9" s="8" t="str">
        <f>IF(Table3[[#This Row],[Region]]="Dhaka","Local","Outside")</f>
        <v>Outside</v>
      </c>
      <c r="P9" s="8"/>
      <c r="Q9" s="8"/>
      <c r="R9" s="8"/>
    </row>
    <row r="10" spans="1:18" x14ac:dyDescent="0.25">
      <c r="A10" s="11">
        <v>1010</v>
      </c>
      <c r="B10" s="12">
        <v>46167</v>
      </c>
      <c r="C10" s="13" t="s">
        <v>29</v>
      </c>
      <c r="D10" s="13" t="s">
        <v>11</v>
      </c>
      <c r="E10" s="13" t="s">
        <v>17</v>
      </c>
      <c r="F10" s="13" t="s">
        <v>18</v>
      </c>
      <c r="G10" s="11">
        <v>3</v>
      </c>
      <c r="H10" s="14">
        <v>1332</v>
      </c>
      <c r="I10" s="11">
        <v>5</v>
      </c>
      <c r="J10" s="13" t="s">
        <v>27</v>
      </c>
      <c r="K10" s="20" t="str">
        <f>IF(Table3[[#This Row],[Qty]]&gt;5,"High","Low")</f>
        <v>Low</v>
      </c>
      <c r="L10" s="6" t="str">
        <f>IF(Table3[[#This Row],[Status]]="Completed","Done","Not Done")</f>
        <v>Done</v>
      </c>
      <c r="M10" s="6" t="str">
        <f>IF(Table3[[#This Row],[Discount]]&gt;0,"Discounted","No Discount")</f>
        <v>Discounted</v>
      </c>
      <c r="N10" s="8" t="str">
        <f>IF(Table3[[#This Row],[UnitPrice]]&gt;=1000,"Expensive","Affordable")</f>
        <v>Expensive</v>
      </c>
      <c r="O10" s="8" t="str">
        <f>IF(Table3[[#This Row],[Region]]="Dhaka","Local","Outside")</f>
        <v>Outside</v>
      </c>
      <c r="P10" s="21"/>
      <c r="Q10" s="21"/>
      <c r="R10" s="21"/>
    </row>
    <row r="11" spans="1:18" x14ac:dyDescent="0.25">
      <c r="A11" s="16">
        <v>1011</v>
      </c>
      <c r="B11" s="17">
        <v>46090</v>
      </c>
      <c r="C11" s="18" t="s">
        <v>15</v>
      </c>
      <c r="D11" s="18" t="s">
        <v>16</v>
      </c>
      <c r="E11" s="18" t="s">
        <v>12</v>
      </c>
      <c r="F11" s="18" t="s">
        <v>13</v>
      </c>
      <c r="G11" s="16">
        <v>5</v>
      </c>
      <c r="H11" s="19">
        <v>1764</v>
      </c>
      <c r="I11" s="16">
        <v>10</v>
      </c>
      <c r="J11" s="18" t="s">
        <v>19</v>
      </c>
      <c r="K11" s="20" t="str">
        <f>IF(Table3[[#This Row],[Qty]]&gt;5,"High","Low")</f>
        <v>Low</v>
      </c>
      <c r="L11" s="6" t="str">
        <f>IF(Table3[[#This Row],[Status]]="Completed","Done","Not Done")</f>
        <v>Not Done</v>
      </c>
      <c r="M11" s="6" t="str">
        <f>IF(Table3[[#This Row],[Discount]]&gt;0,"Discounted","No Discount")</f>
        <v>Discounted</v>
      </c>
      <c r="N11" s="8" t="str">
        <f>IF(Table3[[#This Row],[UnitPrice]]&gt;=1000,"Expensive","Affordable")</f>
        <v>Expensive</v>
      </c>
      <c r="O11" s="8" t="str">
        <f>IF(Table3[[#This Row],[Region]]="Dhaka","Local","Outside")</f>
        <v>Local</v>
      </c>
      <c r="P11" s="8"/>
      <c r="Q11" s="8"/>
      <c r="R11" s="8"/>
    </row>
    <row r="12" spans="1:18" x14ac:dyDescent="0.25">
      <c r="A12" s="11">
        <v>1012</v>
      </c>
      <c r="B12" s="12">
        <v>46034</v>
      </c>
      <c r="C12" s="13" t="s">
        <v>10</v>
      </c>
      <c r="D12" s="13" t="s">
        <v>30</v>
      </c>
      <c r="E12" s="13" t="s">
        <v>12</v>
      </c>
      <c r="F12" s="13" t="s">
        <v>13</v>
      </c>
      <c r="G12" s="11">
        <v>3</v>
      </c>
      <c r="H12" s="14">
        <v>139</v>
      </c>
      <c r="I12" s="11">
        <v>10</v>
      </c>
      <c r="J12" s="13" t="s">
        <v>19</v>
      </c>
      <c r="K12" s="20" t="str">
        <f>IF(Table3[[#This Row],[Qty]]&gt;5,"High","Low")</f>
        <v>Low</v>
      </c>
      <c r="L12" s="6" t="str">
        <f>IF(Table3[[#This Row],[Status]]="Completed","Done","Not Done")</f>
        <v>Not Done</v>
      </c>
      <c r="M12" s="6" t="str">
        <f>IF(Table3[[#This Row],[Discount]]&gt;0,"Discounted","No Discount")</f>
        <v>Discounted</v>
      </c>
      <c r="N12" s="8" t="str">
        <f>IF(Table3[[#This Row],[UnitPrice]]&gt;=1000,"Expensive","Affordable")</f>
        <v>Affordable</v>
      </c>
      <c r="O12" s="8" t="str">
        <f>IF(Table3[[#This Row],[Region]]="Dhaka","Local","Outside")</f>
        <v>Outside</v>
      </c>
      <c r="P12" s="21"/>
      <c r="Q12" s="21"/>
      <c r="R12" s="21"/>
    </row>
    <row r="13" spans="1:18" x14ac:dyDescent="0.25">
      <c r="A13" s="16">
        <v>1013</v>
      </c>
      <c r="B13" s="17">
        <v>46087</v>
      </c>
      <c r="C13" s="18" t="s">
        <v>29</v>
      </c>
      <c r="D13" s="18" t="s">
        <v>11</v>
      </c>
      <c r="E13" s="18" t="s">
        <v>31</v>
      </c>
      <c r="F13" s="18" t="s">
        <v>13</v>
      </c>
      <c r="G13" s="16">
        <v>8</v>
      </c>
      <c r="H13" s="19">
        <v>130</v>
      </c>
      <c r="I13" s="16">
        <v>10</v>
      </c>
      <c r="J13" s="18" t="s">
        <v>27</v>
      </c>
      <c r="K13" s="20" t="str">
        <f>IF(Table3[[#This Row],[Qty]]&gt;5,"High","Low")</f>
        <v>High</v>
      </c>
      <c r="L13" s="6" t="str">
        <f>IF(Table3[[#This Row],[Status]]="Completed","Done","Not Done")</f>
        <v>Done</v>
      </c>
      <c r="M13" s="6" t="str">
        <f>IF(Table3[[#This Row],[Discount]]&gt;0,"Discounted","No Discount")</f>
        <v>Discounted</v>
      </c>
      <c r="N13" s="8" t="str">
        <f>IF(Table3[[#This Row],[UnitPrice]]&gt;=1000,"Expensive","Affordable")</f>
        <v>Affordable</v>
      </c>
      <c r="O13" s="8" t="str">
        <f>IF(Table3[[#This Row],[Region]]="Dhaka","Local","Outside")</f>
        <v>Outside</v>
      </c>
      <c r="P13" s="8"/>
      <c r="Q13" s="8"/>
      <c r="R13" s="8"/>
    </row>
    <row r="14" spans="1:18" x14ac:dyDescent="0.25">
      <c r="A14" s="11">
        <v>1014</v>
      </c>
      <c r="B14" s="12">
        <v>46061</v>
      </c>
      <c r="C14" s="13" t="s">
        <v>15</v>
      </c>
      <c r="D14" s="13" t="s">
        <v>24</v>
      </c>
      <c r="E14" s="13" t="s">
        <v>12</v>
      </c>
      <c r="F14" s="13" t="s">
        <v>13</v>
      </c>
      <c r="G14" s="11">
        <v>10</v>
      </c>
      <c r="H14" s="14">
        <v>1571</v>
      </c>
      <c r="I14" s="11">
        <v>15</v>
      </c>
      <c r="J14" s="13" t="s">
        <v>19</v>
      </c>
      <c r="K14" s="20" t="str">
        <f>IF(Table3[[#This Row],[Qty]]&gt;5,"High","Low")</f>
        <v>High</v>
      </c>
      <c r="L14" s="6" t="str">
        <f>IF(Table3[[#This Row],[Status]]="Completed","Done","Not Done")</f>
        <v>Not Done</v>
      </c>
      <c r="M14" s="6" t="str">
        <f>IF(Table3[[#This Row],[Discount]]&gt;0,"Discounted","No Discount")</f>
        <v>Discounted</v>
      </c>
      <c r="N14" s="8" t="str">
        <f>IF(Table3[[#This Row],[UnitPrice]]&gt;=1000,"Expensive","Affordable")</f>
        <v>Expensive</v>
      </c>
      <c r="O14" s="8" t="str">
        <f>IF(Table3[[#This Row],[Region]]="Dhaka","Local","Outside")</f>
        <v>Local</v>
      </c>
      <c r="P14" s="21"/>
      <c r="Q14" s="21"/>
      <c r="R14" s="21"/>
    </row>
    <row r="15" spans="1:18" x14ac:dyDescent="0.25">
      <c r="A15" s="16">
        <v>1015</v>
      </c>
      <c r="B15" s="17">
        <v>46102</v>
      </c>
      <c r="C15" s="18" t="s">
        <v>29</v>
      </c>
      <c r="D15" s="18" t="s">
        <v>21</v>
      </c>
      <c r="E15" s="18" t="s">
        <v>12</v>
      </c>
      <c r="F15" s="18" t="s">
        <v>13</v>
      </c>
      <c r="G15" s="16">
        <v>3</v>
      </c>
      <c r="H15" s="19">
        <v>285</v>
      </c>
      <c r="I15" s="16">
        <v>0</v>
      </c>
      <c r="J15" s="18" t="s">
        <v>14</v>
      </c>
      <c r="K15" s="20" t="str">
        <f>IF(Table3[[#This Row],[Qty]]&gt;5,"High","Low")</f>
        <v>Low</v>
      </c>
      <c r="L15" s="6" t="str">
        <f>IF(Table3[[#This Row],[Status]]="Completed","Done","Not Done")</f>
        <v>Not Done</v>
      </c>
      <c r="M15" s="6" t="str">
        <f>IF(Table3[[#This Row],[Discount]]&gt;0,"Discounted","No Discount")</f>
        <v>No Discount</v>
      </c>
      <c r="N15" s="8" t="str">
        <f>IF(Table3[[#This Row],[UnitPrice]]&gt;=1000,"Expensive","Affordable")</f>
        <v>Affordable</v>
      </c>
      <c r="O15" s="8" t="str">
        <f>IF(Table3[[#This Row],[Region]]="Dhaka","Local","Outside")</f>
        <v>Outside</v>
      </c>
      <c r="P15" s="8"/>
      <c r="Q15" s="8"/>
      <c r="R15" s="8"/>
    </row>
    <row r="16" spans="1:18" x14ac:dyDescent="0.25">
      <c r="A16" s="11">
        <v>1016</v>
      </c>
      <c r="B16" s="12">
        <v>46169</v>
      </c>
      <c r="C16" s="13" t="s">
        <v>10</v>
      </c>
      <c r="D16" s="13" t="s">
        <v>16</v>
      </c>
      <c r="E16" s="13" t="s">
        <v>12</v>
      </c>
      <c r="F16" s="13" t="s">
        <v>13</v>
      </c>
      <c r="G16" s="11">
        <v>3</v>
      </c>
      <c r="H16" s="14">
        <v>1228</v>
      </c>
      <c r="I16" s="11">
        <v>0</v>
      </c>
      <c r="J16" s="13" t="s">
        <v>19</v>
      </c>
      <c r="K16" s="20" t="str">
        <f>IF(Table3[[#This Row],[Qty]]&gt;5,"High","Low")</f>
        <v>Low</v>
      </c>
      <c r="L16" s="6" t="str">
        <f>IF(Table3[[#This Row],[Status]]="Completed","Done","Not Done")</f>
        <v>Not Done</v>
      </c>
      <c r="M16" s="6" t="str">
        <f>IF(Table3[[#This Row],[Discount]]&gt;0,"Discounted","No Discount")</f>
        <v>No Discount</v>
      </c>
      <c r="N16" s="8" t="str">
        <f>IF(Table3[[#This Row],[UnitPrice]]&gt;=1000,"Expensive","Affordable")</f>
        <v>Expensive</v>
      </c>
      <c r="O16" s="8" t="str">
        <f>IF(Table3[[#This Row],[Region]]="Dhaka","Local","Outside")</f>
        <v>Outside</v>
      </c>
      <c r="P16" s="21"/>
      <c r="Q16" s="21"/>
      <c r="R16" s="21"/>
    </row>
    <row r="17" spans="1:18" x14ac:dyDescent="0.25">
      <c r="A17" s="16">
        <v>1017</v>
      </c>
      <c r="B17" s="17">
        <v>46101</v>
      </c>
      <c r="C17" s="18" t="s">
        <v>10</v>
      </c>
      <c r="D17" s="18" t="s">
        <v>21</v>
      </c>
      <c r="E17" s="18" t="s">
        <v>17</v>
      </c>
      <c r="F17" s="18" t="s">
        <v>18</v>
      </c>
      <c r="G17" s="16">
        <v>9</v>
      </c>
      <c r="H17" s="19">
        <v>1797</v>
      </c>
      <c r="I17" s="16">
        <v>15</v>
      </c>
      <c r="J17" s="18" t="s">
        <v>27</v>
      </c>
      <c r="K17" s="20" t="str">
        <f>IF(Table3[[#This Row],[Qty]]&gt;5,"High","Low")</f>
        <v>High</v>
      </c>
      <c r="L17" s="6" t="str">
        <f>IF(Table3[[#This Row],[Status]]="Completed","Done","Not Done")</f>
        <v>Done</v>
      </c>
      <c r="M17" s="6" t="str">
        <f>IF(Table3[[#This Row],[Discount]]&gt;0,"Discounted","No Discount")</f>
        <v>Discounted</v>
      </c>
      <c r="N17" s="8" t="str">
        <f>IF(Table3[[#This Row],[UnitPrice]]&gt;=1000,"Expensive","Affordable")</f>
        <v>Expensive</v>
      </c>
      <c r="O17" s="8" t="str">
        <f>IF(Table3[[#This Row],[Region]]="Dhaka","Local","Outside")</f>
        <v>Outside</v>
      </c>
      <c r="P17" s="8"/>
      <c r="Q17" s="8"/>
      <c r="R17" s="8"/>
    </row>
    <row r="18" spans="1:18" x14ac:dyDescent="0.25">
      <c r="A18" s="11">
        <v>1018</v>
      </c>
      <c r="B18" s="12">
        <v>46144</v>
      </c>
      <c r="C18" s="13" t="s">
        <v>20</v>
      </c>
      <c r="D18" s="13" t="s">
        <v>24</v>
      </c>
      <c r="E18" s="13" t="s">
        <v>31</v>
      </c>
      <c r="F18" s="13" t="s">
        <v>13</v>
      </c>
      <c r="G18" s="11">
        <v>5</v>
      </c>
      <c r="H18" s="14">
        <v>537</v>
      </c>
      <c r="I18" s="11">
        <v>15</v>
      </c>
      <c r="J18" s="13" t="s">
        <v>27</v>
      </c>
      <c r="K18" s="20" t="str">
        <f>IF(Table3[[#This Row],[Qty]]&gt;5,"High","Low")</f>
        <v>Low</v>
      </c>
      <c r="L18" s="6" t="str">
        <f>IF(Table3[[#This Row],[Status]]="Completed","Done","Not Done")</f>
        <v>Done</v>
      </c>
      <c r="M18" s="6" t="str">
        <f>IF(Table3[[#This Row],[Discount]]&gt;0,"Discounted","No Discount")</f>
        <v>Discounted</v>
      </c>
      <c r="N18" s="8" t="str">
        <f>IF(Table3[[#This Row],[UnitPrice]]&gt;=1000,"Expensive","Affordable")</f>
        <v>Affordable</v>
      </c>
      <c r="O18" s="8" t="str">
        <f>IF(Table3[[#This Row],[Region]]="Dhaka","Local","Outside")</f>
        <v>Outside</v>
      </c>
      <c r="P18" s="21"/>
      <c r="Q18" s="21"/>
      <c r="R18" s="21"/>
    </row>
    <row r="19" spans="1:18" x14ac:dyDescent="0.25">
      <c r="A19" s="16">
        <v>1019</v>
      </c>
      <c r="B19" s="17">
        <v>46046</v>
      </c>
      <c r="C19" s="18" t="s">
        <v>20</v>
      </c>
      <c r="D19" s="18" t="s">
        <v>11</v>
      </c>
      <c r="E19" s="18" t="s">
        <v>17</v>
      </c>
      <c r="F19" s="18" t="s">
        <v>18</v>
      </c>
      <c r="G19" s="16">
        <v>8</v>
      </c>
      <c r="H19" s="19">
        <v>1454</v>
      </c>
      <c r="I19" s="16">
        <v>5</v>
      </c>
      <c r="J19" s="18" t="s">
        <v>19</v>
      </c>
      <c r="K19" s="20" t="str">
        <f>IF(Table3[[#This Row],[Qty]]&gt;5,"High","Low")</f>
        <v>High</v>
      </c>
      <c r="L19" s="6" t="str">
        <f>IF(Table3[[#This Row],[Status]]="Completed","Done","Not Done")</f>
        <v>Not Done</v>
      </c>
      <c r="M19" s="6" t="str">
        <f>IF(Table3[[#This Row],[Discount]]&gt;0,"Discounted","No Discount")</f>
        <v>Discounted</v>
      </c>
      <c r="N19" s="8" t="str">
        <f>IF(Table3[[#This Row],[UnitPrice]]&gt;=1000,"Expensive","Affordable")</f>
        <v>Expensive</v>
      </c>
      <c r="O19" s="8" t="str">
        <f>IF(Table3[[#This Row],[Region]]="Dhaka","Local","Outside")</f>
        <v>Outside</v>
      </c>
      <c r="P19" s="8"/>
      <c r="Q19" s="8"/>
      <c r="R19" s="8"/>
    </row>
    <row r="20" spans="1:18" x14ac:dyDescent="0.25">
      <c r="A20" s="11">
        <v>1020</v>
      </c>
      <c r="B20" s="12">
        <v>46125</v>
      </c>
      <c r="C20" s="13" t="s">
        <v>20</v>
      </c>
      <c r="D20" s="13" t="s">
        <v>21</v>
      </c>
      <c r="E20" s="13" t="s">
        <v>12</v>
      </c>
      <c r="F20" s="13" t="s">
        <v>13</v>
      </c>
      <c r="G20" s="11">
        <v>3</v>
      </c>
      <c r="H20" s="14">
        <v>1365</v>
      </c>
      <c r="I20" s="11">
        <v>10</v>
      </c>
      <c r="J20" s="13" t="s">
        <v>27</v>
      </c>
      <c r="K20" s="20" t="str">
        <f>IF(Table3[[#This Row],[Qty]]&gt;5,"High","Low")</f>
        <v>Low</v>
      </c>
      <c r="L20" s="6" t="str">
        <f>IF(Table3[[#This Row],[Status]]="Completed","Done","Not Done")</f>
        <v>Done</v>
      </c>
      <c r="M20" s="6" t="str">
        <f>IF(Table3[[#This Row],[Discount]]&gt;0,"Discounted","No Discount")</f>
        <v>Discounted</v>
      </c>
      <c r="N20" s="8" t="str">
        <f>IF(Table3[[#This Row],[UnitPrice]]&gt;=1000,"Expensive","Affordable")</f>
        <v>Expensive</v>
      </c>
      <c r="O20" s="8" t="str">
        <f>IF(Table3[[#This Row],[Region]]="Dhaka","Local","Outside")</f>
        <v>Outside</v>
      </c>
      <c r="P20" s="21"/>
      <c r="Q20" s="21"/>
      <c r="R20" s="21"/>
    </row>
    <row r="21" spans="1:18" x14ac:dyDescent="0.25">
      <c r="A21" s="16">
        <v>1021</v>
      </c>
      <c r="B21" s="17">
        <v>46118</v>
      </c>
      <c r="C21" s="18" t="s">
        <v>20</v>
      </c>
      <c r="D21" s="18" t="s">
        <v>24</v>
      </c>
      <c r="E21" s="18" t="s">
        <v>17</v>
      </c>
      <c r="F21" s="18" t="s">
        <v>18</v>
      </c>
      <c r="G21" s="16">
        <v>9</v>
      </c>
      <c r="H21" s="19">
        <v>231</v>
      </c>
      <c r="I21" s="16">
        <v>15</v>
      </c>
      <c r="J21" s="18" t="s">
        <v>27</v>
      </c>
      <c r="K21" s="20" t="str">
        <f>IF(Table3[[#This Row],[Qty]]&gt;5,"High","Low")</f>
        <v>High</v>
      </c>
      <c r="L21" s="6" t="str">
        <f>IF(Table3[[#This Row],[Status]]="Completed","Done","Not Done")</f>
        <v>Done</v>
      </c>
      <c r="M21" s="6" t="str">
        <f>IF(Table3[[#This Row],[Discount]]&gt;0,"Discounted","No Discount")</f>
        <v>Discounted</v>
      </c>
      <c r="N21" s="8" t="str">
        <f>IF(Table3[[#This Row],[UnitPrice]]&gt;=1000,"Expensive","Affordable")</f>
        <v>Affordable</v>
      </c>
      <c r="O21" s="8" t="str">
        <f>IF(Table3[[#This Row],[Region]]="Dhaka","Local","Outside")</f>
        <v>Outside</v>
      </c>
      <c r="P21" s="8"/>
      <c r="Q21" s="8"/>
      <c r="R21" s="8"/>
    </row>
    <row r="22" spans="1:18" x14ac:dyDescent="0.25">
      <c r="A22" s="11">
        <v>1022</v>
      </c>
      <c r="B22" s="12">
        <v>46166</v>
      </c>
      <c r="C22" s="13" t="s">
        <v>20</v>
      </c>
      <c r="D22" s="13" t="s">
        <v>24</v>
      </c>
      <c r="E22" s="13" t="s">
        <v>26</v>
      </c>
      <c r="F22" s="13" t="s">
        <v>23</v>
      </c>
      <c r="G22" s="11">
        <v>8</v>
      </c>
      <c r="H22" s="14">
        <v>1171</v>
      </c>
      <c r="I22" s="11">
        <v>15</v>
      </c>
      <c r="J22" s="13" t="s">
        <v>19</v>
      </c>
      <c r="K22" s="20" t="str">
        <f>IF(Table3[[#This Row],[Qty]]&gt;5,"High","Low")</f>
        <v>High</v>
      </c>
      <c r="L22" s="6" t="str">
        <f>IF(Table3[[#This Row],[Status]]="Completed","Done","Not Done")</f>
        <v>Not Done</v>
      </c>
      <c r="M22" s="6" t="str">
        <f>IF(Table3[[#This Row],[Discount]]&gt;0,"Discounted","No Discount")</f>
        <v>Discounted</v>
      </c>
      <c r="N22" s="8" t="str">
        <f>IF(Table3[[#This Row],[UnitPrice]]&gt;=1000,"Expensive","Affordable")</f>
        <v>Expensive</v>
      </c>
      <c r="O22" s="8" t="str">
        <f>IF(Table3[[#This Row],[Region]]="Dhaka","Local","Outside")</f>
        <v>Outside</v>
      </c>
      <c r="P22" s="21"/>
      <c r="Q22" s="21"/>
      <c r="R22" s="21"/>
    </row>
    <row r="23" spans="1:18" x14ac:dyDescent="0.25">
      <c r="A23" s="16">
        <v>1023</v>
      </c>
      <c r="B23" s="17">
        <v>46184</v>
      </c>
      <c r="C23" s="18" t="s">
        <v>15</v>
      </c>
      <c r="D23" s="18" t="s">
        <v>21</v>
      </c>
      <c r="E23" s="18" t="s">
        <v>22</v>
      </c>
      <c r="F23" s="18" t="s">
        <v>23</v>
      </c>
      <c r="G23" s="16">
        <v>6</v>
      </c>
      <c r="H23" s="19">
        <v>529</v>
      </c>
      <c r="I23" s="16">
        <v>10</v>
      </c>
      <c r="J23" s="18" t="s">
        <v>19</v>
      </c>
      <c r="K23" s="20" t="str">
        <f>IF(Table3[[#This Row],[Qty]]&gt;5,"High","Low")</f>
        <v>High</v>
      </c>
      <c r="L23" s="6" t="str">
        <f>IF(Table3[[#This Row],[Status]]="Completed","Done","Not Done")</f>
        <v>Not Done</v>
      </c>
      <c r="M23" s="6" t="str">
        <f>IF(Table3[[#This Row],[Discount]]&gt;0,"Discounted","No Discount")</f>
        <v>Discounted</v>
      </c>
      <c r="N23" s="8" t="str">
        <f>IF(Table3[[#This Row],[UnitPrice]]&gt;=1000,"Expensive","Affordable")</f>
        <v>Affordable</v>
      </c>
      <c r="O23" s="8" t="str">
        <f>IF(Table3[[#This Row],[Region]]="Dhaka","Local","Outside")</f>
        <v>Local</v>
      </c>
      <c r="P23" s="8"/>
      <c r="Q23" s="8"/>
      <c r="R23" s="8"/>
    </row>
    <row r="24" spans="1:18" x14ac:dyDescent="0.25">
      <c r="A24" s="11">
        <v>1024</v>
      </c>
      <c r="B24" s="12">
        <v>46100</v>
      </c>
      <c r="C24" s="13" t="s">
        <v>15</v>
      </c>
      <c r="D24" s="13" t="s">
        <v>21</v>
      </c>
      <c r="E24" s="13" t="s">
        <v>12</v>
      </c>
      <c r="F24" s="13" t="s">
        <v>13</v>
      </c>
      <c r="G24" s="11">
        <v>5</v>
      </c>
      <c r="H24" s="14">
        <v>1578</v>
      </c>
      <c r="I24" s="11">
        <v>15</v>
      </c>
      <c r="J24" s="13" t="s">
        <v>27</v>
      </c>
      <c r="K24" s="20" t="str">
        <f>IF(Table3[[#This Row],[Qty]]&gt;5,"High","Low")</f>
        <v>Low</v>
      </c>
      <c r="L24" s="6" t="str">
        <f>IF(Table3[[#This Row],[Status]]="Completed","Done","Not Done")</f>
        <v>Done</v>
      </c>
      <c r="M24" s="6" t="str">
        <f>IF(Table3[[#This Row],[Discount]]&gt;0,"Discounted","No Discount")</f>
        <v>Discounted</v>
      </c>
      <c r="N24" s="8" t="str">
        <f>IF(Table3[[#This Row],[UnitPrice]]&gt;=1000,"Expensive","Affordable")</f>
        <v>Expensive</v>
      </c>
      <c r="O24" s="8" t="str">
        <f>IF(Table3[[#This Row],[Region]]="Dhaka","Local","Outside")</f>
        <v>Local</v>
      </c>
      <c r="P24" s="21"/>
      <c r="Q24" s="21"/>
      <c r="R24" s="21"/>
    </row>
    <row r="25" spans="1:18" x14ac:dyDescent="0.25">
      <c r="A25" s="16">
        <v>1025</v>
      </c>
      <c r="B25" s="17">
        <v>46142</v>
      </c>
      <c r="C25" s="18" t="s">
        <v>10</v>
      </c>
      <c r="D25" s="18" t="s">
        <v>16</v>
      </c>
      <c r="E25" s="18" t="s">
        <v>12</v>
      </c>
      <c r="F25" s="18" t="s">
        <v>13</v>
      </c>
      <c r="G25" s="16">
        <v>1</v>
      </c>
      <c r="H25" s="19">
        <v>1953</v>
      </c>
      <c r="I25" s="16">
        <v>5</v>
      </c>
      <c r="J25" s="18" t="s">
        <v>19</v>
      </c>
      <c r="K25" s="20" t="str">
        <f>IF(Table3[[#This Row],[Qty]]&gt;5,"High","Low")</f>
        <v>Low</v>
      </c>
      <c r="L25" s="6" t="str">
        <f>IF(Table3[[#This Row],[Status]]="Completed","Done","Not Done")</f>
        <v>Not Done</v>
      </c>
      <c r="M25" s="6" t="str">
        <f>IF(Table3[[#This Row],[Discount]]&gt;0,"Discounted","No Discount")</f>
        <v>Discounted</v>
      </c>
      <c r="N25" s="8" t="str">
        <f>IF(Table3[[#This Row],[UnitPrice]]&gt;=1000,"Expensive","Affordable")</f>
        <v>Expensive</v>
      </c>
      <c r="O25" s="8" t="str">
        <f>IF(Table3[[#This Row],[Region]]="Dhaka","Local","Outside")</f>
        <v>Outside</v>
      </c>
      <c r="P25" s="8"/>
      <c r="Q25" s="8"/>
      <c r="R25" s="8"/>
    </row>
    <row r="26" spans="1:18" x14ac:dyDescent="0.25">
      <c r="A26" s="11">
        <v>1026</v>
      </c>
      <c r="B26" s="12">
        <v>46195</v>
      </c>
      <c r="C26" s="13" t="s">
        <v>15</v>
      </c>
      <c r="D26" s="13" t="s">
        <v>21</v>
      </c>
      <c r="E26" s="13" t="s">
        <v>31</v>
      </c>
      <c r="F26" s="13" t="s">
        <v>13</v>
      </c>
      <c r="G26" s="11">
        <v>4</v>
      </c>
      <c r="H26" s="14">
        <v>1360</v>
      </c>
      <c r="I26" s="11">
        <v>15</v>
      </c>
      <c r="J26" s="13" t="s">
        <v>14</v>
      </c>
      <c r="K26" s="20" t="str">
        <f>IF(Table3[[#This Row],[Qty]]&gt;5,"High","Low")</f>
        <v>Low</v>
      </c>
      <c r="L26" s="6" t="str">
        <f>IF(Table3[[#This Row],[Status]]="Completed","Done","Not Done")</f>
        <v>Not Done</v>
      </c>
      <c r="M26" s="6" t="str">
        <f>IF(Table3[[#This Row],[Discount]]&gt;0,"Discounted","No Discount")</f>
        <v>Discounted</v>
      </c>
      <c r="N26" s="8" t="str">
        <f>IF(Table3[[#This Row],[UnitPrice]]&gt;=1000,"Expensive","Affordable")</f>
        <v>Expensive</v>
      </c>
      <c r="O26" s="8" t="str">
        <f>IF(Table3[[#This Row],[Region]]="Dhaka","Local","Outside")</f>
        <v>Local</v>
      </c>
      <c r="P26" s="21"/>
      <c r="Q26" s="21"/>
      <c r="R26" s="21"/>
    </row>
    <row r="27" spans="1:18" x14ac:dyDescent="0.25">
      <c r="A27" s="16">
        <v>1027</v>
      </c>
      <c r="B27" s="17">
        <v>46135</v>
      </c>
      <c r="C27" s="18" t="s">
        <v>29</v>
      </c>
      <c r="D27" s="18" t="s">
        <v>28</v>
      </c>
      <c r="E27" s="18" t="s">
        <v>17</v>
      </c>
      <c r="F27" s="18" t="s">
        <v>18</v>
      </c>
      <c r="G27" s="16">
        <v>3</v>
      </c>
      <c r="H27" s="19">
        <v>1195</v>
      </c>
      <c r="I27" s="16">
        <v>10</v>
      </c>
      <c r="J27" s="18" t="s">
        <v>14</v>
      </c>
      <c r="K27" s="20" t="str">
        <f>IF(Table3[[#This Row],[Qty]]&gt;5,"High","Low")</f>
        <v>Low</v>
      </c>
      <c r="L27" s="6" t="str">
        <f>IF(Table3[[#This Row],[Status]]="Completed","Done","Not Done")</f>
        <v>Not Done</v>
      </c>
      <c r="M27" s="6" t="str">
        <f>IF(Table3[[#This Row],[Discount]]&gt;0,"Discounted","No Discount")</f>
        <v>Discounted</v>
      </c>
      <c r="N27" s="8" t="str">
        <f>IF(Table3[[#This Row],[UnitPrice]]&gt;=1000,"Expensive","Affordable")</f>
        <v>Expensive</v>
      </c>
      <c r="O27" s="8" t="str">
        <f>IF(Table3[[#This Row],[Region]]="Dhaka","Local","Outside")</f>
        <v>Outside</v>
      </c>
      <c r="P27" s="8"/>
      <c r="Q27" s="8"/>
      <c r="R27" s="8"/>
    </row>
    <row r="28" spans="1:18" x14ac:dyDescent="0.25">
      <c r="A28" s="11">
        <v>1028</v>
      </c>
      <c r="B28" s="12">
        <v>46058</v>
      </c>
      <c r="C28" s="13" t="s">
        <v>10</v>
      </c>
      <c r="D28" s="13" t="s">
        <v>11</v>
      </c>
      <c r="E28" s="13" t="s">
        <v>12</v>
      </c>
      <c r="F28" s="13" t="s">
        <v>13</v>
      </c>
      <c r="G28" s="11">
        <v>8</v>
      </c>
      <c r="H28" s="14">
        <v>1103</v>
      </c>
      <c r="I28" s="11">
        <v>0</v>
      </c>
      <c r="J28" s="13" t="s">
        <v>14</v>
      </c>
      <c r="K28" s="20" t="str">
        <f>IF(Table3[[#This Row],[Qty]]&gt;5,"High","Low")</f>
        <v>High</v>
      </c>
      <c r="L28" s="6" t="str">
        <f>IF(Table3[[#This Row],[Status]]="Completed","Done","Not Done")</f>
        <v>Not Done</v>
      </c>
      <c r="M28" s="6" t="str">
        <f>IF(Table3[[#This Row],[Discount]]&gt;0,"Discounted","No Discount")</f>
        <v>No Discount</v>
      </c>
      <c r="N28" s="8" t="str">
        <f>IF(Table3[[#This Row],[UnitPrice]]&gt;=1000,"Expensive","Affordable")</f>
        <v>Expensive</v>
      </c>
      <c r="O28" s="8" t="str">
        <f>IF(Table3[[#This Row],[Region]]="Dhaka","Local","Outside")</f>
        <v>Outside</v>
      </c>
      <c r="P28" s="21"/>
      <c r="Q28" s="21"/>
      <c r="R28" s="21"/>
    </row>
    <row r="29" spans="1:18" x14ac:dyDescent="0.25">
      <c r="A29" s="16">
        <v>1029</v>
      </c>
      <c r="B29" s="17">
        <v>46046</v>
      </c>
      <c r="C29" s="18" t="s">
        <v>29</v>
      </c>
      <c r="D29" s="18" t="s">
        <v>28</v>
      </c>
      <c r="E29" s="18" t="s">
        <v>31</v>
      </c>
      <c r="F29" s="18" t="s">
        <v>13</v>
      </c>
      <c r="G29" s="16">
        <v>10</v>
      </c>
      <c r="H29" s="19">
        <v>1244</v>
      </c>
      <c r="I29" s="16">
        <v>15</v>
      </c>
      <c r="J29" s="18" t="s">
        <v>19</v>
      </c>
      <c r="K29" s="20" t="str">
        <f>IF(Table3[[#This Row],[Qty]]&gt;5,"High","Low")</f>
        <v>High</v>
      </c>
      <c r="L29" s="6" t="str">
        <f>IF(Table3[[#This Row],[Status]]="Completed","Done","Not Done")</f>
        <v>Not Done</v>
      </c>
      <c r="M29" s="6" t="str">
        <f>IF(Table3[[#This Row],[Discount]]&gt;0,"Discounted","No Discount")</f>
        <v>Discounted</v>
      </c>
      <c r="N29" s="8" t="str">
        <f>IF(Table3[[#This Row],[UnitPrice]]&gt;=1000,"Expensive","Affordable")</f>
        <v>Expensive</v>
      </c>
      <c r="O29" s="8" t="str">
        <f>IF(Table3[[#This Row],[Region]]="Dhaka","Local","Outside")</f>
        <v>Outside</v>
      </c>
      <c r="P29" s="8"/>
      <c r="Q29" s="8"/>
      <c r="R29" s="8"/>
    </row>
    <row r="30" spans="1:18" x14ac:dyDescent="0.25">
      <c r="A30" s="11">
        <v>1030</v>
      </c>
      <c r="B30" s="12">
        <v>46067</v>
      </c>
      <c r="C30" s="13" t="s">
        <v>10</v>
      </c>
      <c r="D30" s="13" t="s">
        <v>21</v>
      </c>
      <c r="E30" s="13" t="s">
        <v>26</v>
      </c>
      <c r="F30" s="13" t="s">
        <v>23</v>
      </c>
      <c r="G30" s="11">
        <v>2</v>
      </c>
      <c r="H30" s="14">
        <v>1531</v>
      </c>
      <c r="I30" s="11">
        <v>0</v>
      </c>
      <c r="J30" s="13" t="s">
        <v>27</v>
      </c>
      <c r="K30" s="20" t="str">
        <f>IF(Table3[[#This Row],[Qty]]&gt;5,"High","Low")</f>
        <v>Low</v>
      </c>
      <c r="L30" s="6" t="str">
        <f>IF(Table3[[#This Row],[Status]]="Completed","Done","Not Done")</f>
        <v>Done</v>
      </c>
      <c r="M30" s="6" t="str">
        <f>IF(Table3[[#This Row],[Discount]]&gt;0,"Discounted","No Discount")</f>
        <v>No Discount</v>
      </c>
      <c r="N30" s="8" t="str">
        <f>IF(Table3[[#This Row],[UnitPrice]]&gt;=1000,"Expensive","Affordable")</f>
        <v>Expensive</v>
      </c>
      <c r="O30" s="8" t="str">
        <f>IF(Table3[[#This Row],[Region]]="Dhaka","Local","Outside")</f>
        <v>Outside</v>
      </c>
      <c r="P30" s="21"/>
      <c r="Q30" s="21"/>
      <c r="R30" s="21"/>
    </row>
    <row r="31" spans="1:18" x14ac:dyDescent="0.25">
      <c r="A31" s="16">
        <v>1031</v>
      </c>
      <c r="B31" s="17">
        <v>46134</v>
      </c>
      <c r="C31" s="18" t="s">
        <v>29</v>
      </c>
      <c r="D31" s="18" t="s">
        <v>24</v>
      </c>
      <c r="E31" s="18" t="s">
        <v>22</v>
      </c>
      <c r="F31" s="18" t="s">
        <v>23</v>
      </c>
      <c r="G31" s="16">
        <v>8</v>
      </c>
      <c r="H31" s="19">
        <v>550</v>
      </c>
      <c r="I31" s="16">
        <v>10</v>
      </c>
      <c r="J31" s="18" t="s">
        <v>19</v>
      </c>
      <c r="K31" s="20" t="str">
        <f>IF(Table3[[#This Row],[Qty]]&gt;5,"High","Low")</f>
        <v>High</v>
      </c>
      <c r="L31" s="6" t="str">
        <f>IF(Table3[[#This Row],[Status]]="Completed","Done","Not Done")</f>
        <v>Not Done</v>
      </c>
      <c r="M31" s="6" t="str">
        <f>IF(Table3[[#This Row],[Discount]]&gt;0,"Discounted","No Discount")</f>
        <v>Discounted</v>
      </c>
      <c r="N31" s="8" t="str">
        <f>IF(Table3[[#This Row],[UnitPrice]]&gt;=1000,"Expensive","Affordable")</f>
        <v>Affordable</v>
      </c>
      <c r="O31" s="8" t="str">
        <f>IF(Table3[[#This Row],[Region]]="Dhaka","Local","Outside")</f>
        <v>Outside</v>
      </c>
      <c r="P31" s="8"/>
      <c r="Q31" s="8"/>
      <c r="R31" s="8"/>
    </row>
    <row r="32" spans="1:18" x14ac:dyDescent="0.25">
      <c r="A32" s="11">
        <v>1032</v>
      </c>
      <c r="B32" s="12">
        <v>46121</v>
      </c>
      <c r="C32" s="13" t="s">
        <v>20</v>
      </c>
      <c r="D32" s="13" t="s">
        <v>30</v>
      </c>
      <c r="E32" s="13" t="s">
        <v>25</v>
      </c>
      <c r="F32" s="13" t="s">
        <v>18</v>
      </c>
      <c r="G32" s="11">
        <v>5</v>
      </c>
      <c r="H32" s="14">
        <v>758</v>
      </c>
      <c r="I32" s="11">
        <v>10</v>
      </c>
      <c r="J32" s="13" t="s">
        <v>19</v>
      </c>
      <c r="K32" s="20" t="str">
        <f>IF(Table3[[#This Row],[Qty]]&gt;5,"High","Low")</f>
        <v>Low</v>
      </c>
      <c r="L32" s="6" t="str">
        <f>IF(Table3[[#This Row],[Status]]="Completed","Done","Not Done")</f>
        <v>Not Done</v>
      </c>
      <c r="M32" s="6" t="str">
        <f>IF(Table3[[#This Row],[Discount]]&gt;0,"Discounted","No Discount")</f>
        <v>Discounted</v>
      </c>
      <c r="N32" s="8" t="str">
        <f>IF(Table3[[#This Row],[UnitPrice]]&gt;=1000,"Expensive","Affordable")</f>
        <v>Affordable</v>
      </c>
      <c r="O32" s="8" t="str">
        <f>IF(Table3[[#This Row],[Region]]="Dhaka","Local","Outside")</f>
        <v>Outside</v>
      </c>
      <c r="P32" s="21"/>
      <c r="Q32" s="21"/>
      <c r="R32" s="21"/>
    </row>
    <row r="33" spans="1:18" x14ac:dyDescent="0.25">
      <c r="A33" s="16">
        <v>1033</v>
      </c>
      <c r="B33" s="17">
        <v>46124</v>
      </c>
      <c r="C33" s="18" t="s">
        <v>15</v>
      </c>
      <c r="D33" s="18" t="s">
        <v>30</v>
      </c>
      <c r="E33" s="18" t="s">
        <v>26</v>
      </c>
      <c r="F33" s="18" t="s">
        <v>23</v>
      </c>
      <c r="G33" s="16">
        <v>1</v>
      </c>
      <c r="H33" s="19">
        <v>1961</v>
      </c>
      <c r="I33" s="16">
        <v>0</v>
      </c>
      <c r="J33" s="18" t="s">
        <v>14</v>
      </c>
      <c r="K33" s="20" t="str">
        <f>IF(Table3[[#This Row],[Qty]]&gt;5,"High","Low")</f>
        <v>Low</v>
      </c>
      <c r="L33" s="6" t="str">
        <f>IF(Table3[[#This Row],[Status]]="Completed","Done","Not Done")</f>
        <v>Not Done</v>
      </c>
      <c r="M33" s="6" t="str">
        <f>IF(Table3[[#This Row],[Discount]]&gt;0,"Discounted","No Discount")</f>
        <v>No Discount</v>
      </c>
      <c r="N33" s="8" t="str">
        <f>IF(Table3[[#This Row],[UnitPrice]]&gt;=1000,"Expensive","Affordable")</f>
        <v>Expensive</v>
      </c>
      <c r="O33" s="8" t="str">
        <f>IF(Table3[[#This Row],[Region]]="Dhaka","Local","Outside")</f>
        <v>Local</v>
      </c>
      <c r="P33" s="8"/>
      <c r="Q33" s="8"/>
      <c r="R33" s="8"/>
    </row>
    <row r="34" spans="1:18" x14ac:dyDescent="0.25">
      <c r="A34" s="11">
        <v>1034</v>
      </c>
      <c r="B34" s="12">
        <v>46041</v>
      </c>
      <c r="C34" s="13" t="s">
        <v>20</v>
      </c>
      <c r="D34" s="13" t="s">
        <v>24</v>
      </c>
      <c r="E34" s="13" t="s">
        <v>31</v>
      </c>
      <c r="F34" s="13" t="s">
        <v>13</v>
      </c>
      <c r="G34" s="11">
        <v>1</v>
      </c>
      <c r="H34" s="14">
        <v>1578</v>
      </c>
      <c r="I34" s="11">
        <v>15</v>
      </c>
      <c r="J34" s="13" t="s">
        <v>27</v>
      </c>
      <c r="K34" s="20" t="str">
        <f>IF(Table3[[#This Row],[Qty]]&gt;5,"High","Low")</f>
        <v>Low</v>
      </c>
      <c r="L34" s="6" t="str">
        <f>IF(Table3[[#This Row],[Status]]="Completed","Done","Not Done")</f>
        <v>Done</v>
      </c>
      <c r="M34" s="6" t="str">
        <f>IF(Table3[[#This Row],[Discount]]&gt;0,"Discounted","No Discount")</f>
        <v>Discounted</v>
      </c>
      <c r="N34" s="8" t="str">
        <f>IF(Table3[[#This Row],[UnitPrice]]&gt;=1000,"Expensive","Affordable")</f>
        <v>Expensive</v>
      </c>
      <c r="O34" s="8" t="str">
        <f>IF(Table3[[#This Row],[Region]]="Dhaka","Local","Outside")</f>
        <v>Outside</v>
      </c>
      <c r="P34" s="21"/>
      <c r="Q34" s="21"/>
      <c r="R34" s="21"/>
    </row>
    <row r="35" spans="1:18" x14ac:dyDescent="0.25">
      <c r="A35" s="16">
        <v>1035</v>
      </c>
      <c r="B35" s="17">
        <v>46173</v>
      </c>
      <c r="C35" s="18" t="s">
        <v>29</v>
      </c>
      <c r="D35" s="18" t="s">
        <v>21</v>
      </c>
      <c r="E35" s="18" t="s">
        <v>17</v>
      </c>
      <c r="F35" s="18" t="s">
        <v>18</v>
      </c>
      <c r="G35" s="16">
        <v>4</v>
      </c>
      <c r="H35" s="19">
        <v>1219</v>
      </c>
      <c r="I35" s="16">
        <v>10</v>
      </c>
      <c r="J35" s="18" t="s">
        <v>14</v>
      </c>
      <c r="K35" s="20" t="str">
        <f>IF(Table3[[#This Row],[Qty]]&gt;5,"High","Low")</f>
        <v>Low</v>
      </c>
      <c r="L35" s="6" t="str">
        <f>IF(Table3[[#This Row],[Status]]="Completed","Done","Not Done")</f>
        <v>Not Done</v>
      </c>
      <c r="M35" s="6" t="str">
        <f>IF(Table3[[#This Row],[Discount]]&gt;0,"Discounted","No Discount")</f>
        <v>Discounted</v>
      </c>
      <c r="N35" s="8" t="str">
        <f>IF(Table3[[#This Row],[UnitPrice]]&gt;=1000,"Expensive","Affordable")</f>
        <v>Expensive</v>
      </c>
      <c r="O35" s="8" t="str">
        <f>IF(Table3[[#This Row],[Region]]="Dhaka","Local","Outside")</f>
        <v>Outside</v>
      </c>
      <c r="P35" s="8"/>
      <c r="Q35" s="8"/>
      <c r="R35" s="8"/>
    </row>
    <row r="36" spans="1:18" x14ac:dyDescent="0.25">
      <c r="A36" s="11">
        <v>1036</v>
      </c>
      <c r="B36" s="12">
        <v>46168</v>
      </c>
      <c r="C36" s="13" t="s">
        <v>29</v>
      </c>
      <c r="D36" s="13" t="s">
        <v>30</v>
      </c>
      <c r="E36" s="13" t="s">
        <v>12</v>
      </c>
      <c r="F36" s="13" t="s">
        <v>13</v>
      </c>
      <c r="G36" s="11">
        <v>3</v>
      </c>
      <c r="H36" s="14">
        <v>1586</v>
      </c>
      <c r="I36" s="11">
        <v>5</v>
      </c>
      <c r="J36" s="13" t="s">
        <v>27</v>
      </c>
      <c r="K36" s="20" t="str">
        <f>IF(Table3[[#This Row],[Qty]]&gt;5,"High","Low")</f>
        <v>Low</v>
      </c>
      <c r="L36" s="6" t="str">
        <f>IF(Table3[[#This Row],[Status]]="Completed","Done","Not Done")</f>
        <v>Done</v>
      </c>
      <c r="M36" s="6" t="str">
        <f>IF(Table3[[#This Row],[Discount]]&gt;0,"Discounted","No Discount")</f>
        <v>Discounted</v>
      </c>
      <c r="N36" s="8" t="str">
        <f>IF(Table3[[#This Row],[UnitPrice]]&gt;=1000,"Expensive","Affordable")</f>
        <v>Expensive</v>
      </c>
      <c r="O36" s="8" t="str">
        <f>IF(Table3[[#This Row],[Region]]="Dhaka","Local","Outside")</f>
        <v>Outside</v>
      </c>
      <c r="P36" s="21"/>
      <c r="Q36" s="21"/>
      <c r="R36" s="21"/>
    </row>
    <row r="37" spans="1:18" x14ac:dyDescent="0.25">
      <c r="A37" s="16">
        <v>1037</v>
      </c>
      <c r="B37" s="17">
        <v>46163</v>
      </c>
      <c r="C37" s="18" t="s">
        <v>15</v>
      </c>
      <c r="D37" s="18" t="s">
        <v>11</v>
      </c>
      <c r="E37" s="18" t="s">
        <v>26</v>
      </c>
      <c r="F37" s="18" t="s">
        <v>23</v>
      </c>
      <c r="G37" s="16">
        <v>10</v>
      </c>
      <c r="H37" s="19">
        <v>1260</v>
      </c>
      <c r="I37" s="16">
        <v>15</v>
      </c>
      <c r="J37" s="18" t="s">
        <v>19</v>
      </c>
      <c r="K37" s="20" t="str">
        <f>IF(Table3[[#This Row],[Qty]]&gt;5,"High","Low")</f>
        <v>High</v>
      </c>
      <c r="L37" s="6" t="str">
        <f>IF(Table3[[#This Row],[Status]]="Completed","Done","Not Done")</f>
        <v>Not Done</v>
      </c>
      <c r="M37" s="6" t="str">
        <f>IF(Table3[[#This Row],[Discount]]&gt;0,"Discounted","No Discount")</f>
        <v>Discounted</v>
      </c>
      <c r="N37" s="8" t="str">
        <f>IF(Table3[[#This Row],[UnitPrice]]&gt;=1000,"Expensive","Affordable")</f>
        <v>Expensive</v>
      </c>
      <c r="O37" s="8" t="str">
        <f>IF(Table3[[#This Row],[Region]]="Dhaka","Local","Outside")</f>
        <v>Local</v>
      </c>
      <c r="P37" s="8"/>
      <c r="Q37" s="8"/>
      <c r="R37" s="8"/>
    </row>
    <row r="38" spans="1:18" x14ac:dyDescent="0.25">
      <c r="A38" s="11">
        <v>1038</v>
      </c>
      <c r="B38" s="12">
        <v>46113</v>
      </c>
      <c r="C38" s="13" t="s">
        <v>29</v>
      </c>
      <c r="D38" s="13" t="s">
        <v>16</v>
      </c>
      <c r="E38" s="13" t="s">
        <v>12</v>
      </c>
      <c r="F38" s="13" t="s">
        <v>13</v>
      </c>
      <c r="G38" s="11">
        <v>1</v>
      </c>
      <c r="H38" s="14">
        <v>1671</v>
      </c>
      <c r="I38" s="11">
        <v>10</v>
      </c>
      <c r="J38" s="13" t="s">
        <v>27</v>
      </c>
      <c r="K38" s="20" t="str">
        <f>IF(Table3[[#This Row],[Qty]]&gt;5,"High","Low")</f>
        <v>Low</v>
      </c>
      <c r="L38" s="6" t="str">
        <f>IF(Table3[[#This Row],[Status]]="Completed","Done","Not Done")</f>
        <v>Done</v>
      </c>
      <c r="M38" s="6" t="str">
        <f>IF(Table3[[#This Row],[Discount]]&gt;0,"Discounted","No Discount")</f>
        <v>Discounted</v>
      </c>
      <c r="N38" s="8" t="str">
        <f>IF(Table3[[#This Row],[UnitPrice]]&gt;=1000,"Expensive","Affordable")</f>
        <v>Expensive</v>
      </c>
      <c r="O38" s="8" t="str">
        <f>IF(Table3[[#This Row],[Region]]="Dhaka","Local","Outside")</f>
        <v>Outside</v>
      </c>
      <c r="P38" s="21"/>
      <c r="Q38" s="21"/>
      <c r="R38" s="21"/>
    </row>
    <row r="39" spans="1:18" x14ac:dyDescent="0.25">
      <c r="A39" s="16">
        <v>1039</v>
      </c>
      <c r="B39" s="17">
        <v>46064</v>
      </c>
      <c r="C39" s="18" t="s">
        <v>15</v>
      </c>
      <c r="D39" s="18" t="s">
        <v>30</v>
      </c>
      <c r="E39" s="18" t="s">
        <v>31</v>
      </c>
      <c r="F39" s="18" t="s">
        <v>13</v>
      </c>
      <c r="G39" s="16">
        <v>5</v>
      </c>
      <c r="H39" s="19">
        <v>1309</v>
      </c>
      <c r="I39" s="16">
        <v>10</v>
      </c>
      <c r="J39" s="18" t="s">
        <v>14</v>
      </c>
      <c r="K39" s="20" t="str">
        <f>IF(Table3[[#This Row],[Qty]]&gt;5,"High","Low")</f>
        <v>Low</v>
      </c>
      <c r="L39" s="6" t="str">
        <f>IF(Table3[[#This Row],[Status]]="Completed","Done","Not Done")</f>
        <v>Not Done</v>
      </c>
      <c r="M39" s="6" t="str">
        <f>IF(Table3[[#This Row],[Discount]]&gt;0,"Discounted","No Discount")</f>
        <v>Discounted</v>
      </c>
      <c r="N39" s="8" t="str">
        <f>IF(Table3[[#This Row],[UnitPrice]]&gt;=1000,"Expensive","Affordable")</f>
        <v>Expensive</v>
      </c>
      <c r="O39" s="8" t="str">
        <f>IF(Table3[[#This Row],[Region]]="Dhaka","Local","Outside")</f>
        <v>Local</v>
      </c>
      <c r="P39" s="8"/>
      <c r="Q39" s="8"/>
      <c r="R39" s="8"/>
    </row>
    <row r="40" spans="1:18" x14ac:dyDescent="0.25">
      <c r="A40" s="11">
        <v>1040</v>
      </c>
      <c r="B40" s="12">
        <v>46143</v>
      </c>
      <c r="C40" s="13" t="s">
        <v>15</v>
      </c>
      <c r="D40" s="13" t="s">
        <v>24</v>
      </c>
      <c r="E40" s="13" t="s">
        <v>12</v>
      </c>
      <c r="F40" s="13" t="s">
        <v>13</v>
      </c>
      <c r="G40" s="11">
        <v>9</v>
      </c>
      <c r="H40" s="14">
        <v>585</v>
      </c>
      <c r="I40" s="11">
        <v>15</v>
      </c>
      <c r="J40" s="13" t="s">
        <v>19</v>
      </c>
      <c r="K40" s="20" t="str">
        <f>IF(Table3[[#This Row],[Qty]]&gt;5,"High","Low")</f>
        <v>High</v>
      </c>
      <c r="L40" s="6" t="str">
        <f>IF(Table3[[#This Row],[Status]]="Completed","Done","Not Done")</f>
        <v>Not Done</v>
      </c>
      <c r="M40" s="6" t="str">
        <f>IF(Table3[[#This Row],[Discount]]&gt;0,"Discounted","No Discount")</f>
        <v>Discounted</v>
      </c>
      <c r="N40" s="8" t="str">
        <f>IF(Table3[[#This Row],[UnitPrice]]&gt;=1000,"Expensive","Affordable")</f>
        <v>Affordable</v>
      </c>
      <c r="O40" s="8" t="str">
        <f>IF(Table3[[#This Row],[Region]]="Dhaka","Local","Outside")</f>
        <v>Local</v>
      </c>
      <c r="P40" s="21"/>
      <c r="Q40" s="21"/>
      <c r="R40" s="21"/>
    </row>
    <row r="41" spans="1:18" x14ac:dyDescent="0.25">
      <c r="A41" s="16">
        <v>1041</v>
      </c>
      <c r="B41" s="17">
        <v>46128</v>
      </c>
      <c r="C41" s="18" t="s">
        <v>15</v>
      </c>
      <c r="D41" s="18" t="s">
        <v>21</v>
      </c>
      <c r="E41" s="18" t="s">
        <v>17</v>
      </c>
      <c r="F41" s="18" t="s">
        <v>18</v>
      </c>
      <c r="G41" s="16">
        <v>10</v>
      </c>
      <c r="H41" s="19">
        <v>1600</v>
      </c>
      <c r="I41" s="16">
        <v>15</v>
      </c>
      <c r="J41" s="18" t="s">
        <v>14</v>
      </c>
      <c r="K41" s="20" t="str">
        <f>IF(Table3[[#This Row],[Qty]]&gt;5,"High","Low")</f>
        <v>High</v>
      </c>
      <c r="L41" s="6" t="str">
        <f>IF(Table3[[#This Row],[Status]]="Completed","Done","Not Done")</f>
        <v>Not Done</v>
      </c>
      <c r="M41" s="6" t="str">
        <f>IF(Table3[[#This Row],[Discount]]&gt;0,"Discounted","No Discount")</f>
        <v>Discounted</v>
      </c>
      <c r="N41" s="8" t="str">
        <f>IF(Table3[[#This Row],[UnitPrice]]&gt;=1000,"Expensive","Affordable")</f>
        <v>Expensive</v>
      </c>
      <c r="O41" s="8" t="str">
        <f>IF(Table3[[#This Row],[Region]]="Dhaka","Local","Outside")</f>
        <v>Local</v>
      </c>
      <c r="P41" s="8"/>
      <c r="Q41" s="8"/>
      <c r="R41" s="8"/>
    </row>
    <row r="42" spans="1:18" x14ac:dyDescent="0.25">
      <c r="A42" s="11">
        <v>1042</v>
      </c>
      <c r="B42" s="12">
        <v>46029</v>
      </c>
      <c r="C42" s="13" t="s">
        <v>29</v>
      </c>
      <c r="D42" s="13" t="s">
        <v>21</v>
      </c>
      <c r="E42" s="13" t="s">
        <v>22</v>
      </c>
      <c r="F42" s="13" t="s">
        <v>23</v>
      </c>
      <c r="G42" s="11">
        <v>7</v>
      </c>
      <c r="H42" s="14">
        <v>793</v>
      </c>
      <c r="I42" s="11">
        <v>0</v>
      </c>
      <c r="J42" s="13" t="s">
        <v>19</v>
      </c>
      <c r="K42" s="20" t="str">
        <f>IF(Table3[[#This Row],[Qty]]&gt;5,"High","Low")</f>
        <v>High</v>
      </c>
      <c r="L42" s="6" t="str">
        <f>IF(Table3[[#This Row],[Status]]="Completed","Done","Not Done")</f>
        <v>Not Done</v>
      </c>
      <c r="M42" s="6" t="str">
        <f>IF(Table3[[#This Row],[Discount]]&gt;0,"Discounted","No Discount")</f>
        <v>No Discount</v>
      </c>
      <c r="N42" s="8" t="str">
        <f>IF(Table3[[#This Row],[UnitPrice]]&gt;=1000,"Expensive","Affordable")</f>
        <v>Affordable</v>
      </c>
      <c r="O42" s="8" t="str">
        <f>IF(Table3[[#This Row],[Region]]="Dhaka","Local","Outside")</f>
        <v>Outside</v>
      </c>
      <c r="P42" s="21"/>
      <c r="Q42" s="21"/>
      <c r="R42" s="21"/>
    </row>
    <row r="43" spans="1:18" x14ac:dyDescent="0.25">
      <c r="A43" s="16">
        <v>1043</v>
      </c>
      <c r="B43" s="17">
        <v>46190</v>
      </c>
      <c r="C43" s="18" t="s">
        <v>15</v>
      </c>
      <c r="D43" s="18" t="s">
        <v>28</v>
      </c>
      <c r="E43" s="18" t="s">
        <v>26</v>
      </c>
      <c r="F43" s="18" t="s">
        <v>23</v>
      </c>
      <c r="G43" s="16">
        <v>8</v>
      </c>
      <c r="H43" s="19">
        <v>103</v>
      </c>
      <c r="I43" s="16">
        <v>5</v>
      </c>
      <c r="J43" s="18" t="s">
        <v>27</v>
      </c>
      <c r="K43" s="20" t="str">
        <f>IF(Table3[[#This Row],[Qty]]&gt;5,"High","Low")</f>
        <v>High</v>
      </c>
      <c r="L43" s="6" t="str">
        <f>IF(Table3[[#This Row],[Status]]="Completed","Done","Not Done")</f>
        <v>Done</v>
      </c>
      <c r="M43" s="6" t="str">
        <f>IF(Table3[[#This Row],[Discount]]&gt;0,"Discounted","No Discount")</f>
        <v>Discounted</v>
      </c>
      <c r="N43" s="8" t="str">
        <f>IF(Table3[[#This Row],[UnitPrice]]&gt;=1000,"Expensive","Affordable")</f>
        <v>Affordable</v>
      </c>
      <c r="O43" s="8" t="str">
        <f>IF(Table3[[#This Row],[Region]]="Dhaka","Local","Outside")</f>
        <v>Local</v>
      </c>
      <c r="P43" s="8"/>
      <c r="Q43" s="8"/>
      <c r="R43" s="8"/>
    </row>
    <row r="44" spans="1:18" x14ac:dyDescent="0.25">
      <c r="A44" s="11">
        <v>1044</v>
      </c>
      <c r="B44" s="12">
        <v>46082</v>
      </c>
      <c r="C44" s="13" t="s">
        <v>10</v>
      </c>
      <c r="D44" s="13" t="s">
        <v>11</v>
      </c>
      <c r="E44" s="13" t="s">
        <v>12</v>
      </c>
      <c r="F44" s="13" t="s">
        <v>13</v>
      </c>
      <c r="G44" s="11">
        <v>9</v>
      </c>
      <c r="H44" s="14">
        <v>230</v>
      </c>
      <c r="I44" s="11">
        <v>0</v>
      </c>
      <c r="J44" s="13" t="s">
        <v>14</v>
      </c>
      <c r="K44" s="20" t="str">
        <f>IF(Table3[[#This Row],[Qty]]&gt;5,"High","Low")</f>
        <v>High</v>
      </c>
      <c r="L44" s="6" t="str">
        <f>IF(Table3[[#This Row],[Status]]="Completed","Done","Not Done")</f>
        <v>Not Done</v>
      </c>
      <c r="M44" s="6" t="str">
        <f>IF(Table3[[#This Row],[Discount]]&gt;0,"Discounted","No Discount")</f>
        <v>No Discount</v>
      </c>
      <c r="N44" s="8" t="str">
        <f>IF(Table3[[#This Row],[UnitPrice]]&gt;=1000,"Expensive","Affordable")</f>
        <v>Affordable</v>
      </c>
      <c r="O44" s="8" t="str">
        <f>IF(Table3[[#This Row],[Region]]="Dhaka","Local","Outside")</f>
        <v>Outside</v>
      </c>
      <c r="P44" s="21"/>
      <c r="Q44" s="21"/>
      <c r="R44" s="21"/>
    </row>
    <row r="45" spans="1:18" x14ac:dyDescent="0.25">
      <c r="A45" s="16">
        <v>1045</v>
      </c>
      <c r="B45" s="17">
        <v>46129</v>
      </c>
      <c r="C45" s="18" t="s">
        <v>10</v>
      </c>
      <c r="D45" s="18" t="s">
        <v>30</v>
      </c>
      <c r="E45" s="18" t="s">
        <v>26</v>
      </c>
      <c r="F45" s="18" t="s">
        <v>23</v>
      </c>
      <c r="G45" s="16">
        <v>8</v>
      </c>
      <c r="H45" s="19">
        <v>1544</v>
      </c>
      <c r="I45" s="16">
        <v>10</v>
      </c>
      <c r="J45" s="18" t="s">
        <v>27</v>
      </c>
      <c r="K45" s="20" t="str">
        <f>IF(Table3[[#This Row],[Qty]]&gt;5,"High","Low")</f>
        <v>High</v>
      </c>
      <c r="L45" s="6" t="str">
        <f>IF(Table3[[#This Row],[Status]]="Completed","Done","Not Done")</f>
        <v>Done</v>
      </c>
      <c r="M45" s="6" t="str">
        <f>IF(Table3[[#This Row],[Discount]]&gt;0,"Discounted","No Discount")</f>
        <v>Discounted</v>
      </c>
      <c r="N45" s="8" t="str">
        <f>IF(Table3[[#This Row],[UnitPrice]]&gt;=1000,"Expensive","Affordable")</f>
        <v>Expensive</v>
      </c>
      <c r="O45" s="8" t="str">
        <f>IF(Table3[[#This Row],[Region]]="Dhaka","Local","Outside")</f>
        <v>Outside</v>
      </c>
      <c r="P45" s="8"/>
      <c r="Q45" s="8"/>
      <c r="R45" s="8"/>
    </row>
    <row r="46" spans="1:18" x14ac:dyDescent="0.25">
      <c r="A46" s="11">
        <v>1046</v>
      </c>
      <c r="B46" s="12">
        <v>46194</v>
      </c>
      <c r="C46" s="13" t="s">
        <v>20</v>
      </c>
      <c r="D46" s="13" t="s">
        <v>11</v>
      </c>
      <c r="E46" s="13" t="s">
        <v>25</v>
      </c>
      <c r="F46" s="13" t="s">
        <v>18</v>
      </c>
      <c r="G46" s="11">
        <v>7</v>
      </c>
      <c r="H46" s="14">
        <v>808</v>
      </c>
      <c r="I46" s="11">
        <v>5</v>
      </c>
      <c r="J46" s="13" t="s">
        <v>27</v>
      </c>
      <c r="K46" s="20" t="str">
        <f>IF(Table3[[#This Row],[Qty]]&gt;5,"High","Low")</f>
        <v>High</v>
      </c>
      <c r="L46" s="6" t="str">
        <f>IF(Table3[[#This Row],[Status]]="Completed","Done","Not Done")</f>
        <v>Done</v>
      </c>
      <c r="M46" s="6" t="str">
        <f>IF(Table3[[#This Row],[Discount]]&gt;0,"Discounted","No Discount")</f>
        <v>Discounted</v>
      </c>
      <c r="N46" s="8" t="str">
        <f>IF(Table3[[#This Row],[UnitPrice]]&gt;=1000,"Expensive","Affordable")</f>
        <v>Affordable</v>
      </c>
      <c r="O46" s="8" t="str">
        <f>IF(Table3[[#This Row],[Region]]="Dhaka","Local","Outside")</f>
        <v>Outside</v>
      </c>
      <c r="P46" s="21"/>
      <c r="Q46" s="21"/>
      <c r="R46" s="21"/>
    </row>
    <row r="47" spans="1:18" x14ac:dyDescent="0.25">
      <c r="A47" s="16">
        <v>1047</v>
      </c>
      <c r="B47" s="17">
        <v>46125</v>
      </c>
      <c r="C47" s="18" t="s">
        <v>20</v>
      </c>
      <c r="D47" s="18" t="s">
        <v>30</v>
      </c>
      <c r="E47" s="18" t="s">
        <v>26</v>
      </c>
      <c r="F47" s="18" t="s">
        <v>23</v>
      </c>
      <c r="G47" s="16">
        <v>7</v>
      </c>
      <c r="H47" s="19">
        <v>1860</v>
      </c>
      <c r="I47" s="16">
        <v>10</v>
      </c>
      <c r="J47" s="18" t="s">
        <v>27</v>
      </c>
      <c r="K47" s="20" t="str">
        <f>IF(Table3[[#This Row],[Qty]]&gt;5,"High","Low")</f>
        <v>High</v>
      </c>
      <c r="L47" s="6" t="str">
        <f>IF(Table3[[#This Row],[Status]]="Completed","Done","Not Done")</f>
        <v>Done</v>
      </c>
      <c r="M47" s="6" t="str">
        <f>IF(Table3[[#This Row],[Discount]]&gt;0,"Discounted","No Discount")</f>
        <v>Discounted</v>
      </c>
      <c r="N47" s="8" t="str">
        <f>IF(Table3[[#This Row],[UnitPrice]]&gt;=1000,"Expensive","Affordable")</f>
        <v>Expensive</v>
      </c>
      <c r="O47" s="8" t="str">
        <f>IF(Table3[[#This Row],[Region]]="Dhaka","Local","Outside")</f>
        <v>Outside</v>
      </c>
      <c r="P47" s="8"/>
      <c r="Q47" s="8"/>
      <c r="R47" s="8"/>
    </row>
    <row r="48" spans="1:18" x14ac:dyDescent="0.25">
      <c r="A48" s="11">
        <v>1048</v>
      </c>
      <c r="B48" s="12">
        <v>46152</v>
      </c>
      <c r="C48" s="13" t="s">
        <v>20</v>
      </c>
      <c r="D48" s="13" t="s">
        <v>28</v>
      </c>
      <c r="E48" s="13" t="s">
        <v>17</v>
      </c>
      <c r="F48" s="13" t="s">
        <v>18</v>
      </c>
      <c r="G48" s="11">
        <v>4</v>
      </c>
      <c r="H48" s="14">
        <v>1521</v>
      </c>
      <c r="I48" s="11">
        <v>5</v>
      </c>
      <c r="J48" s="13" t="s">
        <v>19</v>
      </c>
      <c r="K48" s="20" t="str">
        <f>IF(Table3[[#This Row],[Qty]]&gt;5,"High","Low")</f>
        <v>Low</v>
      </c>
      <c r="L48" s="6" t="str">
        <f>IF(Table3[[#This Row],[Status]]="Completed","Done","Not Done")</f>
        <v>Not Done</v>
      </c>
      <c r="M48" s="6" t="str">
        <f>IF(Table3[[#This Row],[Discount]]&gt;0,"Discounted","No Discount")</f>
        <v>Discounted</v>
      </c>
      <c r="N48" s="8" t="str">
        <f>IF(Table3[[#This Row],[UnitPrice]]&gt;=1000,"Expensive","Affordable")</f>
        <v>Expensive</v>
      </c>
      <c r="O48" s="8" t="str">
        <f>IF(Table3[[#This Row],[Region]]="Dhaka","Local","Outside")</f>
        <v>Outside</v>
      </c>
      <c r="P48" s="21"/>
      <c r="Q48" s="21"/>
      <c r="R48" s="21"/>
    </row>
    <row r="49" spans="1:18" x14ac:dyDescent="0.25">
      <c r="A49" s="16">
        <v>1049</v>
      </c>
      <c r="B49" s="17">
        <v>46168</v>
      </c>
      <c r="C49" s="18" t="s">
        <v>20</v>
      </c>
      <c r="D49" s="18" t="s">
        <v>21</v>
      </c>
      <c r="E49" s="18" t="s">
        <v>17</v>
      </c>
      <c r="F49" s="18" t="s">
        <v>18</v>
      </c>
      <c r="G49" s="16">
        <v>3</v>
      </c>
      <c r="H49" s="19">
        <v>1023</v>
      </c>
      <c r="I49" s="16">
        <v>15</v>
      </c>
      <c r="J49" s="18" t="s">
        <v>14</v>
      </c>
      <c r="K49" s="20" t="str">
        <f>IF(Table3[[#This Row],[Qty]]&gt;5,"High","Low")</f>
        <v>Low</v>
      </c>
      <c r="L49" s="6" t="str">
        <f>IF(Table3[[#This Row],[Status]]="Completed","Done","Not Done")</f>
        <v>Not Done</v>
      </c>
      <c r="M49" s="6" t="str">
        <f>IF(Table3[[#This Row],[Discount]]&gt;0,"Discounted","No Discount")</f>
        <v>Discounted</v>
      </c>
      <c r="N49" s="8" t="str">
        <f>IF(Table3[[#This Row],[UnitPrice]]&gt;=1000,"Expensive","Affordable")</f>
        <v>Expensive</v>
      </c>
      <c r="O49" s="8" t="str">
        <f>IF(Table3[[#This Row],[Region]]="Dhaka","Local","Outside")</f>
        <v>Outside</v>
      </c>
      <c r="P49" s="8"/>
      <c r="Q49" s="8"/>
      <c r="R49" s="8"/>
    </row>
    <row r="50" spans="1:18" x14ac:dyDescent="0.25">
      <c r="A50" s="11">
        <v>1050</v>
      </c>
      <c r="B50" s="12">
        <v>46099</v>
      </c>
      <c r="C50" s="13" t="s">
        <v>10</v>
      </c>
      <c r="D50" s="13" t="s">
        <v>24</v>
      </c>
      <c r="E50" s="13" t="s">
        <v>31</v>
      </c>
      <c r="F50" s="13" t="s">
        <v>13</v>
      </c>
      <c r="G50" s="11">
        <v>2</v>
      </c>
      <c r="H50" s="14">
        <v>244</v>
      </c>
      <c r="I50" s="11">
        <v>10</v>
      </c>
      <c r="J50" s="13" t="s">
        <v>27</v>
      </c>
      <c r="K50" s="20" t="str">
        <f>IF(Table3[[#This Row],[Qty]]&gt;5,"High","Low")</f>
        <v>Low</v>
      </c>
      <c r="L50" s="6" t="str">
        <f>IF(Table3[[#This Row],[Status]]="Completed","Done","Not Done")</f>
        <v>Done</v>
      </c>
      <c r="M50" s="6" t="str">
        <f>IF(Table3[[#This Row],[Discount]]&gt;0,"Discounted","No Discount")</f>
        <v>Discounted</v>
      </c>
      <c r="N50" s="8" t="str">
        <f>IF(Table3[[#This Row],[UnitPrice]]&gt;=1000,"Expensive","Affordable")</f>
        <v>Affordable</v>
      </c>
      <c r="O50" s="8" t="str">
        <f>IF(Table3[[#This Row],[Region]]="Dhaka","Local","Outside")</f>
        <v>Outside</v>
      </c>
      <c r="P50" s="21"/>
      <c r="Q50" s="21"/>
      <c r="R50" s="21"/>
    </row>
    <row r="51" spans="1:18" x14ac:dyDescent="0.25">
      <c r="A51" s="16">
        <v>1051</v>
      </c>
      <c r="B51" s="17">
        <v>46106</v>
      </c>
      <c r="C51" s="18" t="s">
        <v>29</v>
      </c>
      <c r="D51" s="18" t="s">
        <v>24</v>
      </c>
      <c r="E51" s="18" t="s">
        <v>12</v>
      </c>
      <c r="F51" s="18" t="s">
        <v>13</v>
      </c>
      <c r="G51" s="16">
        <v>9</v>
      </c>
      <c r="H51" s="19">
        <v>1413</v>
      </c>
      <c r="I51" s="16">
        <v>5</v>
      </c>
      <c r="J51" s="18" t="s">
        <v>27</v>
      </c>
      <c r="K51" s="20" t="str">
        <f>IF(Table3[[#This Row],[Qty]]&gt;5,"High","Low")</f>
        <v>High</v>
      </c>
      <c r="L51" s="6" t="str">
        <f>IF(Table3[[#This Row],[Status]]="Completed","Done","Not Done")</f>
        <v>Done</v>
      </c>
      <c r="M51" s="6" t="str">
        <f>IF(Table3[[#This Row],[Discount]]&gt;0,"Discounted","No Discount")</f>
        <v>Discounted</v>
      </c>
      <c r="N51" s="8" t="str">
        <f>IF(Table3[[#This Row],[UnitPrice]]&gt;=1000,"Expensive","Affordable")</f>
        <v>Expensive</v>
      </c>
      <c r="O51" s="8" t="str">
        <f>IF(Table3[[#This Row],[Region]]="Dhaka","Local","Outside")</f>
        <v>Outside</v>
      </c>
      <c r="P51" s="8"/>
      <c r="Q51" s="8"/>
      <c r="R51" s="8"/>
    </row>
    <row r="52" spans="1:18" x14ac:dyDescent="0.25">
      <c r="A52" s="11">
        <v>1052</v>
      </c>
      <c r="B52" s="12">
        <v>46126</v>
      </c>
      <c r="C52" s="13" t="s">
        <v>20</v>
      </c>
      <c r="D52" s="13" t="s">
        <v>30</v>
      </c>
      <c r="E52" s="13" t="s">
        <v>31</v>
      </c>
      <c r="F52" s="13" t="s">
        <v>13</v>
      </c>
      <c r="G52" s="11">
        <v>2</v>
      </c>
      <c r="H52" s="14">
        <v>1431</v>
      </c>
      <c r="I52" s="11">
        <v>0</v>
      </c>
      <c r="J52" s="13" t="s">
        <v>14</v>
      </c>
      <c r="K52" s="20" t="str">
        <f>IF(Table3[[#This Row],[Qty]]&gt;5,"High","Low")</f>
        <v>Low</v>
      </c>
      <c r="L52" s="6" t="str">
        <f>IF(Table3[[#This Row],[Status]]="Completed","Done","Not Done")</f>
        <v>Not Done</v>
      </c>
      <c r="M52" s="6" t="str">
        <f>IF(Table3[[#This Row],[Discount]]&gt;0,"Discounted","No Discount")</f>
        <v>No Discount</v>
      </c>
      <c r="N52" s="8" t="str">
        <f>IF(Table3[[#This Row],[UnitPrice]]&gt;=1000,"Expensive","Affordable")</f>
        <v>Expensive</v>
      </c>
      <c r="O52" s="8" t="str">
        <f>IF(Table3[[#This Row],[Region]]="Dhaka","Local","Outside")</f>
        <v>Outside</v>
      </c>
      <c r="P52" s="21"/>
      <c r="Q52" s="21"/>
      <c r="R52" s="21"/>
    </row>
    <row r="53" spans="1:18" x14ac:dyDescent="0.25">
      <c r="A53" s="16">
        <v>1053</v>
      </c>
      <c r="B53" s="17">
        <v>46126</v>
      </c>
      <c r="C53" s="18" t="s">
        <v>20</v>
      </c>
      <c r="D53" s="18" t="s">
        <v>30</v>
      </c>
      <c r="E53" s="18" t="s">
        <v>31</v>
      </c>
      <c r="F53" s="18" t="s">
        <v>13</v>
      </c>
      <c r="G53" s="16">
        <v>2</v>
      </c>
      <c r="H53" s="19">
        <v>1573</v>
      </c>
      <c r="I53" s="16">
        <v>15</v>
      </c>
      <c r="J53" s="18" t="s">
        <v>27</v>
      </c>
      <c r="K53" s="20" t="str">
        <f>IF(Table3[[#This Row],[Qty]]&gt;5,"High","Low")</f>
        <v>Low</v>
      </c>
      <c r="L53" s="6" t="str">
        <f>IF(Table3[[#This Row],[Status]]="Completed","Done","Not Done")</f>
        <v>Done</v>
      </c>
      <c r="M53" s="6" t="str">
        <f>IF(Table3[[#This Row],[Discount]]&gt;0,"Discounted","No Discount")</f>
        <v>Discounted</v>
      </c>
      <c r="N53" s="8" t="str">
        <f>IF(Table3[[#This Row],[UnitPrice]]&gt;=1000,"Expensive","Affordable")</f>
        <v>Expensive</v>
      </c>
      <c r="O53" s="8" t="str">
        <f>IF(Table3[[#This Row],[Region]]="Dhaka","Local","Outside")</f>
        <v>Outside</v>
      </c>
      <c r="P53" s="8"/>
      <c r="Q53" s="8"/>
      <c r="R53" s="8"/>
    </row>
    <row r="54" spans="1:18" x14ac:dyDescent="0.25">
      <c r="A54" s="11">
        <v>1054</v>
      </c>
      <c r="B54" s="12">
        <v>46105</v>
      </c>
      <c r="C54" s="13" t="s">
        <v>20</v>
      </c>
      <c r="D54" s="13" t="s">
        <v>24</v>
      </c>
      <c r="E54" s="13" t="s">
        <v>12</v>
      </c>
      <c r="F54" s="13" t="s">
        <v>13</v>
      </c>
      <c r="G54" s="11">
        <v>7</v>
      </c>
      <c r="H54" s="14">
        <v>282</v>
      </c>
      <c r="I54" s="11">
        <v>0</v>
      </c>
      <c r="J54" s="13" t="s">
        <v>19</v>
      </c>
      <c r="K54" s="20" t="str">
        <f>IF(Table3[[#This Row],[Qty]]&gt;5,"High","Low")</f>
        <v>High</v>
      </c>
      <c r="L54" s="6" t="str">
        <f>IF(Table3[[#This Row],[Status]]="Completed","Done","Not Done")</f>
        <v>Not Done</v>
      </c>
      <c r="M54" s="6" t="str">
        <f>IF(Table3[[#This Row],[Discount]]&gt;0,"Discounted","No Discount")</f>
        <v>No Discount</v>
      </c>
      <c r="N54" s="8" t="str">
        <f>IF(Table3[[#This Row],[UnitPrice]]&gt;=1000,"Expensive","Affordable")</f>
        <v>Affordable</v>
      </c>
      <c r="O54" s="8" t="str">
        <f>IF(Table3[[#This Row],[Region]]="Dhaka","Local","Outside")</f>
        <v>Outside</v>
      </c>
      <c r="P54" s="21"/>
      <c r="Q54" s="21"/>
      <c r="R54" s="21"/>
    </row>
    <row r="55" spans="1:18" x14ac:dyDescent="0.25">
      <c r="A55" s="16">
        <v>1055</v>
      </c>
      <c r="B55" s="17">
        <v>46174</v>
      </c>
      <c r="C55" s="18" t="s">
        <v>29</v>
      </c>
      <c r="D55" s="18" t="s">
        <v>24</v>
      </c>
      <c r="E55" s="18" t="s">
        <v>31</v>
      </c>
      <c r="F55" s="18" t="s">
        <v>13</v>
      </c>
      <c r="G55" s="16">
        <v>2</v>
      </c>
      <c r="H55" s="19">
        <v>597</v>
      </c>
      <c r="I55" s="16">
        <v>15</v>
      </c>
      <c r="J55" s="18" t="s">
        <v>27</v>
      </c>
      <c r="K55" s="20" t="str">
        <f>IF(Table3[[#This Row],[Qty]]&gt;5,"High","Low")</f>
        <v>Low</v>
      </c>
      <c r="L55" s="6" t="str">
        <f>IF(Table3[[#This Row],[Status]]="Completed","Done","Not Done")</f>
        <v>Done</v>
      </c>
      <c r="M55" s="6" t="str">
        <f>IF(Table3[[#This Row],[Discount]]&gt;0,"Discounted","No Discount")</f>
        <v>Discounted</v>
      </c>
      <c r="N55" s="8" t="str">
        <f>IF(Table3[[#This Row],[UnitPrice]]&gt;=1000,"Expensive","Affordable")</f>
        <v>Affordable</v>
      </c>
      <c r="O55" s="8" t="str">
        <f>IF(Table3[[#This Row],[Region]]="Dhaka","Local","Outside")</f>
        <v>Outside</v>
      </c>
      <c r="P55" s="8"/>
      <c r="Q55" s="8"/>
      <c r="R55" s="8"/>
    </row>
    <row r="56" spans="1:18" x14ac:dyDescent="0.25">
      <c r="A56" s="11">
        <v>1056</v>
      </c>
      <c r="B56" s="12">
        <v>46089</v>
      </c>
      <c r="C56" s="13" t="s">
        <v>20</v>
      </c>
      <c r="D56" s="13" t="s">
        <v>16</v>
      </c>
      <c r="E56" s="13" t="s">
        <v>22</v>
      </c>
      <c r="F56" s="13" t="s">
        <v>23</v>
      </c>
      <c r="G56" s="11">
        <v>10</v>
      </c>
      <c r="H56" s="14">
        <v>450</v>
      </c>
      <c r="I56" s="11">
        <v>15</v>
      </c>
      <c r="J56" s="13" t="s">
        <v>27</v>
      </c>
      <c r="K56" s="20" t="str">
        <f>IF(Table3[[#This Row],[Qty]]&gt;5,"High","Low")</f>
        <v>High</v>
      </c>
      <c r="L56" s="6" t="str">
        <f>IF(Table3[[#This Row],[Status]]="Completed","Done","Not Done")</f>
        <v>Done</v>
      </c>
      <c r="M56" s="6" t="str">
        <f>IF(Table3[[#This Row],[Discount]]&gt;0,"Discounted","No Discount")</f>
        <v>Discounted</v>
      </c>
      <c r="N56" s="8" t="str">
        <f>IF(Table3[[#This Row],[UnitPrice]]&gt;=1000,"Expensive","Affordable")</f>
        <v>Affordable</v>
      </c>
      <c r="O56" s="8" t="str">
        <f>IF(Table3[[#This Row],[Region]]="Dhaka","Local","Outside")</f>
        <v>Outside</v>
      </c>
      <c r="P56" s="21"/>
      <c r="Q56" s="21"/>
      <c r="R56" s="21"/>
    </row>
    <row r="57" spans="1:18" x14ac:dyDescent="0.25">
      <c r="A57" s="16">
        <v>1057</v>
      </c>
      <c r="B57" s="17">
        <v>46179</v>
      </c>
      <c r="C57" s="18" t="s">
        <v>10</v>
      </c>
      <c r="D57" s="18" t="s">
        <v>28</v>
      </c>
      <c r="E57" s="18" t="s">
        <v>17</v>
      </c>
      <c r="F57" s="18" t="s">
        <v>18</v>
      </c>
      <c r="G57" s="16">
        <v>2</v>
      </c>
      <c r="H57" s="19">
        <v>619</v>
      </c>
      <c r="I57" s="16">
        <v>0</v>
      </c>
      <c r="J57" s="18" t="s">
        <v>27</v>
      </c>
      <c r="K57" s="20" t="str">
        <f>IF(Table3[[#This Row],[Qty]]&gt;5,"High","Low")</f>
        <v>Low</v>
      </c>
      <c r="L57" s="6" t="str">
        <f>IF(Table3[[#This Row],[Status]]="Completed","Done","Not Done")</f>
        <v>Done</v>
      </c>
      <c r="M57" s="6" t="str">
        <f>IF(Table3[[#This Row],[Discount]]&gt;0,"Discounted","No Discount")</f>
        <v>No Discount</v>
      </c>
      <c r="N57" s="8" t="str">
        <f>IF(Table3[[#This Row],[UnitPrice]]&gt;=1000,"Expensive","Affordable")</f>
        <v>Affordable</v>
      </c>
      <c r="O57" s="8" t="str">
        <f>IF(Table3[[#This Row],[Region]]="Dhaka","Local","Outside")</f>
        <v>Outside</v>
      </c>
      <c r="P57" s="8"/>
      <c r="Q57" s="8"/>
      <c r="R57" s="8"/>
    </row>
    <row r="58" spans="1:18" x14ac:dyDescent="0.25">
      <c r="A58" s="11">
        <v>1058</v>
      </c>
      <c r="B58" s="12">
        <v>46134</v>
      </c>
      <c r="C58" s="13" t="s">
        <v>20</v>
      </c>
      <c r="D58" s="13" t="s">
        <v>16</v>
      </c>
      <c r="E58" s="13" t="s">
        <v>25</v>
      </c>
      <c r="F58" s="13" t="s">
        <v>18</v>
      </c>
      <c r="G58" s="11">
        <v>8</v>
      </c>
      <c r="H58" s="14">
        <v>426</v>
      </c>
      <c r="I58" s="11">
        <v>15</v>
      </c>
      <c r="J58" s="13" t="s">
        <v>27</v>
      </c>
      <c r="K58" s="20" t="str">
        <f>IF(Table3[[#This Row],[Qty]]&gt;5,"High","Low")</f>
        <v>High</v>
      </c>
      <c r="L58" s="6" t="str">
        <f>IF(Table3[[#This Row],[Status]]="Completed","Done","Not Done")</f>
        <v>Done</v>
      </c>
      <c r="M58" s="6" t="str">
        <f>IF(Table3[[#This Row],[Discount]]&gt;0,"Discounted","No Discount")</f>
        <v>Discounted</v>
      </c>
      <c r="N58" s="8" t="str">
        <f>IF(Table3[[#This Row],[UnitPrice]]&gt;=1000,"Expensive","Affordable")</f>
        <v>Affordable</v>
      </c>
      <c r="O58" s="8" t="str">
        <f>IF(Table3[[#This Row],[Region]]="Dhaka","Local","Outside")</f>
        <v>Outside</v>
      </c>
      <c r="P58" s="21"/>
      <c r="Q58" s="21"/>
      <c r="R58" s="21"/>
    </row>
    <row r="59" spans="1:18" x14ac:dyDescent="0.25">
      <c r="A59" s="16">
        <v>1059</v>
      </c>
      <c r="B59" s="17">
        <v>46108</v>
      </c>
      <c r="C59" s="18" t="s">
        <v>15</v>
      </c>
      <c r="D59" s="18" t="s">
        <v>11</v>
      </c>
      <c r="E59" s="18" t="s">
        <v>26</v>
      </c>
      <c r="F59" s="18" t="s">
        <v>23</v>
      </c>
      <c r="G59" s="16">
        <v>7</v>
      </c>
      <c r="H59" s="19">
        <v>1119</v>
      </c>
      <c r="I59" s="16">
        <v>15</v>
      </c>
      <c r="J59" s="18" t="s">
        <v>14</v>
      </c>
      <c r="K59" s="20" t="str">
        <f>IF(Table3[[#This Row],[Qty]]&gt;5,"High","Low")</f>
        <v>High</v>
      </c>
      <c r="L59" s="6" t="str">
        <f>IF(Table3[[#This Row],[Status]]="Completed","Done","Not Done")</f>
        <v>Not Done</v>
      </c>
      <c r="M59" s="6" t="str">
        <f>IF(Table3[[#This Row],[Discount]]&gt;0,"Discounted","No Discount")</f>
        <v>Discounted</v>
      </c>
      <c r="N59" s="8" t="str">
        <f>IF(Table3[[#This Row],[UnitPrice]]&gt;=1000,"Expensive","Affordable")</f>
        <v>Expensive</v>
      </c>
      <c r="O59" s="8" t="str">
        <f>IF(Table3[[#This Row],[Region]]="Dhaka","Local","Outside")</f>
        <v>Local</v>
      </c>
      <c r="P59" s="8"/>
      <c r="Q59" s="8"/>
      <c r="R59" s="8"/>
    </row>
    <row r="60" spans="1:18" x14ac:dyDescent="0.25">
      <c r="A60" s="11">
        <v>1060</v>
      </c>
      <c r="B60" s="12">
        <v>46026</v>
      </c>
      <c r="C60" s="13" t="s">
        <v>10</v>
      </c>
      <c r="D60" s="13" t="s">
        <v>16</v>
      </c>
      <c r="E60" s="13" t="s">
        <v>26</v>
      </c>
      <c r="F60" s="13" t="s">
        <v>23</v>
      </c>
      <c r="G60" s="11">
        <v>10</v>
      </c>
      <c r="H60" s="14">
        <v>1170</v>
      </c>
      <c r="I60" s="11">
        <v>10</v>
      </c>
      <c r="J60" s="13" t="s">
        <v>14</v>
      </c>
      <c r="K60" s="20" t="str">
        <f>IF(Table3[[#This Row],[Qty]]&gt;5,"High","Low")</f>
        <v>High</v>
      </c>
      <c r="L60" s="6" t="str">
        <f>IF(Table3[[#This Row],[Status]]="Completed","Done","Not Done")</f>
        <v>Not Done</v>
      </c>
      <c r="M60" s="6" t="str">
        <f>IF(Table3[[#This Row],[Discount]]&gt;0,"Discounted","No Discount")</f>
        <v>Discounted</v>
      </c>
      <c r="N60" s="8" t="str">
        <f>IF(Table3[[#This Row],[UnitPrice]]&gt;=1000,"Expensive","Affordable")</f>
        <v>Expensive</v>
      </c>
      <c r="O60" s="8" t="str">
        <f>IF(Table3[[#This Row],[Region]]="Dhaka","Local","Outside")</f>
        <v>Outside</v>
      </c>
      <c r="P60" s="21"/>
      <c r="Q60" s="21"/>
      <c r="R60" s="21"/>
    </row>
    <row r="61" spans="1:18" x14ac:dyDescent="0.25">
      <c r="A61" s="16">
        <v>1061</v>
      </c>
      <c r="B61" s="17">
        <v>46095</v>
      </c>
      <c r="C61" s="18" t="s">
        <v>15</v>
      </c>
      <c r="D61" s="18" t="s">
        <v>16</v>
      </c>
      <c r="E61" s="18" t="s">
        <v>12</v>
      </c>
      <c r="F61" s="18" t="s">
        <v>13</v>
      </c>
      <c r="G61" s="16">
        <v>5</v>
      </c>
      <c r="H61" s="19">
        <v>1714</v>
      </c>
      <c r="I61" s="16">
        <v>0</v>
      </c>
      <c r="J61" s="18" t="s">
        <v>27</v>
      </c>
      <c r="K61" s="20" t="str">
        <f>IF(Table3[[#This Row],[Qty]]&gt;5,"High","Low")</f>
        <v>Low</v>
      </c>
      <c r="L61" s="6" t="str">
        <f>IF(Table3[[#This Row],[Status]]="Completed","Done","Not Done")</f>
        <v>Done</v>
      </c>
      <c r="M61" s="6" t="str">
        <f>IF(Table3[[#This Row],[Discount]]&gt;0,"Discounted","No Discount")</f>
        <v>No Discount</v>
      </c>
      <c r="N61" s="8" t="str">
        <f>IF(Table3[[#This Row],[UnitPrice]]&gt;=1000,"Expensive","Affordable")</f>
        <v>Expensive</v>
      </c>
      <c r="O61" s="8" t="str">
        <f>IF(Table3[[#This Row],[Region]]="Dhaka","Local","Outside")</f>
        <v>Local</v>
      </c>
      <c r="P61" s="8"/>
      <c r="Q61" s="8"/>
      <c r="R61" s="8"/>
    </row>
    <row r="62" spans="1:18" x14ac:dyDescent="0.25">
      <c r="A62" s="11">
        <v>1062</v>
      </c>
      <c r="B62" s="12">
        <v>46125</v>
      </c>
      <c r="C62" s="13" t="s">
        <v>10</v>
      </c>
      <c r="D62" s="13" t="s">
        <v>28</v>
      </c>
      <c r="E62" s="13" t="s">
        <v>25</v>
      </c>
      <c r="F62" s="13" t="s">
        <v>18</v>
      </c>
      <c r="G62" s="11">
        <v>9</v>
      </c>
      <c r="H62" s="14">
        <v>920</v>
      </c>
      <c r="I62" s="11">
        <v>0</v>
      </c>
      <c r="J62" s="13" t="s">
        <v>19</v>
      </c>
      <c r="K62" s="20" t="str">
        <f>IF(Table3[[#This Row],[Qty]]&gt;5,"High","Low")</f>
        <v>High</v>
      </c>
      <c r="L62" s="6" t="str">
        <f>IF(Table3[[#This Row],[Status]]="Completed","Done","Not Done")</f>
        <v>Not Done</v>
      </c>
      <c r="M62" s="6" t="str">
        <f>IF(Table3[[#This Row],[Discount]]&gt;0,"Discounted","No Discount")</f>
        <v>No Discount</v>
      </c>
      <c r="N62" s="8" t="str">
        <f>IF(Table3[[#This Row],[UnitPrice]]&gt;=1000,"Expensive","Affordable")</f>
        <v>Affordable</v>
      </c>
      <c r="O62" s="8" t="str">
        <f>IF(Table3[[#This Row],[Region]]="Dhaka","Local","Outside")</f>
        <v>Outside</v>
      </c>
      <c r="P62" s="21"/>
      <c r="Q62" s="21"/>
      <c r="R62" s="21"/>
    </row>
    <row r="63" spans="1:18" x14ac:dyDescent="0.25">
      <c r="A63" s="16">
        <v>1063</v>
      </c>
      <c r="B63" s="17">
        <v>46164</v>
      </c>
      <c r="C63" s="18" t="s">
        <v>10</v>
      </c>
      <c r="D63" s="18" t="s">
        <v>24</v>
      </c>
      <c r="E63" s="18" t="s">
        <v>22</v>
      </c>
      <c r="F63" s="18" t="s">
        <v>23</v>
      </c>
      <c r="G63" s="16">
        <v>2</v>
      </c>
      <c r="H63" s="19">
        <v>1242</v>
      </c>
      <c r="I63" s="16">
        <v>10</v>
      </c>
      <c r="J63" s="18" t="s">
        <v>14</v>
      </c>
      <c r="K63" s="20" t="str">
        <f>IF(Table3[[#This Row],[Qty]]&gt;5,"High","Low")</f>
        <v>Low</v>
      </c>
      <c r="L63" s="6" t="str">
        <f>IF(Table3[[#This Row],[Status]]="Completed","Done","Not Done")</f>
        <v>Not Done</v>
      </c>
      <c r="M63" s="6" t="str">
        <f>IF(Table3[[#This Row],[Discount]]&gt;0,"Discounted","No Discount")</f>
        <v>Discounted</v>
      </c>
      <c r="N63" s="8" t="str">
        <f>IF(Table3[[#This Row],[UnitPrice]]&gt;=1000,"Expensive","Affordable")</f>
        <v>Expensive</v>
      </c>
      <c r="O63" s="8" t="str">
        <f>IF(Table3[[#This Row],[Region]]="Dhaka","Local","Outside")</f>
        <v>Outside</v>
      </c>
      <c r="P63" s="8"/>
      <c r="Q63" s="8"/>
      <c r="R63" s="8"/>
    </row>
    <row r="64" spans="1:18" x14ac:dyDescent="0.25">
      <c r="A64" s="11">
        <v>1064</v>
      </c>
      <c r="B64" s="12">
        <v>46081</v>
      </c>
      <c r="C64" s="13" t="s">
        <v>29</v>
      </c>
      <c r="D64" s="13" t="s">
        <v>28</v>
      </c>
      <c r="E64" s="13" t="s">
        <v>22</v>
      </c>
      <c r="F64" s="13" t="s">
        <v>23</v>
      </c>
      <c r="G64" s="11">
        <v>1</v>
      </c>
      <c r="H64" s="14">
        <v>500</v>
      </c>
      <c r="I64" s="11">
        <v>0</v>
      </c>
      <c r="J64" s="13" t="s">
        <v>19</v>
      </c>
      <c r="K64" s="20" t="str">
        <f>IF(Table3[[#This Row],[Qty]]&gt;5,"High","Low")</f>
        <v>Low</v>
      </c>
      <c r="L64" s="6" t="str">
        <f>IF(Table3[[#This Row],[Status]]="Completed","Done","Not Done")</f>
        <v>Not Done</v>
      </c>
      <c r="M64" s="6" t="str">
        <f>IF(Table3[[#This Row],[Discount]]&gt;0,"Discounted","No Discount")</f>
        <v>No Discount</v>
      </c>
      <c r="N64" s="8" t="str">
        <f>IF(Table3[[#This Row],[UnitPrice]]&gt;=1000,"Expensive","Affordable")</f>
        <v>Affordable</v>
      </c>
      <c r="O64" s="8" t="str">
        <f>IF(Table3[[#This Row],[Region]]="Dhaka","Local","Outside")</f>
        <v>Outside</v>
      </c>
      <c r="P64" s="21"/>
      <c r="Q64" s="21"/>
      <c r="R64" s="21"/>
    </row>
    <row r="65" spans="1:18" x14ac:dyDescent="0.25">
      <c r="A65" s="16">
        <v>1065</v>
      </c>
      <c r="B65" s="17">
        <v>46157</v>
      </c>
      <c r="C65" s="18" t="s">
        <v>29</v>
      </c>
      <c r="D65" s="18" t="s">
        <v>16</v>
      </c>
      <c r="E65" s="18" t="s">
        <v>17</v>
      </c>
      <c r="F65" s="18" t="s">
        <v>18</v>
      </c>
      <c r="G65" s="16">
        <v>5</v>
      </c>
      <c r="H65" s="19">
        <v>1649</v>
      </c>
      <c r="I65" s="16">
        <v>15</v>
      </c>
      <c r="J65" s="18" t="s">
        <v>27</v>
      </c>
      <c r="K65" s="20" t="str">
        <f>IF(Table3[[#This Row],[Qty]]&gt;5,"High","Low")</f>
        <v>Low</v>
      </c>
      <c r="L65" s="6" t="str">
        <f>IF(Table3[[#This Row],[Status]]="Completed","Done","Not Done")</f>
        <v>Done</v>
      </c>
      <c r="M65" s="6" t="str">
        <f>IF(Table3[[#This Row],[Discount]]&gt;0,"Discounted","No Discount")</f>
        <v>Discounted</v>
      </c>
      <c r="N65" s="8" t="str">
        <f>IF(Table3[[#This Row],[UnitPrice]]&gt;=1000,"Expensive","Affordable")</f>
        <v>Expensive</v>
      </c>
      <c r="O65" s="8" t="str">
        <f>IF(Table3[[#This Row],[Region]]="Dhaka","Local","Outside")</f>
        <v>Outside</v>
      </c>
      <c r="P65" s="8"/>
      <c r="Q65" s="8"/>
      <c r="R65" s="8"/>
    </row>
    <row r="66" spans="1:18" x14ac:dyDescent="0.25">
      <c r="A66" s="11">
        <v>1066</v>
      </c>
      <c r="B66" s="12">
        <v>46169</v>
      </c>
      <c r="C66" s="13" t="s">
        <v>15</v>
      </c>
      <c r="D66" s="13" t="s">
        <v>28</v>
      </c>
      <c r="E66" s="13" t="s">
        <v>12</v>
      </c>
      <c r="F66" s="13" t="s">
        <v>13</v>
      </c>
      <c r="G66" s="11">
        <v>2</v>
      </c>
      <c r="H66" s="14">
        <v>900</v>
      </c>
      <c r="I66" s="11">
        <v>10</v>
      </c>
      <c r="J66" s="13" t="s">
        <v>27</v>
      </c>
      <c r="K66" s="20" t="str">
        <f>IF(Table3[[#This Row],[Qty]]&gt;5,"High","Low")</f>
        <v>Low</v>
      </c>
      <c r="L66" s="6" t="str">
        <f>IF(Table3[[#This Row],[Status]]="Completed","Done","Not Done")</f>
        <v>Done</v>
      </c>
      <c r="M66" s="6" t="str">
        <f>IF(Table3[[#This Row],[Discount]]&gt;0,"Discounted","No Discount")</f>
        <v>Discounted</v>
      </c>
      <c r="N66" s="8" t="str">
        <f>IF(Table3[[#This Row],[UnitPrice]]&gt;=1000,"Expensive","Affordable")</f>
        <v>Affordable</v>
      </c>
      <c r="O66" s="8" t="str">
        <f>IF(Table3[[#This Row],[Region]]="Dhaka","Local","Outside")</f>
        <v>Local</v>
      </c>
      <c r="P66" s="21"/>
      <c r="Q66" s="21"/>
      <c r="R66" s="21"/>
    </row>
    <row r="67" spans="1:18" x14ac:dyDescent="0.25">
      <c r="A67" s="16">
        <v>1067</v>
      </c>
      <c r="B67" s="17">
        <v>46146</v>
      </c>
      <c r="C67" s="18" t="s">
        <v>20</v>
      </c>
      <c r="D67" s="18" t="s">
        <v>28</v>
      </c>
      <c r="E67" s="18" t="s">
        <v>25</v>
      </c>
      <c r="F67" s="18" t="s">
        <v>18</v>
      </c>
      <c r="G67" s="16">
        <v>7</v>
      </c>
      <c r="H67" s="19">
        <v>1058</v>
      </c>
      <c r="I67" s="16">
        <v>10</v>
      </c>
      <c r="J67" s="18" t="s">
        <v>19</v>
      </c>
      <c r="K67" s="20" t="str">
        <f>IF(Table3[[#This Row],[Qty]]&gt;5,"High","Low")</f>
        <v>High</v>
      </c>
      <c r="L67" s="6" t="str">
        <f>IF(Table3[[#This Row],[Status]]="Completed","Done","Not Done")</f>
        <v>Not Done</v>
      </c>
      <c r="M67" s="6" t="str">
        <f>IF(Table3[[#This Row],[Discount]]&gt;0,"Discounted","No Discount")</f>
        <v>Discounted</v>
      </c>
      <c r="N67" s="8" t="str">
        <f>IF(Table3[[#This Row],[UnitPrice]]&gt;=1000,"Expensive","Affordable")</f>
        <v>Expensive</v>
      </c>
      <c r="O67" s="8" t="str">
        <f>IF(Table3[[#This Row],[Region]]="Dhaka","Local","Outside")</f>
        <v>Outside</v>
      </c>
      <c r="P67" s="8"/>
      <c r="Q67" s="8"/>
      <c r="R67" s="8"/>
    </row>
    <row r="68" spans="1:18" x14ac:dyDescent="0.25">
      <c r="A68" s="11">
        <v>1068</v>
      </c>
      <c r="B68" s="12">
        <v>46175</v>
      </c>
      <c r="C68" s="13" t="s">
        <v>15</v>
      </c>
      <c r="D68" s="13" t="s">
        <v>28</v>
      </c>
      <c r="E68" s="13" t="s">
        <v>12</v>
      </c>
      <c r="F68" s="13" t="s">
        <v>13</v>
      </c>
      <c r="G68" s="11">
        <v>10</v>
      </c>
      <c r="H68" s="14">
        <v>1039</v>
      </c>
      <c r="I68" s="11">
        <v>5</v>
      </c>
      <c r="J68" s="13" t="s">
        <v>19</v>
      </c>
      <c r="K68" s="20" t="str">
        <f>IF(Table3[[#This Row],[Qty]]&gt;5,"High","Low")</f>
        <v>High</v>
      </c>
      <c r="L68" s="6" t="str">
        <f>IF(Table3[[#This Row],[Status]]="Completed","Done","Not Done")</f>
        <v>Not Done</v>
      </c>
      <c r="M68" s="6" t="str">
        <f>IF(Table3[[#This Row],[Discount]]&gt;0,"Discounted","No Discount")</f>
        <v>Discounted</v>
      </c>
      <c r="N68" s="8" t="str">
        <f>IF(Table3[[#This Row],[UnitPrice]]&gt;=1000,"Expensive","Affordable")</f>
        <v>Expensive</v>
      </c>
      <c r="O68" s="8" t="str">
        <f>IF(Table3[[#This Row],[Region]]="Dhaka","Local","Outside")</f>
        <v>Local</v>
      </c>
      <c r="P68" s="21"/>
      <c r="Q68" s="21"/>
      <c r="R68" s="21"/>
    </row>
    <row r="69" spans="1:18" x14ac:dyDescent="0.25">
      <c r="A69" s="16">
        <v>1069</v>
      </c>
      <c r="B69" s="17">
        <v>46042</v>
      </c>
      <c r="C69" s="18" t="s">
        <v>20</v>
      </c>
      <c r="D69" s="18" t="s">
        <v>11</v>
      </c>
      <c r="E69" s="18" t="s">
        <v>26</v>
      </c>
      <c r="F69" s="18" t="s">
        <v>23</v>
      </c>
      <c r="G69" s="16">
        <v>4</v>
      </c>
      <c r="H69" s="19">
        <v>1008</v>
      </c>
      <c r="I69" s="16">
        <v>15</v>
      </c>
      <c r="J69" s="18" t="s">
        <v>19</v>
      </c>
      <c r="K69" s="20" t="str">
        <f>IF(Table3[[#This Row],[Qty]]&gt;5,"High","Low")</f>
        <v>Low</v>
      </c>
      <c r="L69" s="6" t="str">
        <f>IF(Table3[[#This Row],[Status]]="Completed","Done","Not Done")</f>
        <v>Not Done</v>
      </c>
      <c r="M69" s="6" t="str">
        <f>IF(Table3[[#This Row],[Discount]]&gt;0,"Discounted","No Discount")</f>
        <v>Discounted</v>
      </c>
      <c r="N69" s="8" t="str">
        <f>IF(Table3[[#This Row],[UnitPrice]]&gt;=1000,"Expensive","Affordable")</f>
        <v>Expensive</v>
      </c>
      <c r="O69" s="8" t="str">
        <f>IF(Table3[[#This Row],[Region]]="Dhaka","Local","Outside")</f>
        <v>Outside</v>
      </c>
      <c r="P69" s="8"/>
      <c r="Q69" s="8"/>
      <c r="R69" s="8"/>
    </row>
    <row r="70" spans="1:18" x14ac:dyDescent="0.25">
      <c r="A70" s="11">
        <v>1070</v>
      </c>
      <c r="B70" s="12">
        <v>46061</v>
      </c>
      <c r="C70" s="13" t="s">
        <v>15</v>
      </c>
      <c r="D70" s="13" t="s">
        <v>28</v>
      </c>
      <c r="E70" s="13" t="s">
        <v>31</v>
      </c>
      <c r="F70" s="13" t="s">
        <v>13</v>
      </c>
      <c r="G70" s="11">
        <v>8</v>
      </c>
      <c r="H70" s="14">
        <v>1318</v>
      </c>
      <c r="I70" s="11">
        <v>5</v>
      </c>
      <c r="J70" s="13" t="s">
        <v>19</v>
      </c>
      <c r="K70" s="20" t="str">
        <f>IF(Table3[[#This Row],[Qty]]&gt;5,"High","Low")</f>
        <v>High</v>
      </c>
      <c r="L70" s="6" t="str">
        <f>IF(Table3[[#This Row],[Status]]="Completed","Done","Not Done")</f>
        <v>Not Done</v>
      </c>
      <c r="M70" s="6" t="str">
        <f>IF(Table3[[#This Row],[Discount]]&gt;0,"Discounted","No Discount")</f>
        <v>Discounted</v>
      </c>
      <c r="N70" s="8" t="str">
        <f>IF(Table3[[#This Row],[UnitPrice]]&gt;=1000,"Expensive","Affordable")</f>
        <v>Expensive</v>
      </c>
      <c r="O70" s="8" t="str">
        <f>IF(Table3[[#This Row],[Region]]="Dhaka","Local","Outside")</f>
        <v>Local</v>
      </c>
      <c r="P70" s="21"/>
      <c r="Q70" s="21"/>
      <c r="R70" s="21"/>
    </row>
    <row r="71" spans="1:18" x14ac:dyDescent="0.25">
      <c r="A71" s="16">
        <v>1071</v>
      </c>
      <c r="B71" s="17">
        <v>46190</v>
      </c>
      <c r="C71" s="18" t="s">
        <v>20</v>
      </c>
      <c r="D71" s="18" t="s">
        <v>11</v>
      </c>
      <c r="E71" s="18" t="s">
        <v>22</v>
      </c>
      <c r="F71" s="18" t="s">
        <v>23</v>
      </c>
      <c r="G71" s="16">
        <v>9</v>
      </c>
      <c r="H71" s="19">
        <v>1096</v>
      </c>
      <c r="I71" s="16">
        <v>5</v>
      </c>
      <c r="J71" s="18" t="s">
        <v>14</v>
      </c>
      <c r="K71" s="20" t="str">
        <f>IF(Table3[[#This Row],[Qty]]&gt;5,"High","Low")</f>
        <v>High</v>
      </c>
      <c r="L71" s="6" t="str">
        <f>IF(Table3[[#This Row],[Status]]="Completed","Done","Not Done")</f>
        <v>Not Done</v>
      </c>
      <c r="M71" s="6" t="str">
        <f>IF(Table3[[#This Row],[Discount]]&gt;0,"Discounted","No Discount")</f>
        <v>Discounted</v>
      </c>
      <c r="N71" s="8" t="str">
        <f>IF(Table3[[#This Row],[UnitPrice]]&gt;=1000,"Expensive","Affordable")</f>
        <v>Expensive</v>
      </c>
      <c r="O71" s="8" t="str">
        <f>IF(Table3[[#This Row],[Region]]="Dhaka","Local","Outside")</f>
        <v>Outside</v>
      </c>
      <c r="P71" s="8"/>
      <c r="Q71" s="8"/>
      <c r="R71" s="8"/>
    </row>
    <row r="72" spans="1:18" x14ac:dyDescent="0.25">
      <c r="A72" s="11">
        <v>1072</v>
      </c>
      <c r="B72" s="12">
        <v>46152</v>
      </c>
      <c r="C72" s="13" t="s">
        <v>20</v>
      </c>
      <c r="D72" s="13" t="s">
        <v>16</v>
      </c>
      <c r="E72" s="13" t="s">
        <v>25</v>
      </c>
      <c r="F72" s="13" t="s">
        <v>18</v>
      </c>
      <c r="G72" s="11">
        <v>8</v>
      </c>
      <c r="H72" s="14">
        <v>263</v>
      </c>
      <c r="I72" s="11">
        <v>10</v>
      </c>
      <c r="J72" s="13" t="s">
        <v>19</v>
      </c>
      <c r="K72" s="20" t="str">
        <f>IF(Table3[[#This Row],[Qty]]&gt;5,"High","Low")</f>
        <v>High</v>
      </c>
      <c r="L72" s="6" t="str">
        <f>IF(Table3[[#This Row],[Status]]="Completed","Done","Not Done")</f>
        <v>Not Done</v>
      </c>
      <c r="M72" s="6" t="str">
        <f>IF(Table3[[#This Row],[Discount]]&gt;0,"Discounted","No Discount")</f>
        <v>Discounted</v>
      </c>
      <c r="N72" s="8" t="str">
        <f>IF(Table3[[#This Row],[UnitPrice]]&gt;=1000,"Expensive","Affordable")</f>
        <v>Affordable</v>
      </c>
      <c r="O72" s="8" t="str">
        <f>IF(Table3[[#This Row],[Region]]="Dhaka","Local","Outside")</f>
        <v>Outside</v>
      </c>
      <c r="P72" s="21"/>
      <c r="Q72" s="21"/>
      <c r="R72" s="21"/>
    </row>
    <row r="73" spans="1:18" x14ac:dyDescent="0.25">
      <c r="A73" s="16">
        <v>1073</v>
      </c>
      <c r="B73" s="17">
        <v>46159</v>
      </c>
      <c r="C73" s="18" t="s">
        <v>10</v>
      </c>
      <c r="D73" s="18" t="s">
        <v>21</v>
      </c>
      <c r="E73" s="18" t="s">
        <v>12</v>
      </c>
      <c r="F73" s="18" t="s">
        <v>13</v>
      </c>
      <c r="G73" s="16">
        <v>4</v>
      </c>
      <c r="H73" s="19">
        <v>823</v>
      </c>
      <c r="I73" s="16">
        <v>0</v>
      </c>
      <c r="J73" s="18" t="s">
        <v>19</v>
      </c>
      <c r="K73" s="20" t="str">
        <f>IF(Table3[[#This Row],[Qty]]&gt;5,"High","Low")</f>
        <v>Low</v>
      </c>
      <c r="L73" s="6" t="str">
        <f>IF(Table3[[#This Row],[Status]]="Completed","Done","Not Done")</f>
        <v>Not Done</v>
      </c>
      <c r="M73" s="6" t="str">
        <f>IF(Table3[[#This Row],[Discount]]&gt;0,"Discounted","No Discount")</f>
        <v>No Discount</v>
      </c>
      <c r="N73" s="8" t="str">
        <f>IF(Table3[[#This Row],[UnitPrice]]&gt;=1000,"Expensive","Affordable")</f>
        <v>Affordable</v>
      </c>
      <c r="O73" s="8" t="str">
        <f>IF(Table3[[#This Row],[Region]]="Dhaka","Local","Outside")</f>
        <v>Outside</v>
      </c>
      <c r="P73" s="8"/>
      <c r="Q73" s="8"/>
      <c r="R73" s="8"/>
    </row>
    <row r="74" spans="1:18" x14ac:dyDescent="0.25">
      <c r="A74" s="11">
        <v>1074</v>
      </c>
      <c r="B74" s="12">
        <v>46099</v>
      </c>
      <c r="C74" s="13" t="s">
        <v>10</v>
      </c>
      <c r="D74" s="13" t="s">
        <v>24</v>
      </c>
      <c r="E74" s="13" t="s">
        <v>12</v>
      </c>
      <c r="F74" s="13" t="s">
        <v>13</v>
      </c>
      <c r="G74" s="11">
        <v>6</v>
      </c>
      <c r="H74" s="14">
        <v>452</v>
      </c>
      <c r="I74" s="11">
        <v>10</v>
      </c>
      <c r="J74" s="13" t="s">
        <v>14</v>
      </c>
      <c r="K74" s="20" t="str">
        <f>IF(Table3[[#This Row],[Qty]]&gt;5,"High","Low")</f>
        <v>High</v>
      </c>
      <c r="L74" s="6" t="str">
        <f>IF(Table3[[#This Row],[Status]]="Completed","Done","Not Done")</f>
        <v>Not Done</v>
      </c>
      <c r="M74" s="6" t="str">
        <f>IF(Table3[[#This Row],[Discount]]&gt;0,"Discounted","No Discount")</f>
        <v>Discounted</v>
      </c>
      <c r="N74" s="8" t="str">
        <f>IF(Table3[[#This Row],[UnitPrice]]&gt;=1000,"Expensive","Affordable")</f>
        <v>Affordable</v>
      </c>
      <c r="O74" s="8" t="str">
        <f>IF(Table3[[#This Row],[Region]]="Dhaka","Local","Outside")</f>
        <v>Outside</v>
      </c>
      <c r="P74" s="21"/>
      <c r="Q74" s="21"/>
      <c r="R74" s="21"/>
    </row>
    <row r="75" spans="1:18" x14ac:dyDescent="0.25">
      <c r="A75" s="16">
        <v>1075</v>
      </c>
      <c r="B75" s="17">
        <v>46165</v>
      </c>
      <c r="C75" s="18" t="s">
        <v>10</v>
      </c>
      <c r="D75" s="18" t="s">
        <v>24</v>
      </c>
      <c r="E75" s="18" t="s">
        <v>17</v>
      </c>
      <c r="F75" s="18" t="s">
        <v>18</v>
      </c>
      <c r="G75" s="16">
        <v>8</v>
      </c>
      <c r="H75" s="19">
        <v>1120</v>
      </c>
      <c r="I75" s="16">
        <v>15</v>
      </c>
      <c r="J75" s="18" t="s">
        <v>27</v>
      </c>
      <c r="K75" s="20" t="str">
        <f>IF(Table3[[#This Row],[Qty]]&gt;5,"High","Low")</f>
        <v>High</v>
      </c>
      <c r="L75" s="6" t="str">
        <f>IF(Table3[[#This Row],[Status]]="Completed","Done","Not Done")</f>
        <v>Done</v>
      </c>
      <c r="M75" s="6" t="str">
        <f>IF(Table3[[#This Row],[Discount]]&gt;0,"Discounted","No Discount")</f>
        <v>Discounted</v>
      </c>
      <c r="N75" s="8" t="str">
        <f>IF(Table3[[#This Row],[UnitPrice]]&gt;=1000,"Expensive","Affordable")</f>
        <v>Expensive</v>
      </c>
      <c r="O75" s="8" t="str">
        <f>IF(Table3[[#This Row],[Region]]="Dhaka","Local","Outside")</f>
        <v>Outside</v>
      </c>
      <c r="P75" s="8"/>
      <c r="Q75" s="8"/>
      <c r="R75" s="8"/>
    </row>
    <row r="76" spans="1:18" x14ac:dyDescent="0.25">
      <c r="A76" s="11">
        <v>1076</v>
      </c>
      <c r="B76" s="12">
        <v>46078</v>
      </c>
      <c r="C76" s="13" t="s">
        <v>20</v>
      </c>
      <c r="D76" s="13" t="s">
        <v>11</v>
      </c>
      <c r="E76" s="13" t="s">
        <v>31</v>
      </c>
      <c r="F76" s="13" t="s">
        <v>13</v>
      </c>
      <c r="G76" s="11">
        <v>3</v>
      </c>
      <c r="H76" s="14">
        <v>1778</v>
      </c>
      <c r="I76" s="11">
        <v>10</v>
      </c>
      <c r="J76" s="13" t="s">
        <v>19</v>
      </c>
      <c r="K76" s="20" t="str">
        <f>IF(Table3[[#This Row],[Qty]]&gt;5,"High","Low")</f>
        <v>Low</v>
      </c>
      <c r="L76" s="6" t="str">
        <f>IF(Table3[[#This Row],[Status]]="Completed","Done","Not Done")</f>
        <v>Not Done</v>
      </c>
      <c r="M76" s="6" t="str">
        <f>IF(Table3[[#This Row],[Discount]]&gt;0,"Discounted","No Discount")</f>
        <v>Discounted</v>
      </c>
      <c r="N76" s="8" t="str">
        <f>IF(Table3[[#This Row],[UnitPrice]]&gt;=1000,"Expensive","Affordable")</f>
        <v>Expensive</v>
      </c>
      <c r="O76" s="8" t="str">
        <f>IF(Table3[[#This Row],[Region]]="Dhaka","Local","Outside")</f>
        <v>Outside</v>
      </c>
      <c r="P76" s="21"/>
      <c r="Q76" s="21"/>
      <c r="R76" s="21"/>
    </row>
    <row r="77" spans="1:18" x14ac:dyDescent="0.25">
      <c r="A77" s="16">
        <v>1077</v>
      </c>
      <c r="B77" s="17">
        <v>46152</v>
      </c>
      <c r="C77" s="18" t="s">
        <v>15</v>
      </c>
      <c r="D77" s="18" t="s">
        <v>24</v>
      </c>
      <c r="E77" s="18" t="s">
        <v>22</v>
      </c>
      <c r="F77" s="18" t="s">
        <v>23</v>
      </c>
      <c r="G77" s="16">
        <v>3</v>
      </c>
      <c r="H77" s="19">
        <v>253</v>
      </c>
      <c r="I77" s="16">
        <v>10</v>
      </c>
      <c r="J77" s="18" t="s">
        <v>19</v>
      </c>
      <c r="K77" s="20" t="str">
        <f>IF(Table3[[#This Row],[Qty]]&gt;5,"High","Low")</f>
        <v>Low</v>
      </c>
      <c r="L77" s="6" t="str">
        <f>IF(Table3[[#This Row],[Status]]="Completed","Done","Not Done")</f>
        <v>Not Done</v>
      </c>
      <c r="M77" s="6" t="str">
        <f>IF(Table3[[#This Row],[Discount]]&gt;0,"Discounted","No Discount")</f>
        <v>Discounted</v>
      </c>
      <c r="N77" s="8" t="str">
        <f>IF(Table3[[#This Row],[UnitPrice]]&gt;=1000,"Expensive","Affordable")</f>
        <v>Affordable</v>
      </c>
      <c r="O77" s="8" t="str">
        <f>IF(Table3[[#This Row],[Region]]="Dhaka","Local","Outside")</f>
        <v>Local</v>
      </c>
      <c r="P77" s="8"/>
      <c r="Q77" s="8"/>
      <c r="R77" s="8"/>
    </row>
    <row r="78" spans="1:18" x14ac:dyDescent="0.25">
      <c r="A78" s="11">
        <v>1078</v>
      </c>
      <c r="B78" s="12">
        <v>46092</v>
      </c>
      <c r="C78" s="13" t="s">
        <v>15</v>
      </c>
      <c r="D78" s="13" t="s">
        <v>21</v>
      </c>
      <c r="E78" s="13" t="s">
        <v>31</v>
      </c>
      <c r="F78" s="13" t="s">
        <v>13</v>
      </c>
      <c r="G78" s="11">
        <v>5</v>
      </c>
      <c r="H78" s="14">
        <v>1023</v>
      </c>
      <c r="I78" s="11">
        <v>0</v>
      </c>
      <c r="J78" s="13" t="s">
        <v>14</v>
      </c>
      <c r="K78" s="20" t="str">
        <f>IF(Table3[[#This Row],[Qty]]&gt;5,"High","Low")</f>
        <v>Low</v>
      </c>
      <c r="L78" s="6" t="str">
        <f>IF(Table3[[#This Row],[Status]]="Completed","Done","Not Done")</f>
        <v>Not Done</v>
      </c>
      <c r="M78" s="6" t="str">
        <f>IF(Table3[[#This Row],[Discount]]&gt;0,"Discounted","No Discount")</f>
        <v>No Discount</v>
      </c>
      <c r="N78" s="8" t="str">
        <f>IF(Table3[[#This Row],[UnitPrice]]&gt;=1000,"Expensive","Affordable")</f>
        <v>Expensive</v>
      </c>
      <c r="O78" s="8" t="str">
        <f>IF(Table3[[#This Row],[Region]]="Dhaka","Local","Outside")</f>
        <v>Local</v>
      </c>
      <c r="P78" s="21"/>
      <c r="Q78" s="21"/>
      <c r="R78" s="21"/>
    </row>
    <row r="79" spans="1:18" x14ac:dyDescent="0.25">
      <c r="A79" s="16">
        <v>1079</v>
      </c>
      <c r="B79" s="17">
        <v>46168</v>
      </c>
      <c r="C79" s="18" t="s">
        <v>20</v>
      </c>
      <c r="D79" s="18" t="s">
        <v>21</v>
      </c>
      <c r="E79" s="18" t="s">
        <v>17</v>
      </c>
      <c r="F79" s="18" t="s">
        <v>18</v>
      </c>
      <c r="G79" s="16">
        <v>1</v>
      </c>
      <c r="H79" s="19">
        <v>768</v>
      </c>
      <c r="I79" s="16">
        <v>15</v>
      </c>
      <c r="J79" s="18" t="s">
        <v>19</v>
      </c>
      <c r="K79" s="20" t="str">
        <f>IF(Table3[[#This Row],[Qty]]&gt;5,"High","Low")</f>
        <v>Low</v>
      </c>
      <c r="L79" s="6" t="str">
        <f>IF(Table3[[#This Row],[Status]]="Completed","Done","Not Done")</f>
        <v>Not Done</v>
      </c>
      <c r="M79" s="6" t="str">
        <f>IF(Table3[[#This Row],[Discount]]&gt;0,"Discounted","No Discount")</f>
        <v>Discounted</v>
      </c>
      <c r="N79" s="8" t="str">
        <f>IF(Table3[[#This Row],[UnitPrice]]&gt;=1000,"Expensive","Affordable")</f>
        <v>Affordable</v>
      </c>
      <c r="O79" s="8" t="str">
        <f>IF(Table3[[#This Row],[Region]]="Dhaka","Local","Outside")</f>
        <v>Outside</v>
      </c>
      <c r="P79" s="8"/>
      <c r="Q79" s="8"/>
      <c r="R79" s="8"/>
    </row>
    <row r="80" spans="1:18" x14ac:dyDescent="0.25">
      <c r="A80" s="11">
        <v>1080</v>
      </c>
      <c r="B80" s="12">
        <v>46154</v>
      </c>
      <c r="C80" s="13" t="s">
        <v>29</v>
      </c>
      <c r="D80" s="13" t="s">
        <v>16</v>
      </c>
      <c r="E80" s="13" t="s">
        <v>25</v>
      </c>
      <c r="F80" s="13" t="s">
        <v>18</v>
      </c>
      <c r="G80" s="11">
        <v>7</v>
      </c>
      <c r="H80" s="14">
        <v>1055</v>
      </c>
      <c r="I80" s="11">
        <v>5</v>
      </c>
      <c r="J80" s="13" t="s">
        <v>19</v>
      </c>
      <c r="K80" s="20" t="str">
        <f>IF(Table3[[#This Row],[Qty]]&gt;5,"High","Low")</f>
        <v>High</v>
      </c>
      <c r="L80" s="6" t="str">
        <f>IF(Table3[[#This Row],[Status]]="Completed","Done","Not Done")</f>
        <v>Not Done</v>
      </c>
      <c r="M80" s="6" t="str">
        <f>IF(Table3[[#This Row],[Discount]]&gt;0,"Discounted","No Discount")</f>
        <v>Discounted</v>
      </c>
      <c r="N80" s="8" t="str">
        <f>IF(Table3[[#This Row],[UnitPrice]]&gt;=1000,"Expensive","Affordable")</f>
        <v>Expensive</v>
      </c>
      <c r="O80" s="8" t="str">
        <f>IF(Table3[[#This Row],[Region]]="Dhaka","Local","Outside")</f>
        <v>Outside</v>
      </c>
      <c r="P80" s="21"/>
      <c r="Q80" s="21"/>
      <c r="R80" s="21"/>
    </row>
    <row r="81" spans="1:18" x14ac:dyDescent="0.25">
      <c r="A81" s="16">
        <v>1081</v>
      </c>
      <c r="B81" s="17">
        <v>46201</v>
      </c>
      <c r="C81" s="18" t="s">
        <v>29</v>
      </c>
      <c r="D81" s="18" t="s">
        <v>11</v>
      </c>
      <c r="E81" s="18" t="s">
        <v>31</v>
      </c>
      <c r="F81" s="18" t="s">
        <v>13</v>
      </c>
      <c r="G81" s="16">
        <v>2</v>
      </c>
      <c r="H81" s="19">
        <v>693</v>
      </c>
      <c r="I81" s="16">
        <v>5</v>
      </c>
      <c r="J81" s="18" t="s">
        <v>27</v>
      </c>
      <c r="K81" s="20" t="str">
        <f>IF(Table3[[#This Row],[Qty]]&gt;5,"High","Low")</f>
        <v>Low</v>
      </c>
      <c r="L81" s="6" t="str">
        <f>IF(Table3[[#This Row],[Status]]="Completed","Done","Not Done")</f>
        <v>Done</v>
      </c>
      <c r="M81" s="6" t="str">
        <f>IF(Table3[[#This Row],[Discount]]&gt;0,"Discounted","No Discount")</f>
        <v>Discounted</v>
      </c>
      <c r="N81" s="8" t="str">
        <f>IF(Table3[[#This Row],[UnitPrice]]&gt;=1000,"Expensive","Affordable")</f>
        <v>Affordable</v>
      </c>
      <c r="O81" s="8" t="str">
        <f>IF(Table3[[#This Row],[Region]]="Dhaka","Local","Outside")</f>
        <v>Outside</v>
      </c>
      <c r="P81" s="8"/>
      <c r="Q81" s="8"/>
      <c r="R81" s="8"/>
    </row>
    <row r="82" spans="1:18" x14ac:dyDescent="0.25">
      <c r="A82" s="11">
        <v>1082</v>
      </c>
      <c r="B82" s="12">
        <v>46079</v>
      </c>
      <c r="C82" s="13" t="s">
        <v>15</v>
      </c>
      <c r="D82" s="13" t="s">
        <v>16</v>
      </c>
      <c r="E82" s="13" t="s">
        <v>17</v>
      </c>
      <c r="F82" s="13" t="s">
        <v>18</v>
      </c>
      <c r="G82" s="11">
        <v>10</v>
      </c>
      <c r="H82" s="14">
        <v>1898</v>
      </c>
      <c r="I82" s="11">
        <v>5</v>
      </c>
      <c r="J82" s="13" t="s">
        <v>27</v>
      </c>
      <c r="K82" s="20" t="str">
        <f>IF(Table3[[#This Row],[Qty]]&gt;5,"High","Low")</f>
        <v>High</v>
      </c>
      <c r="L82" s="6" t="str">
        <f>IF(Table3[[#This Row],[Status]]="Completed","Done","Not Done")</f>
        <v>Done</v>
      </c>
      <c r="M82" s="6" t="str">
        <f>IF(Table3[[#This Row],[Discount]]&gt;0,"Discounted","No Discount")</f>
        <v>Discounted</v>
      </c>
      <c r="N82" s="8" t="str">
        <f>IF(Table3[[#This Row],[UnitPrice]]&gt;=1000,"Expensive","Affordable")</f>
        <v>Expensive</v>
      </c>
      <c r="O82" s="8" t="str">
        <f>IF(Table3[[#This Row],[Region]]="Dhaka","Local","Outside")</f>
        <v>Local</v>
      </c>
      <c r="P82" s="21"/>
      <c r="Q82" s="21"/>
      <c r="R82" s="21"/>
    </row>
    <row r="83" spans="1:18" x14ac:dyDescent="0.25">
      <c r="A83" s="16">
        <v>1083</v>
      </c>
      <c r="B83" s="17">
        <v>46176</v>
      </c>
      <c r="C83" s="18" t="s">
        <v>20</v>
      </c>
      <c r="D83" s="18" t="s">
        <v>30</v>
      </c>
      <c r="E83" s="18" t="s">
        <v>31</v>
      </c>
      <c r="F83" s="18" t="s">
        <v>13</v>
      </c>
      <c r="G83" s="16">
        <v>4</v>
      </c>
      <c r="H83" s="19">
        <v>951</v>
      </c>
      <c r="I83" s="16">
        <v>10</v>
      </c>
      <c r="J83" s="18" t="s">
        <v>27</v>
      </c>
      <c r="K83" s="20" t="str">
        <f>IF(Table3[[#This Row],[Qty]]&gt;5,"High","Low")</f>
        <v>Low</v>
      </c>
      <c r="L83" s="6" t="str">
        <f>IF(Table3[[#This Row],[Status]]="Completed","Done","Not Done")</f>
        <v>Done</v>
      </c>
      <c r="M83" s="6" t="str">
        <f>IF(Table3[[#This Row],[Discount]]&gt;0,"Discounted","No Discount")</f>
        <v>Discounted</v>
      </c>
      <c r="N83" s="8" t="str">
        <f>IF(Table3[[#This Row],[UnitPrice]]&gt;=1000,"Expensive","Affordable")</f>
        <v>Affordable</v>
      </c>
      <c r="O83" s="8" t="str">
        <f>IF(Table3[[#This Row],[Region]]="Dhaka","Local","Outside")</f>
        <v>Outside</v>
      </c>
      <c r="P83" s="8"/>
      <c r="Q83" s="8"/>
      <c r="R83" s="8"/>
    </row>
    <row r="84" spans="1:18" x14ac:dyDescent="0.25">
      <c r="A84" s="11">
        <v>1084</v>
      </c>
      <c r="B84" s="12">
        <v>46091</v>
      </c>
      <c r="C84" s="13" t="s">
        <v>10</v>
      </c>
      <c r="D84" s="13" t="s">
        <v>30</v>
      </c>
      <c r="E84" s="13" t="s">
        <v>25</v>
      </c>
      <c r="F84" s="13" t="s">
        <v>18</v>
      </c>
      <c r="G84" s="11">
        <v>5</v>
      </c>
      <c r="H84" s="14">
        <v>106</v>
      </c>
      <c r="I84" s="11">
        <v>0</v>
      </c>
      <c r="J84" s="13" t="s">
        <v>19</v>
      </c>
      <c r="K84" s="20" t="str">
        <f>IF(Table3[[#This Row],[Qty]]&gt;5,"High","Low")</f>
        <v>Low</v>
      </c>
      <c r="L84" s="6" t="str">
        <f>IF(Table3[[#This Row],[Status]]="Completed","Done","Not Done")</f>
        <v>Not Done</v>
      </c>
      <c r="M84" s="6" t="str">
        <f>IF(Table3[[#This Row],[Discount]]&gt;0,"Discounted","No Discount")</f>
        <v>No Discount</v>
      </c>
      <c r="N84" s="8" t="str">
        <f>IF(Table3[[#This Row],[UnitPrice]]&gt;=1000,"Expensive","Affordable")</f>
        <v>Affordable</v>
      </c>
      <c r="O84" s="8" t="str">
        <f>IF(Table3[[#This Row],[Region]]="Dhaka","Local","Outside")</f>
        <v>Outside</v>
      </c>
      <c r="P84" s="21"/>
      <c r="Q84" s="21"/>
      <c r="R84" s="21"/>
    </row>
    <row r="85" spans="1:18" x14ac:dyDescent="0.25">
      <c r="A85" s="16">
        <v>1085</v>
      </c>
      <c r="B85" s="17">
        <v>46045</v>
      </c>
      <c r="C85" s="18" t="s">
        <v>29</v>
      </c>
      <c r="D85" s="18" t="s">
        <v>30</v>
      </c>
      <c r="E85" s="18" t="s">
        <v>26</v>
      </c>
      <c r="F85" s="18" t="s">
        <v>23</v>
      </c>
      <c r="G85" s="16">
        <v>2</v>
      </c>
      <c r="H85" s="19">
        <v>1041</v>
      </c>
      <c r="I85" s="16">
        <v>10</v>
      </c>
      <c r="J85" s="18" t="s">
        <v>14</v>
      </c>
      <c r="K85" s="20" t="str">
        <f>IF(Table3[[#This Row],[Qty]]&gt;5,"High","Low")</f>
        <v>Low</v>
      </c>
      <c r="L85" s="6" t="str">
        <f>IF(Table3[[#This Row],[Status]]="Completed","Done","Not Done")</f>
        <v>Not Done</v>
      </c>
      <c r="M85" s="6" t="str">
        <f>IF(Table3[[#This Row],[Discount]]&gt;0,"Discounted","No Discount")</f>
        <v>Discounted</v>
      </c>
      <c r="N85" s="8" t="str">
        <f>IF(Table3[[#This Row],[UnitPrice]]&gt;=1000,"Expensive","Affordable")</f>
        <v>Expensive</v>
      </c>
      <c r="O85" s="8" t="str">
        <f>IF(Table3[[#This Row],[Region]]="Dhaka","Local","Outside")</f>
        <v>Outside</v>
      </c>
      <c r="P85" s="8"/>
      <c r="Q85" s="8"/>
      <c r="R85" s="8"/>
    </row>
    <row r="86" spans="1:18" x14ac:dyDescent="0.25">
      <c r="A86" s="11">
        <v>1086</v>
      </c>
      <c r="B86" s="12">
        <v>46130</v>
      </c>
      <c r="C86" s="13" t="s">
        <v>20</v>
      </c>
      <c r="D86" s="13" t="s">
        <v>21</v>
      </c>
      <c r="E86" s="13" t="s">
        <v>22</v>
      </c>
      <c r="F86" s="13" t="s">
        <v>23</v>
      </c>
      <c r="G86" s="11">
        <v>5</v>
      </c>
      <c r="H86" s="14">
        <v>1359</v>
      </c>
      <c r="I86" s="11">
        <v>5</v>
      </c>
      <c r="J86" s="13" t="s">
        <v>14</v>
      </c>
      <c r="K86" s="20" t="str">
        <f>IF(Table3[[#This Row],[Qty]]&gt;5,"High","Low")</f>
        <v>Low</v>
      </c>
      <c r="L86" s="6" t="str">
        <f>IF(Table3[[#This Row],[Status]]="Completed","Done","Not Done")</f>
        <v>Not Done</v>
      </c>
      <c r="M86" s="6" t="str">
        <f>IF(Table3[[#This Row],[Discount]]&gt;0,"Discounted","No Discount")</f>
        <v>Discounted</v>
      </c>
      <c r="N86" s="8" t="str">
        <f>IF(Table3[[#This Row],[UnitPrice]]&gt;=1000,"Expensive","Affordable")</f>
        <v>Expensive</v>
      </c>
      <c r="O86" s="8" t="str">
        <f>IF(Table3[[#This Row],[Region]]="Dhaka","Local","Outside")</f>
        <v>Outside</v>
      </c>
      <c r="P86" s="21"/>
      <c r="Q86" s="21"/>
      <c r="R86" s="21"/>
    </row>
    <row r="87" spans="1:18" x14ac:dyDescent="0.25">
      <c r="A87" s="16">
        <v>1087</v>
      </c>
      <c r="B87" s="17">
        <v>46191</v>
      </c>
      <c r="C87" s="18" t="s">
        <v>20</v>
      </c>
      <c r="D87" s="18" t="s">
        <v>30</v>
      </c>
      <c r="E87" s="18" t="s">
        <v>31</v>
      </c>
      <c r="F87" s="18" t="s">
        <v>13</v>
      </c>
      <c r="G87" s="16">
        <v>2</v>
      </c>
      <c r="H87" s="19">
        <v>1545</v>
      </c>
      <c r="I87" s="16">
        <v>0</v>
      </c>
      <c r="J87" s="18" t="s">
        <v>19</v>
      </c>
      <c r="K87" s="20" t="str">
        <f>IF(Table3[[#This Row],[Qty]]&gt;5,"High","Low")</f>
        <v>Low</v>
      </c>
      <c r="L87" s="6" t="str">
        <f>IF(Table3[[#This Row],[Status]]="Completed","Done","Not Done")</f>
        <v>Not Done</v>
      </c>
      <c r="M87" s="6" t="str">
        <f>IF(Table3[[#This Row],[Discount]]&gt;0,"Discounted","No Discount")</f>
        <v>No Discount</v>
      </c>
      <c r="N87" s="8" t="str">
        <f>IF(Table3[[#This Row],[UnitPrice]]&gt;=1000,"Expensive","Affordable")</f>
        <v>Expensive</v>
      </c>
      <c r="O87" s="8" t="str">
        <f>IF(Table3[[#This Row],[Region]]="Dhaka","Local","Outside")</f>
        <v>Outside</v>
      </c>
      <c r="P87" s="8"/>
      <c r="Q87" s="8"/>
      <c r="R87" s="8"/>
    </row>
    <row r="88" spans="1:18" x14ac:dyDescent="0.25">
      <c r="A88" s="11">
        <v>1088</v>
      </c>
      <c r="B88" s="12">
        <v>46108</v>
      </c>
      <c r="C88" s="13" t="s">
        <v>29</v>
      </c>
      <c r="D88" s="13" t="s">
        <v>16</v>
      </c>
      <c r="E88" s="13" t="s">
        <v>26</v>
      </c>
      <c r="F88" s="13" t="s">
        <v>23</v>
      </c>
      <c r="G88" s="11">
        <v>7</v>
      </c>
      <c r="H88" s="14">
        <v>553</v>
      </c>
      <c r="I88" s="11">
        <v>15</v>
      </c>
      <c r="J88" s="13" t="s">
        <v>14</v>
      </c>
      <c r="K88" s="20" t="str">
        <f>IF(Table3[[#This Row],[Qty]]&gt;5,"High","Low")</f>
        <v>High</v>
      </c>
      <c r="L88" s="6" t="str">
        <f>IF(Table3[[#This Row],[Status]]="Completed","Done","Not Done")</f>
        <v>Not Done</v>
      </c>
      <c r="M88" s="6" t="str">
        <f>IF(Table3[[#This Row],[Discount]]&gt;0,"Discounted","No Discount")</f>
        <v>Discounted</v>
      </c>
      <c r="N88" s="8" t="str">
        <f>IF(Table3[[#This Row],[UnitPrice]]&gt;=1000,"Expensive","Affordable")</f>
        <v>Affordable</v>
      </c>
      <c r="O88" s="8" t="str">
        <f>IF(Table3[[#This Row],[Region]]="Dhaka","Local","Outside")</f>
        <v>Outside</v>
      </c>
      <c r="P88" s="21"/>
      <c r="Q88" s="21"/>
      <c r="R88" s="21"/>
    </row>
    <row r="89" spans="1:18" x14ac:dyDescent="0.25">
      <c r="A89" s="16">
        <v>1089</v>
      </c>
      <c r="B89" s="17">
        <v>46092</v>
      </c>
      <c r="C89" s="18" t="s">
        <v>10</v>
      </c>
      <c r="D89" s="18" t="s">
        <v>30</v>
      </c>
      <c r="E89" s="18" t="s">
        <v>17</v>
      </c>
      <c r="F89" s="18" t="s">
        <v>18</v>
      </c>
      <c r="G89" s="16">
        <v>9</v>
      </c>
      <c r="H89" s="19">
        <v>1572</v>
      </c>
      <c r="I89" s="16">
        <v>0</v>
      </c>
      <c r="J89" s="18" t="s">
        <v>27</v>
      </c>
      <c r="K89" s="20" t="str">
        <f>IF(Table3[[#This Row],[Qty]]&gt;5,"High","Low")</f>
        <v>High</v>
      </c>
      <c r="L89" s="6" t="str">
        <f>IF(Table3[[#This Row],[Status]]="Completed","Done","Not Done")</f>
        <v>Done</v>
      </c>
      <c r="M89" s="6" t="str">
        <f>IF(Table3[[#This Row],[Discount]]&gt;0,"Discounted","No Discount")</f>
        <v>No Discount</v>
      </c>
      <c r="N89" s="8" t="str">
        <f>IF(Table3[[#This Row],[UnitPrice]]&gt;=1000,"Expensive","Affordable")</f>
        <v>Expensive</v>
      </c>
      <c r="O89" s="8" t="str">
        <f>IF(Table3[[#This Row],[Region]]="Dhaka","Local","Outside")</f>
        <v>Outside</v>
      </c>
      <c r="P89" s="8"/>
      <c r="Q89" s="8"/>
      <c r="R89" s="8"/>
    </row>
    <row r="90" spans="1:18" x14ac:dyDescent="0.25">
      <c r="A90" s="11">
        <v>1090</v>
      </c>
      <c r="B90" s="12">
        <v>46166</v>
      </c>
      <c r="C90" s="13" t="s">
        <v>10</v>
      </c>
      <c r="D90" s="13" t="s">
        <v>21</v>
      </c>
      <c r="E90" s="13" t="s">
        <v>31</v>
      </c>
      <c r="F90" s="13" t="s">
        <v>13</v>
      </c>
      <c r="G90" s="11">
        <v>2</v>
      </c>
      <c r="H90" s="14">
        <v>156</v>
      </c>
      <c r="I90" s="11">
        <v>10</v>
      </c>
      <c r="J90" s="13" t="s">
        <v>27</v>
      </c>
      <c r="K90" s="20" t="str">
        <f>IF(Table3[[#This Row],[Qty]]&gt;5,"High","Low")</f>
        <v>Low</v>
      </c>
      <c r="L90" s="6" t="str">
        <f>IF(Table3[[#This Row],[Status]]="Completed","Done","Not Done")</f>
        <v>Done</v>
      </c>
      <c r="M90" s="6" t="str">
        <f>IF(Table3[[#This Row],[Discount]]&gt;0,"Discounted","No Discount")</f>
        <v>Discounted</v>
      </c>
      <c r="N90" s="8" t="str">
        <f>IF(Table3[[#This Row],[UnitPrice]]&gt;=1000,"Expensive","Affordable")</f>
        <v>Affordable</v>
      </c>
      <c r="O90" s="8" t="str">
        <f>IF(Table3[[#This Row],[Region]]="Dhaka","Local","Outside")</f>
        <v>Outside</v>
      </c>
      <c r="P90" s="21"/>
      <c r="Q90" s="21"/>
      <c r="R90" s="21"/>
    </row>
    <row r="91" spans="1:18" x14ac:dyDescent="0.25">
      <c r="A91" s="16">
        <v>1091</v>
      </c>
      <c r="B91" s="17">
        <v>46145</v>
      </c>
      <c r="C91" s="18" t="s">
        <v>29</v>
      </c>
      <c r="D91" s="18" t="s">
        <v>30</v>
      </c>
      <c r="E91" s="18" t="s">
        <v>26</v>
      </c>
      <c r="F91" s="18" t="s">
        <v>23</v>
      </c>
      <c r="G91" s="16">
        <v>2</v>
      </c>
      <c r="H91" s="19">
        <v>525</v>
      </c>
      <c r="I91" s="16">
        <v>5</v>
      </c>
      <c r="J91" s="18" t="s">
        <v>27</v>
      </c>
      <c r="K91" s="20" t="str">
        <f>IF(Table3[[#This Row],[Qty]]&gt;5,"High","Low")</f>
        <v>Low</v>
      </c>
      <c r="L91" s="6" t="str">
        <f>IF(Table3[[#This Row],[Status]]="Completed","Done","Not Done")</f>
        <v>Done</v>
      </c>
      <c r="M91" s="6" t="str">
        <f>IF(Table3[[#This Row],[Discount]]&gt;0,"Discounted","No Discount")</f>
        <v>Discounted</v>
      </c>
      <c r="N91" s="8" t="str">
        <f>IF(Table3[[#This Row],[UnitPrice]]&gt;=1000,"Expensive","Affordable")</f>
        <v>Affordable</v>
      </c>
      <c r="O91" s="8" t="str">
        <f>IF(Table3[[#This Row],[Region]]="Dhaka","Local","Outside")</f>
        <v>Outside</v>
      </c>
      <c r="P91" s="8"/>
      <c r="Q91" s="8"/>
      <c r="R91" s="8"/>
    </row>
    <row r="92" spans="1:18" x14ac:dyDescent="0.25">
      <c r="A92" s="11">
        <v>1092</v>
      </c>
      <c r="B92" s="12">
        <v>46086</v>
      </c>
      <c r="C92" s="13" t="s">
        <v>20</v>
      </c>
      <c r="D92" s="13" t="s">
        <v>21</v>
      </c>
      <c r="E92" s="13" t="s">
        <v>22</v>
      </c>
      <c r="F92" s="13" t="s">
        <v>23</v>
      </c>
      <c r="G92" s="11">
        <v>6</v>
      </c>
      <c r="H92" s="14">
        <v>426</v>
      </c>
      <c r="I92" s="11">
        <v>10</v>
      </c>
      <c r="J92" s="13" t="s">
        <v>27</v>
      </c>
      <c r="K92" s="20" t="str">
        <f>IF(Table3[[#This Row],[Qty]]&gt;5,"High","Low")</f>
        <v>High</v>
      </c>
      <c r="L92" s="6" t="str">
        <f>IF(Table3[[#This Row],[Status]]="Completed","Done","Not Done")</f>
        <v>Done</v>
      </c>
      <c r="M92" s="6" t="str">
        <f>IF(Table3[[#This Row],[Discount]]&gt;0,"Discounted","No Discount")</f>
        <v>Discounted</v>
      </c>
      <c r="N92" s="8" t="str">
        <f>IF(Table3[[#This Row],[UnitPrice]]&gt;=1000,"Expensive","Affordable")</f>
        <v>Affordable</v>
      </c>
      <c r="O92" s="8" t="str">
        <f>IF(Table3[[#This Row],[Region]]="Dhaka","Local","Outside")</f>
        <v>Outside</v>
      </c>
      <c r="P92" s="21"/>
      <c r="Q92" s="21"/>
      <c r="R92" s="21"/>
    </row>
    <row r="93" spans="1:18" x14ac:dyDescent="0.25">
      <c r="A93" s="16">
        <v>1093</v>
      </c>
      <c r="B93" s="17">
        <v>46033</v>
      </c>
      <c r="C93" s="18" t="s">
        <v>29</v>
      </c>
      <c r="D93" s="18" t="s">
        <v>30</v>
      </c>
      <c r="E93" s="18" t="s">
        <v>25</v>
      </c>
      <c r="F93" s="18" t="s">
        <v>18</v>
      </c>
      <c r="G93" s="16">
        <v>1</v>
      </c>
      <c r="H93" s="19">
        <v>1473</v>
      </c>
      <c r="I93" s="16">
        <v>0</v>
      </c>
      <c r="J93" s="18" t="s">
        <v>27</v>
      </c>
      <c r="K93" s="20" t="str">
        <f>IF(Table3[[#This Row],[Qty]]&gt;5,"High","Low")</f>
        <v>Low</v>
      </c>
      <c r="L93" s="6" t="str">
        <f>IF(Table3[[#This Row],[Status]]="Completed","Done","Not Done")</f>
        <v>Done</v>
      </c>
      <c r="M93" s="6" t="str">
        <f>IF(Table3[[#This Row],[Discount]]&gt;0,"Discounted","No Discount")</f>
        <v>No Discount</v>
      </c>
      <c r="N93" s="8" t="str">
        <f>IF(Table3[[#This Row],[UnitPrice]]&gt;=1000,"Expensive","Affordable")</f>
        <v>Expensive</v>
      </c>
      <c r="O93" s="8" t="str">
        <f>IF(Table3[[#This Row],[Region]]="Dhaka","Local","Outside")</f>
        <v>Outside</v>
      </c>
      <c r="P93" s="8"/>
      <c r="Q93" s="8"/>
      <c r="R93" s="8"/>
    </row>
    <row r="94" spans="1:18" x14ac:dyDescent="0.25">
      <c r="A94" s="11">
        <v>1094</v>
      </c>
      <c r="B94" s="12">
        <v>46117</v>
      </c>
      <c r="C94" s="13" t="s">
        <v>15</v>
      </c>
      <c r="D94" s="13" t="s">
        <v>24</v>
      </c>
      <c r="E94" s="13" t="s">
        <v>26</v>
      </c>
      <c r="F94" s="13" t="s">
        <v>23</v>
      </c>
      <c r="G94" s="11">
        <v>9</v>
      </c>
      <c r="H94" s="14">
        <v>1895</v>
      </c>
      <c r="I94" s="11">
        <v>0</v>
      </c>
      <c r="J94" s="13" t="s">
        <v>27</v>
      </c>
      <c r="K94" s="20" t="str">
        <f>IF(Table3[[#This Row],[Qty]]&gt;5,"High","Low")</f>
        <v>High</v>
      </c>
      <c r="L94" s="6" t="str">
        <f>IF(Table3[[#This Row],[Status]]="Completed","Done","Not Done")</f>
        <v>Done</v>
      </c>
      <c r="M94" s="6" t="str">
        <f>IF(Table3[[#This Row],[Discount]]&gt;0,"Discounted","No Discount")</f>
        <v>No Discount</v>
      </c>
      <c r="N94" s="8" t="str">
        <f>IF(Table3[[#This Row],[UnitPrice]]&gt;=1000,"Expensive","Affordable")</f>
        <v>Expensive</v>
      </c>
      <c r="O94" s="8" t="str">
        <f>IF(Table3[[#This Row],[Region]]="Dhaka","Local","Outside")</f>
        <v>Local</v>
      </c>
      <c r="P94" s="21"/>
      <c r="Q94" s="21"/>
      <c r="R94" s="21"/>
    </row>
    <row r="95" spans="1:18" x14ac:dyDescent="0.25">
      <c r="A95" s="16">
        <v>1095</v>
      </c>
      <c r="B95" s="17">
        <v>46100</v>
      </c>
      <c r="C95" s="18" t="s">
        <v>20</v>
      </c>
      <c r="D95" s="18" t="s">
        <v>16</v>
      </c>
      <c r="E95" s="18" t="s">
        <v>12</v>
      </c>
      <c r="F95" s="18" t="s">
        <v>13</v>
      </c>
      <c r="G95" s="16">
        <v>5</v>
      </c>
      <c r="H95" s="19">
        <v>944</v>
      </c>
      <c r="I95" s="16">
        <v>10</v>
      </c>
      <c r="J95" s="18" t="s">
        <v>27</v>
      </c>
      <c r="K95" s="20" t="str">
        <f>IF(Table3[[#This Row],[Qty]]&gt;5,"High","Low")</f>
        <v>Low</v>
      </c>
      <c r="L95" s="6" t="str">
        <f>IF(Table3[[#This Row],[Status]]="Completed","Done","Not Done")</f>
        <v>Done</v>
      </c>
      <c r="M95" s="6" t="str">
        <f>IF(Table3[[#This Row],[Discount]]&gt;0,"Discounted","No Discount")</f>
        <v>Discounted</v>
      </c>
      <c r="N95" s="8" t="str">
        <f>IF(Table3[[#This Row],[UnitPrice]]&gt;=1000,"Expensive","Affordable")</f>
        <v>Affordable</v>
      </c>
      <c r="O95" s="8" t="str">
        <f>IF(Table3[[#This Row],[Region]]="Dhaka","Local","Outside")</f>
        <v>Outside</v>
      </c>
      <c r="P95" s="8"/>
      <c r="Q95" s="8"/>
      <c r="R95" s="8"/>
    </row>
    <row r="96" spans="1:18" x14ac:dyDescent="0.25">
      <c r="A96" s="11">
        <v>1096</v>
      </c>
      <c r="B96" s="12">
        <v>46106</v>
      </c>
      <c r="C96" s="13" t="s">
        <v>10</v>
      </c>
      <c r="D96" s="13" t="s">
        <v>11</v>
      </c>
      <c r="E96" s="13" t="s">
        <v>25</v>
      </c>
      <c r="F96" s="13" t="s">
        <v>18</v>
      </c>
      <c r="G96" s="11">
        <v>4</v>
      </c>
      <c r="H96" s="14">
        <v>1566</v>
      </c>
      <c r="I96" s="11">
        <v>5</v>
      </c>
      <c r="J96" s="13" t="s">
        <v>19</v>
      </c>
      <c r="K96" s="20" t="str">
        <f>IF(Table3[[#This Row],[Qty]]&gt;5,"High","Low")</f>
        <v>Low</v>
      </c>
      <c r="L96" s="6" t="str">
        <f>IF(Table3[[#This Row],[Status]]="Completed","Done","Not Done")</f>
        <v>Not Done</v>
      </c>
      <c r="M96" s="6" t="str">
        <f>IF(Table3[[#This Row],[Discount]]&gt;0,"Discounted","No Discount")</f>
        <v>Discounted</v>
      </c>
      <c r="N96" s="8" t="str">
        <f>IF(Table3[[#This Row],[UnitPrice]]&gt;=1000,"Expensive","Affordable")</f>
        <v>Expensive</v>
      </c>
      <c r="O96" s="8" t="str">
        <f>IF(Table3[[#This Row],[Region]]="Dhaka","Local","Outside")</f>
        <v>Outside</v>
      </c>
      <c r="P96" s="21"/>
      <c r="Q96" s="21"/>
      <c r="R96" s="21"/>
    </row>
    <row r="97" spans="1:18" x14ac:dyDescent="0.25">
      <c r="A97" s="16">
        <v>1097</v>
      </c>
      <c r="B97" s="17">
        <v>46169</v>
      </c>
      <c r="C97" s="18" t="s">
        <v>29</v>
      </c>
      <c r="D97" s="18" t="s">
        <v>16</v>
      </c>
      <c r="E97" s="18" t="s">
        <v>26</v>
      </c>
      <c r="F97" s="18" t="s">
        <v>23</v>
      </c>
      <c r="G97" s="16">
        <v>10</v>
      </c>
      <c r="H97" s="19">
        <v>1759</v>
      </c>
      <c r="I97" s="16">
        <v>5</v>
      </c>
      <c r="J97" s="18" t="s">
        <v>19</v>
      </c>
      <c r="K97" s="20" t="str">
        <f>IF(Table3[[#This Row],[Qty]]&gt;5,"High","Low")</f>
        <v>High</v>
      </c>
      <c r="L97" s="6" t="str">
        <f>IF(Table3[[#This Row],[Status]]="Completed","Done","Not Done")</f>
        <v>Not Done</v>
      </c>
      <c r="M97" s="6" t="str">
        <f>IF(Table3[[#This Row],[Discount]]&gt;0,"Discounted","No Discount")</f>
        <v>Discounted</v>
      </c>
      <c r="N97" s="8" t="str">
        <f>IF(Table3[[#This Row],[UnitPrice]]&gt;=1000,"Expensive","Affordable")</f>
        <v>Expensive</v>
      </c>
      <c r="O97" s="8" t="str">
        <f>IF(Table3[[#This Row],[Region]]="Dhaka","Local","Outside")</f>
        <v>Outside</v>
      </c>
      <c r="P97" s="8"/>
      <c r="Q97" s="8"/>
      <c r="R97" s="8"/>
    </row>
    <row r="98" spans="1:18" x14ac:dyDescent="0.25">
      <c r="A98" s="11">
        <v>1098</v>
      </c>
      <c r="B98" s="12">
        <v>46194</v>
      </c>
      <c r="C98" s="13" t="s">
        <v>29</v>
      </c>
      <c r="D98" s="13" t="s">
        <v>21</v>
      </c>
      <c r="E98" s="13" t="s">
        <v>31</v>
      </c>
      <c r="F98" s="13" t="s">
        <v>13</v>
      </c>
      <c r="G98" s="11">
        <v>3</v>
      </c>
      <c r="H98" s="14">
        <v>1473</v>
      </c>
      <c r="I98" s="11">
        <v>15</v>
      </c>
      <c r="J98" s="13" t="s">
        <v>19</v>
      </c>
      <c r="K98" s="20" t="str">
        <f>IF(Table3[[#This Row],[Qty]]&gt;5,"High","Low")</f>
        <v>Low</v>
      </c>
      <c r="L98" s="6" t="str">
        <f>IF(Table3[[#This Row],[Status]]="Completed","Done","Not Done")</f>
        <v>Not Done</v>
      </c>
      <c r="M98" s="6" t="str">
        <f>IF(Table3[[#This Row],[Discount]]&gt;0,"Discounted","No Discount")</f>
        <v>Discounted</v>
      </c>
      <c r="N98" s="8" t="str">
        <f>IF(Table3[[#This Row],[UnitPrice]]&gt;=1000,"Expensive","Affordable")</f>
        <v>Expensive</v>
      </c>
      <c r="O98" s="8" t="str">
        <f>IF(Table3[[#This Row],[Region]]="Dhaka","Local","Outside")</f>
        <v>Outside</v>
      </c>
      <c r="P98" s="21"/>
      <c r="Q98" s="21"/>
      <c r="R98" s="21"/>
    </row>
    <row r="99" spans="1:18" x14ac:dyDescent="0.25">
      <c r="A99" s="16">
        <v>1099</v>
      </c>
      <c r="B99" s="17">
        <v>46077</v>
      </c>
      <c r="C99" s="18" t="s">
        <v>10</v>
      </c>
      <c r="D99" s="18" t="s">
        <v>28</v>
      </c>
      <c r="E99" s="18" t="s">
        <v>25</v>
      </c>
      <c r="F99" s="18" t="s">
        <v>18</v>
      </c>
      <c r="G99" s="16">
        <v>10</v>
      </c>
      <c r="H99" s="19">
        <v>455</v>
      </c>
      <c r="I99" s="16">
        <v>5</v>
      </c>
      <c r="J99" s="18" t="s">
        <v>14</v>
      </c>
      <c r="K99" s="20" t="str">
        <f>IF(Table3[[#This Row],[Qty]]&gt;5,"High","Low")</f>
        <v>High</v>
      </c>
      <c r="L99" s="6" t="str">
        <f>IF(Table3[[#This Row],[Status]]="Completed","Done","Not Done")</f>
        <v>Not Done</v>
      </c>
      <c r="M99" s="6" t="str">
        <f>IF(Table3[[#This Row],[Discount]]&gt;0,"Discounted","No Discount")</f>
        <v>Discounted</v>
      </c>
      <c r="N99" s="8" t="str">
        <f>IF(Table3[[#This Row],[UnitPrice]]&gt;=1000,"Expensive","Affordable")</f>
        <v>Affordable</v>
      </c>
      <c r="O99" s="8" t="str">
        <f>IF(Table3[[#This Row],[Region]]="Dhaka","Local","Outside")</f>
        <v>Outside</v>
      </c>
      <c r="P99" s="8"/>
      <c r="Q99" s="8"/>
      <c r="R99" s="8"/>
    </row>
    <row r="100" spans="1:18" x14ac:dyDescent="0.25">
      <c r="A100" s="11">
        <v>1100</v>
      </c>
      <c r="B100" s="12">
        <v>46107</v>
      </c>
      <c r="C100" s="13" t="s">
        <v>15</v>
      </c>
      <c r="D100" s="13" t="s">
        <v>21</v>
      </c>
      <c r="E100" s="13" t="s">
        <v>22</v>
      </c>
      <c r="F100" s="13" t="s">
        <v>23</v>
      </c>
      <c r="G100" s="11">
        <v>8</v>
      </c>
      <c r="H100" s="14">
        <v>185</v>
      </c>
      <c r="I100" s="11">
        <v>5</v>
      </c>
      <c r="J100" s="13" t="s">
        <v>19</v>
      </c>
      <c r="K100" s="20" t="str">
        <f>IF(Table3[[#This Row],[Qty]]&gt;5,"High","Low")</f>
        <v>High</v>
      </c>
      <c r="L100" s="6" t="str">
        <f>IF(Table3[[#This Row],[Status]]="Completed","Done","Not Done")</f>
        <v>Not Done</v>
      </c>
      <c r="M100" s="6" t="str">
        <f>IF(Table3[[#This Row],[Discount]]&gt;0,"Discounted","No Discount")</f>
        <v>Discounted</v>
      </c>
      <c r="N100" s="8" t="str">
        <f>IF(Table3[[#This Row],[UnitPrice]]&gt;=1000,"Expensive","Affordable")</f>
        <v>Affordable</v>
      </c>
      <c r="O100" s="8" t="str">
        <f>IF(Table3[[#This Row],[Region]]="Dhaka","Local","Outside")</f>
        <v>Local</v>
      </c>
      <c r="P100" s="21"/>
      <c r="Q100" s="21"/>
      <c r="R100" s="21"/>
    </row>
    <row r="101" spans="1:18" x14ac:dyDescent="0.25">
      <c r="A101" s="16">
        <v>1101</v>
      </c>
      <c r="B101" s="17">
        <v>46186</v>
      </c>
      <c r="C101" s="18" t="s">
        <v>29</v>
      </c>
      <c r="D101" s="18" t="s">
        <v>30</v>
      </c>
      <c r="E101" s="18" t="s">
        <v>31</v>
      </c>
      <c r="F101" s="18" t="s">
        <v>13</v>
      </c>
      <c r="G101" s="16">
        <v>4</v>
      </c>
      <c r="H101" s="19">
        <v>1570</v>
      </c>
      <c r="I101" s="16">
        <v>0</v>
      </c>
      <c r="J101" s="18" t="s">
        <v>19</v>
      </c>
      <c r="K101" s="20" t="str">
        <f>IF(Table3[[#This Row],[Qty]]&gt;5,"High","Low")</f>
        <v>Low</v>
      </c>
      <c r="L101" s="6" t="str">
        <f>IF(Table3[[#This Row],[Status]]="Completed","Done","Not Done")</f>
        <v>Not Done</v>
      </c>
      <c r="M101" s="6" t="str">
        <f>IF(Table3[[#This Row],[Discount]]&gt;0,"Discounted","No Discount")</f>
        <v>No Discount</v>
      </c>
      <c r="N101" s="8" t="str">
        <f>IF(Table3[[#This Row],[UnitPrice]]&gt;=1000,"Expensive","Affordable")</f>
        <v>Expensive</v>
      </c>
      <c r="O101" s="8" t="str">
        <f>IF(Table3[[#This Row],[Region]]="Dhaka","Local","Outside")</f>
        <v>Outside</v>
      </c>
      <c r="P101" s="8"/>
      <c r="Q101" s="8"/>
      <c r="R101" s="8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2BD1C-E3E1-4DAE-B473-77A41921DFF3}">
  <dimension ref="A1:N101"/>
  <sheetViews>
    <sheetView workbookViewId="0">
      <selection activeCell="Q11" sqref="Q11"/>
    </sheetView>
  </sheetViews>
  <sheetFormatPr defaultRowHeight="15" x14ac:dyDescent="0.25"/>
  <cols>
    <col min="1" max="1" width="12.5703125" bestFit="1" customWidth="1"/>
    <col min="2" max="2" width="9.7109375" bestFit="1" customWidth="1"/>
    <col min="3" max="3" width="11.7109375" bestFit="1" customWidth="1"/>
    <col min="4" max="4" width="16.28515625" bestFit="1" customWidth="1"/>
    <col min="5" max="5" width="12.42578125" bestFit="1" customWidth="1"/>
    <col min="6" max="6" width="13.42578125" bestFit="1" customWidth="1"/>
    <col min="7" max="7" width="8.7109375" bestFit="1" customWidth="1"/>
    <col min="8" max="8" width="13.85546875" bestFit="1" customWidth="1"/>
    <col min="9" max="9" width="13.28515625" bestFit="1" customWidth="1"/>
    <col min="10" max="10" width="11" bestFit="1" customWidth="1"/>
    <col min="11" max="13" width="13.42578125" bestFit="1" customWidth="1"/>
  </cols>
  <sheetData>
    <row r="1" spans="1:14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23" t="s">
        <v>42</v>
      </c>
      <c r="L1" s="23" t="s">
        <v>47</v>
      </c>
      <c r="M1" s="23" t="s">
        <v>48</v>
      </c>
      <c r="N1" s="23" t="s">
        <v>49</v>
      </c>
    </row>
    <row r="2" spans="1:14" x14ac:dyDescent="0.25">
      <c r="A2" s="11">
        <v>1002</v>
      </c>
      <c r="B2" s="12">
        <v>46174</v>
      </c>
      <c r="C2" s="13" t="s">
        <v>10</v>
      </c>
      <c r="D2" s="13" t="s">
        <v>11</v>
      </c>
      <c r="E2" s="13" t="s">
        <v>12</v>
      </c>
      <c r="F2" s="13" t="s">
        <v>13</v>
      </c>
      <c r="G2" s="11">
        <v>1</v>
      </c>
      <c r="H2" s="14">
        <v>351</v>
      </c>
      <c r="I2" s="11">
        <v>15</v>
      </c>
      <c r="J2" s="13" t="s">
        <v>14</v>
      </c>
      <c r="K2" s="26" t="str">
        <f>IF(Table35[[#This Row],[Qty]]&gt;=8,"Excellent",IF(Table35[[#This Row],[Qty]]&gt;=5,"Good",IF(Table35[[#This Row],[Qty]]&gt;=3,"Average","Poor")))</f>
        <v>Poor</v>
      </c>
      <c r="L2" s="26" t="str">
        <f>IF(Table35[[#This Row],[Discount]]&gt;=10,"High",IF(Table35[[#This Row],[Discount]]&gt;=5,"Medium","No Discount"))</f>
        <v>High</v>
      </c>
      <c r="M2" s="26" t="str">
        <f>IF(Table35[[#This Row],[Status]]="Completed","Done",IF(Table35[[#This Row],[Status]]="Pending","Waiting","Rejected"))</f>
        <v>Waiting</v>
      </c>
      <c r="N2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3" spans="1:14" x14ac:dyDescent="0.25">
      <c r="A3" s="16">
        <v>1003</v>
      </c>
      <c r="B3" s="17">
        <v>46122</v>
      </c>
      <c r="C3" s="18" t="s">
        <v>15</v>
      </c>
      <c r="D3" s="18" t="s">
        <v>16</v>
      </c>
      <c r="E3" s="18" t="s">
        <v>17</v>
      </c>
      <c r="F3" s="18" t="s">
        <v>18</v>
      </c>
      <c r="G3" s="16">
        <v>3</v>
      </c>
      <c r="H3" s="19">
        <v>1736</v>
      </c>
      <c r="I3" s="16">
        <v>5</v>
      </c>
      <c r="J3" s="18" t="s">
        <v>19</v>
      </c>
      <c r="K3" s="26" t="str">
        <f>IF(Table35[[#This Row],[Qty]]&gt;=8,"Excellent",IF(Table35[[#This Row],[Qty]]&gt;=5,"Good",IF(Table35[[#This Row],[Qty]]&gt;=3,"Average","Poor")))</f>
        <v>Average</v>
      </c>
      <c r="L3" s="26" t="str">
        <f>IF(Table35[[#This Row],[Discount]]&gt;=10,"High",IF(Table35[[#This Row],[Discount]]&gt;=5,"Medium","No Discount"))</f>
        <v>Medium</v>
      </c>
      <c r="M3" s="26" t="str">
        <f>IF(Table35[[#This Row],[Status]]="Completed","Done",IF(Table35[[#This Row],[Status]]="Pending","Waiting","Rejected"))</f>
        <v>Rejected</v>
      </c>
      <c r="N3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4" spans="1:14" x14ac:dyDescent="0.25">
      <c r="A4" s="11">
        <v>1004</v>
      </c>
      <c r="B4" s="12">
        <v>46116</v>
      </c>
      <c r="C4" s="13" t="s">
        <v>20</v>
      </c>
      <c r="D4" s="13" t="s">
        <v>21</v>
      </c>
      <c r="E4" s="13" t="s">
        <v>22</v>
      </c>
      <c r="F4" s="13" t="s">
        <v>23</v>
      </c>
      <c r="G4" s="11">
        <v>4</v>
      </c>
      <c r="H4" s="14">
        <v>1799</v>
      </c>
      <c r="I4" s="11">
        <v>10</v>
      </c>
      <c r="J4" s="13" t="s">
        <v>14</v>
      </c>
      <c r="K4" s="26" t="str">
        <f>IF(Table35[[#This Row],[Qty]]&gt;=8,"Excellent",IF(Table35[[#This Row],[Qty]]&gt;=5,"Good",IF(Table35[[#This Row],[Qty]]&gt;=3,"Average","Poor")))</f>
        <v>Average</v>
      </c>
      <c r="L4" s="26" t="str">
        <f>IF(Table35[[#This Row],[Discount]]&gt;=10,"High",IF(Table35[[#This Row],[Discount]]&gt;=5,"Medium","No Discount"))</f>
        <v>High</v>
      </c>
      <c r="M4" s="26" t="str">
        <f>IF(Table35[[#This Row],[Status]]="Completed","Done",IF(Table35[[#This Row],[Status]]="Pending","Waiting","Rejected"))</f>
        <v>Waiting</v>
      </c>
      <c r="N4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5" spans="1:14" x14ac:dyDescent="0.25">
      <c r="A5" s="16">
        <v>1005</v>
      </c>
      <c r="B5" s="17">
        <v>46199</v>
      </c>
      <c r="C5" s="18" t="s">
        <v>10</v>
      </c>
      <c r="D5" s="18" t="s">
        <v>24</v>
      </c>
      <c r="E5" s="18" t="s">
        <v>25</v>
      </c>
      <c r="F5" s="18" t="s">
        <v>18</v>
      </c>
      <c r="G5" s="16">
        <v>5</v>
      </c>
      <c r="H5" s="19">
        <v>1140</v>
      </c>
      <c r="I5" s="16">
        <v>5</v>
      </c>
      <c r="J5" s="18" t="s">
        <v>14</v>
      </c>
      <c r="K5" s="26" t="str">
        <f>IF(Table35[[#This Row],[Qty]]&gt;=8,"Excellent",IF(Table35[[#This Row],[Qty]]&gt;=5,"Good",IF(Table35[[#This Row],[Qty]]&gt;=3,"Average","Poor")))</f>
        <v>Good</v>
      </c>
      <c r="L5" s="26" t="str">
        <f>IF(Table35[[#This Row],[Discount]]&gt;=10,"High",IF(Table35[[#This Row],[Discount]]&gt;=5,"Medium","No Discount"))</f>
        <v>Medium</v>
      </c>
      <c r="M5" s="26" t="str">
        <f>IF(Table35[[#This Row],[Status]]="Completed","Done",IF(Table35[[#This Row],[Status]]="Pending","Waiting","Rejected"))</f>
        <v>Waiting</v>
      </c>
      <c r="N5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6" spans="1:14" x14ac:dyDescent="0.25">
      <c r="A6" s="11">
        <v>1006</v>
      </c>
      <c r="B6" s="12">
        <v>46158</v>
      </c>
      <c r="C6" s="13" t="s">
        <v>20</v>
      </c>
      <c r="D6" s="13" t="s">
        <v>21</v>
      </c>
      <c r="E6" s="13" t="s">
        <v>25</v>
      </c>
      <c r="F6" s="13" t="s">
        <v>18</v>
      </c>
      <c r="G6" s="11">
        <v>8</v>
      </c>
      <c r="H6" s="14">
        <v>1618</v>
      </c>
      <c r="I6" s="11">
        <v>15</v>
      </c>
      <c r="J6" s="13" t="s">
        <v>19</v>
      </c>
      <c r="K6" s="26" t="str">
        <f>IF(Table35[[#This Row],[Qty]]&gt;=8,"Excellent",IF(Table35[[#This Row],[Qty]]&gt;=5,"Good",IF(Table35[[#This Row],[Qty]]&gt;=3,"Average","Poor")))</f>
        <v>Excellent</v>
      </c>
      <c r="L6" s="26" t="str">
        <f>IF(Table35[[#This Row],[Discount]]&gt;=10,"High",IF(Table35[[#This Row],[Discount]]&gt;=5,"Medium","No Discount"))</f>
        <v>High</v>
      </c>
      <c r="M6" s="26" t="str">
        <f>IF(Table35[[#This Row],[Status]]="Completed","Done",IF(Table35[[#This Row],[Status]]="Pending","Waiting","Rejected"))</f>
        <v>Rejected</v>
      </c>
      <c r="N6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Gold</v>
      </c>
    </row>
    <row r="7" spans="1:14" x14ac:dyDescent="0.25">
      <c r="A7" s="16">
        <v>1007</v>
      </c>
      <c r="B7" s="17">
        <v>46106</v>
      </c>
      <c r="C7" s="18" t="s">
        <v>10</v>
      </c>
      <c r="D7" s="18" t="s">
        <v>16</v>
      </c>
      <c r="E7" s="18" t="s">
        <v>26</v>
      </c>
      <c r="F7" s="18" t="s">
        <v>23</v>
      </c>
      <c r="G7" s="16">
        <v>8</v>
      </c>
      <c r="H7" s="19">
        <v>297</v>
      </c>
      <c r="I7" s="16">
        <v>10</v>
      </c>
      <c r="J7" s="18" t="s">
        <v>27</v>
      </c>
      <c r="K7" s="26" t="str">
        <f>IF(Table35[[#This Row],[Qty]]&gt;=8,"Excellent",IF(Table35[[#This Row],[Qty]]&gt;=5,"Good",IF(Table35[[#This Row],[Qty]]&gt;=3,"Average","Poor")))</f>
        <v>Excellent</v>
      </c>
      <c r="L7" s="26" t="str">
        <f>IF(Table35[[#This Row],[Discount]]&gt;=10,"High",IF(Table35[[#This Row],[Discount]]&gt;=5,"Medium","No Discount"))</f>
        <v>High</v>
      </c>
      <c r="M7" s="26" t="str">
        <f>IF(Table35[[#This Row],[Status]]="Completed","Done",IF(Table35[[#This Row],[Status]]="Pending","Waiting","Rejected"))</f>
        <v>Done</v>
      </c>
      <c r="N7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8" spans="1:14" x14ac:dyDescent="0.25">
      <c r="A8" s="11">
        <v>1008</v>
      </c>
      <c r="B8" s="12">
        <v>46127</v>
      </c>
      <c r="C8" s="13" t="s">
        <v>15</v>
      </c>
      <c r="D8" s="13" t="s">
        <v>28</v>
      </c>
      <c r="E8" s="13" t="s">
        <v>17</v>
      </c>
      <c r="F8" s="13" t="s">
        <v>18</v>
      </c>
      <c r="G8" s="11">
        <v>1</v>
      </c>
      <c r="H8" s="14">
        <v>1768</v>
      </c>
      <c r="I8" s="11">
        <v>5</v>
      </c>
      <c r="J8" s="13" t="s">
        <v>19</v>
      </c>
      <c r="K8" s="26" t="str">
        <f>IF(Table35[[#This Row],[Qty]]&gt;=8,"Excellent",IF(Table35[[#This Row],[Qty]]&gt;=5,"Good",IF(Table35[[#This Row],[Qty]]&gt;=3,"Average","Poor")))</f>
        <v>Poor</v>
      </c>
      <c r="L8" s="26" t="str">
        <f>IF(Table35[[#This Row],[Discount]]&gt;=10,"High",IF(Table35[[#This Row],[Discount]]&gt;=5,"Medium","No Discount"))</f>
        <v>Medium</v>
      </c>
      <c r="M8" s="26" t="str">
        <f>IF(Table35[[#This Row],[Status]]="Completed","Done",IF(Table35[[#This Row],[Status]]="Pending","Waiting","Rejected"))</f>
        <v>Rejected</v>
      </c>
      <c r="N8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9" spans="1:14" x14ac:dyDescent="0.25">
      <c r="A9" s="16">
        <v>1009</v>
      </c>
      <c r="B9" s="17">
        <v>46192</v>
      </c>
      <c r="C9" s="18" t="s">
        <v>29</v>
      </c>
      <c r="D9" s="18" t="s">
        <v>24</v>
      </c>
      <c r="E9" s="18" t="s">
        <v>12</v>
      </c>
      <c r="F9" s="18" t="s">
        <v>13</v>
      </c>
      <c r="G9" s="16">
        <v>3</v>
      </c>
      <c r="H9" s="19">
        <v>1291</v>
      </c>
      <c r="I9" s="16">
        <v>15</v>
      </c>
      <c r="J9" s="18" t="s">
        <v>19</v>
      </c>
      <c r="K9" s="26" t="str">
        <f>IF(Table35[[#This Row],[Qty]]&gt;=8,"Excellent",IF(Table35[[#This Row],[Qty]]&gt;=5,"Good",IF(Table35[[#This Row],[Qty]]&gt;=3,"Average","Poor")))</f>
        <v>Average</v>
      </c>
      <c r="L9" s="26" t="str">
        <f>IF(Table35[[#This Row],[Discount]]&gt;=10,"High",IF(Table35[[#This Row],[Discount]]&gt;=5,"Medium","No Discount"))</f>
        <v>High</v>
      </c>
      <c r="M9" s="26" t="str">
        <f>IF(Table35[[#This Row],[Status]]="Completed","Done",IF(Table35[[#This Row],[Status]]="Pending","Waiting","Rejected"))</f>
        <v>Rejected</v>
      </c>
      <c r="N9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10" spans="1:14" x14ac:dyDescent="0.25">
      <c r="A10" s="11">
        <v>1010</v>
      </c>
      <c r="B10" s="12">
        <v>46167</v>
      </c>
      <c r="C10" s="13" t="s">
        <v>29</v>
      </c>
      <c r="D10" s="13" t="s">
        <v>11</v>
      </c>
      <c r="E10" s="13" t="s">
        <v>17</v>
      </c>
      <c r="F10" s="13" t="s">
        <v>18</v>
      </c>
      <c r="G10" s="11">
        <v>3</v>
      </c>
      <c r="H10" s="14">
        <v>1332</v>
      </c>
      <c r="I10" s="11">
        <v>5</v>
      </c>
      <c r="J10" s="13" t="s">
        <v>27</v>
      </c>
      <c r="K10" s="26" t="str">
        <f>IF(Table35[[#This Row],[Qty]]&gt;=8,"Excellent",IF(Table35[[#This Row],[Qty]]&gt;=5,"Good",IF(Table35[[#This Row],[Qty]]&gt;=3,"Average","Poor")))</f>
        <v>Average</v>
      </c>
      <c r="L10" s="26" t="str">
        <f>IF(Table35[[#This Row],[Discount]]&gt;=10,"High",IF(Table35[[#This Row],[Discount]]&gt;=5,"Medium","No Discount"))</f>
        <v>Medium</v>
      </c>
      <c r="M10" s="26" t="str">
        <f>IF(Table35[[#This Row],[Status]]="Completed","Done",IF(Table35[[#This Row],[Status]]="Pending","Waiting","Rejected"))</f>
        <v>Done</v>
      </c>
      <c r="N10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11" spans="1:14" x14ac:dyDescent="0.25">
      <c r="A11" s="16">
        <v>1011</v>
      </c>
      <c r="B11" s="17">
        <v>46090</v>
      </c>
      <c r="C11" s="18" t="s">
        <v>15</v>
      </c>
      <c r="D11" s="18" t="s">
        <v>16</v>
      </c>
      <c r="E11" s="18" t="s">
        <v>12</v>
      </c>
      <c r="F11" s="18" t="s">
        <v>13</v>
      </c>
      <c r="G11" s="16">
        <v>5</v>
      </c>
      <c r="H11" s="19">
        <v>1764</v>
      </c>
      <c r="I11" s="16">
        <v>10</v>
      </c>
      <c r="J11" s="18" t="s">
        <v>19</v>
      </c>
      <c r="K11" s="26" t="str">
        <f>IF(Table35[[#This Row],[Qty]]&gt;=8,"Excellent",IF(Table35[[#This Row],[Qty]]&gt;=5,"Good",IF(Table35[[#This Row],[Qty]]&gt;=3,"Average","Poor")))</f>
        <v>Good</v>
      </c>
      <c r="L11" s="26" t="str">
        <f>IF(Table35[[#This Row],[Discount]]&gt;=10,"High",IF(Table35[[#This Row],[Discount]]&gt;=5,"Medium","No Discount"))</f>
        <v>High</v>
      </c>
      <c r="M11" s="26" t="str">
        <f>IF(Table35[[#This Row],[Status]]="Completed","Done",IF(Table35[[#This Row],[Status]]="Pending","Waiting","Rejected"))</f>
        <v>Rejected</v>
      </c>
      <c r="N11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12" spans="1:14" x14ac:dyDescent="0.25">
      <c r="A12" s="11">
        <v>1012</v>
      </c>
      <c r="B12" s="12">
        <v>46034</v>
      </c>
      <c r="C12" s="13" t="s">
        <v>10</v>
      </c>
      <c r="D12" s="13" t="s">
        <v>30</v>
      </c>
      <c r="E12" s="13" t="s">
        <v>12</v>
      </c>
      <c r="F12" s="13" t="s">
        <v>13</v>
      </c>
      <c r="G12" s="11">
        <v>3</v>
      </c>
      <c r="H12" s="14">
        <v>139</v>
      </c>
      <c r="I12" s="11">
        <v>10</v>
      </c>
      <c r="J12" s="13" t="s">
        <v>19</v>
      </c>
      <c r="K12" s="26" t="str">
        <f>IF(Table35[[#This Row],[Qty]]&gt;=8,"Excellent",IF(Table35[[#This Row],[Qty]]&gt;=5,"Good",IF(Table35[[#This Row],[Qty]]&gt;=3,"Average","Poor")))</f>
        <v>Average</v>
      </c>
      <c r="L12" s="26" t="str">
        <f>IF(Table35[[#This Row],[Discount]]&gt;=10,"High",IF(Table35[[#This Row],[Discount]]&gt;=5,"Medium","No Discount"))</f>
        <v>High</v>
      </c>
      <c r="M12" s="26" t="str">
        <f>IF(Table35[[#This Row],[Status]]="Completed","Done",IF(Table35[[#This Row],[Status]]="Pending","Waiting","Rejected"))</f>
        <v>Rejected</v>
      </c>
      <c r="N12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13" spans="1:14" x14ac:dyDescent="0.25">
      <c r="A13" s="16">
        <v>1013</v>
      </c>
      <c r="B13" s="17">
        <v>46087</v>
      </c>
      <c r="C13" s="18" t="s">
        <v>29</v>
      </c>
      <c r="D13" s="18" t="s">
        <v>11</v>
      </c>
      <c r="E13" s="18" t="s">
        <v>31</v>
      </c>
      <c r="F13" s="18" t="s">
        <v>13</v>
      </c>
      <c r="G13" s="16">
        <v>8</v>
      </c>
      <c r="H13" s="19">
        <v>130</v>
      </c>
      <c r="I13" s="16">
        <v>10</v>
      </c>
      <c r="J13" s="18" t="s">
        <v>27</v>
      </c>
      <c r="K13" s="26" t="str">
        <f>IF(Table35[[#This Row],[Qty]]&gt;=8,"Excellent",IF(Table35[[#This Row],[Qty]]&gt;=5,"Good",IF(Table35[[#This Row],[Qty]]&gt;=3,"Average","Poor")))</f>
        <v>Excellent</v>
      </c>
      <c r="L13" s="26" t="str">
        <f>IF(Table35[[#This Row],[Discount]]&gt;=10,"High",IF(Table35[[#This Row],[Discount]]&gt;=5,"Medium","No Discount"))</f>
        <v>High</v>
      </c>
      <c r="M13" s="26" t="str">
        <f>IF(Table35[[#This Row],[Status]]="Completed","Done",IF(Table35[[#This Row],[Status]]="Pending","Waiting","Rejected"))</f>
        <v>Done</v>
      </c>
      <c r="N13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14" spans="1:14" x14ac:dyDescent="0.25">
      <c r="A14" s="11">
        <v>1014</v>
      </c>
      <c r="B14" s="12">
        <v>46061</v>
      </c>
      <c r="C14" s="13" t="s">
        <v>15</v>
      </c>
      <c r="D14" s="13" t="s">
        <v>24</v>
      </c>
      <c r="E14" s="13" t="s">
        <v>12</v>
      </c>
      <c r="F14" s="13" t="s">
        <v>13</v>
      </c>
      <c r="G14" s="11">
        <v>10</v>
      </c>
      <c r="H14" s="14">
        <v>1571</v>
      </c>
      <c r="I14" s="11">
        <v>15</v>
      </c>
      <c r="J14" s="13" t="s">
        <v>19</v>
      </c>
      <c r="K14" s="26" t="str">
        <f>IF(Table35[[#This Row],[Qty]]&gt;=8,"Excellent",IF(Table35[[#This Row],[Qty]]&gt;=5,"Good",IF(Table35[[#This Row],[Qty]]&gt;=3,"Average","Poor")))</f>
        <v>Excellent</v>
      </c>
      <c r="L14" s="26" t="str">
        <f>IF(Table35[[#This Row],[Discount]]&gt;=10,"High",IF(Table35[[#This Row],[Discount]]&gt;=5,"Medium","No Discount"))</f>
        <v>High</v>
      </c>
      <c r="M14" s="26" t="str">
        <f>IF(Table35[[#This Row],[Status]]="Completed","Done",IF(Table35[[#This Row],[Status]]="Pending","Waiting","Rejected"))</f>
        <v>Rejected</v>
      </c>
      <c r="N14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Platinum</v>
      </c>
    </row>
    <row r="15" spans="1:14" x14ac:dyDescent="0.25">
      <c r="A15" s="16">
        <v>1015</v>
      </c>
      <c r="B15" s="17">
        <v>46102</v>
      </c>
      <c r="C15" s="18" t="s">
        <v>29</v>
      </c>
      <c r="D15" s="18" t="s">
        <v>21</v>
      </c>
      <c r="E15" s="18" t="s">
        <v>12</v>
      </c>
      <c r="F15" s="18" t="s">
        <v>13</v>
      </c>
      <c r="G15" s="16">
        <v>3</v>
      </c>
      <c r="H15" s="19">
        <v>285</v>
      </c>
      <c r="I15" s="16">
        <v>0</v>
      </c>
      <c r="J15" s="18" t="s">
        <v>14</v>
      </c>
      <c r="K15" s="26" t="str">
        <f>IF(Table35[[#This Row],[Qty]]&gt;=8,"Excellent",IF(Table35[[#This Row],[Qty]]&gt;=5,"Good",IF(Table35[[#This Row],[Qty]]&gt;=3,"Average","Poor")))</f>
        <v>Average</v>
      </c>
      <c r="L15" s="26" t="str">
        <f>IF(Table35[[#This Row],[Discount]]&gt;=10,"High",IF(Table35[[#This Row],[Discount]]&gt;=5,"Medium","No Discount"))</f>
        <v>No Discount</v>
      </c>
      <c r="M15" s="26" t="str">
        <f>IF(Table35[[#This Row],[Status]]="Completed","Done",IF(Table35[[#This Row],[Status]]="Pending","Waiting","Rejected"))</f>
        <v>Waiting</v>
      </c>
      <c r="N15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16" spans="1:14" x14ac:dyDescent="0.25">
      <c r="A16" s="11">
        <v>1016</v>
      </c>
      <c r="B16" s="12">
        <v>46169</v>
      </c>
      <c r="C16" s="13" t="s">
        <v>10</v>
      </c>
      <c r="D16" s="13" t="s">
        <v>16</v>
      </c>
      <c r="E16" s="13" t="s">
        <v>12</v>
      </c>
      <c r="F16" s="13" t="s">
        <v>13</v>
      </c>
      <c r="G16" s="11">
        <v>3</v>
      </c>
      <c r="H16" s="14">
        <v>1228</v>
      </c>
      <c r="I16" s="11">
        <v>0</v>
      </c>
      <c r="J16" s="13" t="s">
        <v>19</v>
      </c>
      <c r="K16" s="26" t="str">
        <f>IF(Table35[[#This Row],[Qty]]&gt;=8,"Excellent",IF(Table35[[#This Row],[Qty]]&gt;=5,"Good",IF(Table35[[#This Row],[Qty]]&gt;=3,"Average","Poor")))</f>
        <v>Average</v>
      </c>
      <c r="L16" s="26" t="str">
        <f>IF(Table35[[#This Row],[Discount]]&gt;=10,"High",IF(Table35[[#This Row],[Discount]]&gt;=5,"Medium","No Discount"))</f>
        <v>No Discount</v>
      </c>
      <c r="M16" s="26" t="str">
        <f>IF(Table35[[#This Row],[Status]]="Completed","Done",IF(Table35[[#This Row],[Status]]="Pending","Waiting","Rejected"))</f>
        <v>Rejected</v>
      </c>
      <c r="N16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17" spans="1:14" x14ac:dyDescent="0.25">
      <c r="A17" s="16">
        <v>1017</v>
      </c>
      <c r="B17" s="17">
        <v>46101</v>
      </c>
      <c r="C17" s="18" t="s">
        <v>10</v>
      </c>
      <c r="D17" s="18" t="s">
        <v>21</v>
      </c>
      <c r="E17" s="18" t="s">
        <v>17</v>
      </c>
      <c r="F17" s="18" t="s">
        <v>18</v>
      </c>
      <c r="G17" s="16">
        <v>9</v>
      </c>
      <c r="H17" s="19">
        <v>1797</v>
      </c>
      <c r="I17" s="16">
        <v>15</v>
      </c>
      <c r="J17" s="18" t="s">
        <v>27</v>
      </c>
      <c r="K17" s="26" t="str">
        <f>IF(Table35[[#This Row],[Qty]]&gt;=8,"Excellent",IF(Table35[[#This Row],[Qty]]&gt;=5,"Good",IF(Table35[[#This Row],[Qty]]&gt;=3,"Average","Poor")))</f>
        <v>Excellent</v>
      </c>
      <c r="L17" s="26" t="str">
        <f>IF(Table35[[#This Row],[Discount]]&gt;=10,"High",IF(Table35[[#This Row],[Discount]]&gt;=5,"Medium","No Discount"))</f>
        <v>High</v>
      </c>
      <c r="M17" s="26" t="str">
        <f>IF(Table35[[#This Row],[Status]]="Completed","Done",IF(Table35[[#This Row],[Status]]="Pending","Waiting","Rejected"))</f>
        <v>Done</v>
      </c>
      <c r="N17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Platinum</v>
      </c>
    </row>
    <row r="18" spans="1:14" x14ac:dyDescent="0.25">
      <c r="A18" s="11">
        <v>1018</v>
      </c>
      <c r="B18" s="12">
        <v>46144</v>
      </c>
      <c r="C18" s="13" t="s">
        <v>20</v>
      </c>
      <c r="D18" s="13" t="s">
        <v>24</v>
      </c>
      <c r="E18" s="13" t="s">
        <v>31</v>
      </c>
      <c r="F18" s="13" t="s">
        <v>13</v>
      </c>
      <c r="G18" s="11">
        <v>5</v>
      </c>
      <c r="H18" s="14">
        <v>537</v>
      </c>
      <c r="I18" s="11">
        <v>15</v>
      </c>
      <c r="J18" s="13" t="s">
        <v>27</v>
      </c>
      <c r="K18" s="26" t="str">
        <f>IF(Table35[[#This Row],[Qty]]&gt;=8,"Excellent",IF(Table35[[#This Row],[Qty]]&gt;=5,"Good",IF(Table35[[#This Row],[Qty]]&gt;=3,"Average","Poor")))</f>
        <v>Good</v>
      </c>
      <c r="L18" s="26" t="str">
        <f>IF(Table35[[#This Row],[Discount]]&gt;=10,"High",IF(Table35[[#This Row],[Discount]]&gt;=5,"Medium","No Discount"))</f>
        <v>High</v>
      </c>
      <c r="M18" s="26" t="str">
        <f>IF(Table35[[#This Row],[Status]]="Completed","Done",IF(Table35[[#This Row],[Status]]="Pending","Waiting","Rejected"))</f>
        <v>Done</v>
      </c>
      <c r="N18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19" spans="1:14" x14ac:dyDescent="0.25">
      <c r="A19" s="16">
        <v>1019</v>
      </c>
      <c r="B19" s="17">
        <v>46046</v>
      </c>
      <c r="C19" s="18" t="s">
        <v>20</v>
      </c>
      <c r="D19" s="18" t="s">
        <v>11</v>
      </c>
      <c r="E19" s="18" t="s">
        <v>17</v>
      </c>
      <c r="F19" s="18" t="s">
        <v>18</v>
      </c>
      <c r="G19" s="16">
        <v>8</v>
      </c>
      <c r="H19" s="19">
        <v>1454</v>
      </c>
      <c r="I19" s="16">
        <v>5</v>
      </c>
      <c r="J19" s="18" t="s">
        <v>19</v>
      </c>
      <c r="K19" s="26" t="str">
        <f>IF(Table35[[#This Row],[Qty]]&gt;=8,"Excellent",IF(Table35[[#This Row],[Qty]]&gt;=5,"Good",IF(Table35[[#This Row],[Qty]]&gt;=3,"Average","Poor")))</f>
        <v>Excellent</v>
      </c>
      <c r="L19" s="26" t="str">
        <f>IF(Table35[[#This Row],[Discount]]&gt;=10,"High",IF(Table35[[#This Row],[Discount]]&gt;=5,"Medium","No Discount"))</f>
        <v>Medium</v>
      </c>
      <c r="M19" s="26" t="str">
        <f>IF(Table35[[#This Row],[Status]]="Completed","Done",IF(Table35[[#This Row],[Status]]="Pending","Waiting","Rejected"))</f>
        <v>Rejected</v>
      </c>
      <c r="N19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Gold</v>
      </c>
    </row>
    <row r="20" spans="1:14" x14ac:dyDescent="0.25">
      <c r="A20" s="11">
        <v>1020</v>
      </c>
      <c r="B20" s="12">
        <v>46125</v>
      </c>
      <c r="C20" s="13" t="s">
        <v>20</v>
      </c>
      <c r="D20" s="13" t="s">
        <v>21</v>
      </c>
      <c r="E20" s="13" t="s">
        <v>12</v>
      </c>
      <c r="F20" s="13" t="s">
        <v>13</v>
      </c>
      <c r="G20" s="11">
        <v>3</v>
      </c>
      <c r="H20" s="14">
        <v>1365</v>
      </c>
      <c r="I20" s="11">
        <v>10</v>
      </c>
      <c r="J20" s="13" t="s">
        <v>27</v>
      </c>
      <c r="K20" s="26" t="str">
        <f>IF(Table35[[#This Row],[Qty]]&gt;=8,"Excellent",IF(Table35[[#This Row],[Qty]]&gt;=5,"Good",IF(Table35[[#This Row],[Qty]]&gt;=3,"Average","Poor")))</f>
        <v>Average</v>
      </c>
      <c r="L20" s="26" t="str">
        <f>IF(Table35[[#This Row],[Discount]]&gt;=10,"High",IF(Table35[[#This Row],[Discount]]&gt;=5,"Medium","No Discount"))</f>
        <v>High</v>
      </c>
      <c r="M20" s="26" t="str">
        <f>IF(Table35[[#This Row],[Status]]="Completed","Done",IF(Table35[[#This Row],[Status]]="Pending","Waiting","Rejected"))</f>
        <v>Done</v>
      </c>
      <c r="N20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21" spans="1:14" x14ac:dyDescent="0.25">
      <c r="A21" s="16">
        <v>1021</v>
      </c>
      <c r="B21" s="17">
        <v>46118</v>
      </c>
      <c r="C21" s="18" t="s">
        <v>20</v>
      </c>
      <c r="D21" s="18" t="s">
        <v>24</v>
      </c>
      <c r="E21" s="18" t="s">
        <v>17</v>
      </c>
      <c r="F21" s="18" t="s">
        <v>18</v>
      </c>
      <c r="G21" s="16">
        <v>9</v>
      </c>
      <c r="H21" s="19">
        <v>231</v>
      </c>
      <c r="I21" s="16">
        <v>15</v>
      </c>
      <c r="J21" s="18" t="s">
        <v>27</v>
      </c>
      <c r="K21" s="26" t="str">
        <f>IF(Table35[[#This Row],[Qty]]&gt;=8,"Excellent",IF(Table35[[#This Row],[Qty]]&gt;=5,"Good",IF(Table35[[#This Row],[Qty]]&gt;=3,"Average","Poor")))</f>
        <v>Excellent</v>
      </c>
      <c r="L21" s="26" t="str">
        <f>IF(Table35[[#This Row],[Discount]]&gt;=10,"High",IF(Table35[[#This Row],[Discount]]&gt;=5,"Medium","No Discount"))</f>
        <v>High</v>
      </c>
      <c r="M21" s="26" t="str">
        <f>IF(Table35[[#This Row],[Status]]="Completed","Done",IF(Table35[[#This Row],[Status]]="Pending","Waiting","Rejected"))</f>
        <v>Done</v>
      </c>
      <c r="N21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22" spans="1:14" x14ac:dyDescent="0.25">
      <c r="A22" s="11">
        <v>1022</v>
      </c>
      <c r="B22" s="12">
        <v>46166</v>
      </c>
      <c r="C22" s="13" t="s">
        <v>20</v>
      </c>
      <c r="D22" s="13" t="s">
        <v>24</v>
      </c>
      <c r="E22" s="13" t="s">
        <v>26</v>
      </c>
      <c r="F22" s="13" t="s">
        <v>23</v>
      </c>
      <c r="G22" s="11">
        <v>8</v>
      </c>
      <c r="H22" s="14">
        <v>1171</v>
      </c>
      <c r="I22" s="11">
        <v>15</v>
      </c>
      <c r="J22" s="13" t="s">
        <v>19</v>
      </c>
      <c r="K22" s="26" t="str">
        <f>IF(Table35[[#This Row],[Qty]]&gt;=8,"Excellent",IF(Table35[[#This Row],[Qty]]&gt;=5,"Good",IF(Table35[[#This Row],[Qty]]&gt;=3,"Average","Poor")))</f>
        <v>Excellent</v>
      </c>
      <c r="L22" s="26" t="str">
        <f>IF(Table35[[#This Row],[Discount]]&gt;=10,"High",IF(Table35[[#This Row],[Discount]]&gt;=5,"Medium","No Discount"))</f>
        <v>High</v>
      </c>
      <c r="M22" s="26" t="str">
        <f>IF(Table35[[#This Row],[Status]]="Completed","Done",IF(Table35[[#This Row],[Status]]="Pending","Waiting","Rejected"))</f>
        <v>Rejected</v>
      </c>
      <c r="N22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23" spans="1:14" x14ac:dyDescent="0.25">
      <c r="A23" s="16">
        <v>1023</v>
      </c>
      <c r="B23" s="17">
        <v>46184</v>
      </c>
      <c r="C23" s="18" t="s">
        <v>15</v>
      </c>
      <c r="D23" s="18" t="s">
        <v>21</v>
      </c>
      <c r="E23" s="18" t="s">
        <v>22</v>
      </c>
      <c r="F23" s="18" t="s">
        <v>23</v>
      </c>
      <c r="G23" s="16">
        <v>6</v>
      </c>
      <c r="H23" s="19">
        <v>529</v>
      </c>
      <c r="I23" s="16">
        <v>10</v>
      </c>
      <c r="J23" s="18" t="s">
        <v>19</v>
      </c>
      <c r="K23" s="26" t="str">
        <f>IF(Table35[[#This Row],[Qty]]&gt;=8,"Excellent",IF(Table35[[#This Row],[Qty]]&gt;=5,"Good",IF(Table35[[#This Row],[Qty]]&gt;=3,"Average","Poor")))</f>
        <v>Good</v>
      </c>
      <c r="L23" s="26" t="str">
        <f>IF(Table35[[#This Row],[Discount]]&gt;=10,"High",IF(Table35[[#This Row],[Discount]]&gt;=5,"Medium","No Discount"))</f>
        <v>High</v>
      </c>
      <c r="M23" s="26" t="str">
        <f>IF(Table35[[#This Row],[Status]]="Completed","Done",IF(Table35[[#This Row],[Status]]="Pending","Waiting","Rejected"))</f>
        <v>Rejected</v>
      </c>
      <c r="N23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24" spans="1:14" x14ac:dyDescent="0.25">
      <c r="A24" s="11">
        <v>1024</v>
      </c>
      <c r="B24" s="12">
        <v>46100</v>
      </c>
      <c r="C24" s="13" t="s">
        <v>15</v>
      </c>
      <c r="D24" s="13" t="s">
        <v>21</v>
      </c>
      <c r="E24" s="13" t="s">
        <v>12</v>
      </c>
      <c r="F24" s="13" t="s">
        <v>13</v>
      </c>
      <c r="G24" s="11">
        <v>5</v>
      </c>
      <c r="H24" s="14">
        <v>1578</v>
      </c>
      <c r="I24" s="11">
        <v>15</v>
      </c>
      <c r="J24" s="13" t="s">
        <v>27</v>
      </c>
      <c r="K24" s="26" t="str">
        <f>IF(Table35[[#This Row],[Qty]]&gt;=8,"Excellent",IF(Table35[[#This Row],[Qty]]&gt;=5,"Good",IF(Table35[[#This Row],[Qty]]&gt;=3,"Average","Poor")))</f>
        <v>Good</v>
      </c>
      <c r="L24" s="26" t="str">
        <f>IF(Table35[[#This Row],[Discount]]&gt;=10,"High",IF(Table35[[#This Row],[Discount]]&gt;=5,"Medium","No Discount"))</f>
        <v>High</v>
      </c>
      <c r="M24" s="26" t="str">
        <f>IF(Table35[[#This Row],[Status]]="Completed","Done",IF(Table35[[#This Row],[Status]]="Pending","Waiting","Rejected"))</f>
        <v>Done</v>
      </c>
      <c r="N24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25" spans="1:14" x14ac:dyDescent="0.25">
      <c r="A25" s="16">
        <v>1025</v>
      </c>
      <c r="B25" s="17">
        <v>46142</v>
      </c>
      <c r="C25" s="18" t="s">
        <v>10</v>
      </c>
      <c r="D25" s="18" t="s">
        <v>16</v>
      </c>
      <c r="E25" s="18" t="s">
        <v>12</v>
      </c>
      <c r="F25" s="18" t="s">
        <v>13</v>
      </c>
      <c r="G25" s="16">
        <v>1</v>
      </c>
      <c r="H25" s="19">
        <v>1953</v>
      </c>
      <c r="I25" s="16">
        <v>5</v>
      </c>
      <c r="J25" s="18" t="s">
        <v>19</v>
      </c>
      <c r="K25" s="26" t="str">
        <f>IF(Table35[[#This Row],[Qty]]&gt;=8,"Excellent",IF(Table35[[#This Row],[Qty]]&gt;=5,"Good",IF(Table35[[#This Row],[Qty]]&gt;=3,"Average","Poor")))</f>
        <v>Poor</v>
      </c>
      <c r="L25" s="26" t="str">
        <f>IF(Table35[[#This Row],[Discount]]&gt;=10,"High",IF(Table35[[#This Row],[Discount]]&gt;=5,"Medium","No Discount"))</f>
        <v>Medium</v>
      </c>
      <c r="M25" s="26" t="str">
        <f>IF(Table35[[#This Row],[Status]]="Completed","Done",IF(Table35[[#This Row],[Status]]="Pending","Waiting","Rejected"))</f>
        <v>Rejected</v>
      </c>
      <c r="N25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26" spans="1:14" x14ac:dyDescent="0.25">
      <c r="A26" s="11">
        <v>1026</v>
      </c>
      <c r="B26" s="12">
        <v>46195</v>
      </c>
      <c r="C26" s="13" t="s">
        <v>15</v>
      </c>
      <c r="D26" s="13" t="s">
        <v>21</v>
      </c>
      <c r="E26" s="13" t="s">
        <v>31</v>
      </c>
      <c r="F26" s="13" t="s">
        <v>13</v>
      </c>
      <c r="G26" s="11">
        <v>4</v>
      </c>
      <c r="H26" s="14">
        <v>1360</v>
      </c>
      <c r="I26" s="11">
        <v>15</v>
      </c>
      <c r="J26" s="13" t="s">
        <v>14</v>
      </c>
      <c r="K26" s="26" t="str">
        <f>IF(Table35[[#This Row],[Qty]]&gt;=8,"Excellent",IF(Table35[[#This Row],[Qty]]&gt;=5,"Good",IF(Table35[[#This Row],[Qty]]&gt;=3,"Average","Poor")))</f>
        <v>Average</v>
      </c>
      <c r="L26" s="26" t="str">
        <f>IF(Table35[[#This Row],[Discount]]&gt;=10,"High",IF(Table35[[#This Row],[Discount]]&gt;=5,"Medium","No Discount"))</f>
        <v>High</v>
      </c>
      <c r="M26" s="26" t="str">
        <f>IF(Table35[[#This Row],[Status]]="Completed","Done",IF(Table35[[#This Row],[Status]]="Pending","Waiting","Rejected"))</f>
        <v>Waiting</v>
      </c>
      <c r="N26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27" spans="1:14" x14ac:dyDescent="0.25">
      <c r="A27" s="16">
        <v>1027</v>
      </c>
      <c r="B27" s="17">
        <v>46135</v>
      </c>
      <c r="C27" s="18" t="s">
        <v>29</v>
      </c>
      <c r="D27" s="18" t="s">
        <v>28</v>
      </c>
      <c r="E27" s="18" t="s">
        <v>17</v>
      </c>
      <c r="F27" s="18" t="s">
        <v>18</v>
      </c>
      <c r="G27" s="16">
        <v>3</v>
      </c>
      <c r="H27" s="19">
        <v>1195</v>
      </c>
      <c r="I27" s="16">
        <v>10</v>
      </c>
      <c r="J27" s="18" t="s">
        <v>14</v>
      </c>
      <c r="K27" s="26" t="str">
        <f>IF(Table35[[#This Row],[Qty]]&gt;=8,"Excellent",IF(Table35[[#This Row],[Qty]]&gt;=5,"Good",IF(Table35[[#This Row],[Qty]]&gt;=3,"Average","Poor")))</f>
        <v>Average</v>
      </c>
      <c r="L27" s="26" t="str">
        <f>IF(Table35[[#This Row],[Discount]]&gt;=10,"High",IF(Table35[[#This Row],[Discount]]&gt;=5,"Medium","No Discount"))</f>
        <v>High</v>
      </c>
      <c r="M27" s="26" t="str">
        <f>IF(Table35[[#This Row],[Status]]="Completed","Done",IF(Table35[[#This Row],[Status]]="Pending","Waiting","Rejected"))</f>
        <v>Waiting</v>
      </c>
      <c r="N27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28" spans="1:14" x14ac:dyDescent="0.25">
      <c r="A28" s="11">
        <v>1028</v>
      </c>
      <c r="B28" s="12">
        <v>46058</v>
      </c>
      <c r="C28" s="13" t="s">
        <v>10</v>
      </c>
      <c r="D28" s="13" t="s">
        <v>11</v>
      </c>
      <c r="E28" s="13" t="s">
        <v>12</v>
      </c>
      <c r="F28" s="13" t="s">
        <v>13</v>
      </c>
      <c r="G28" s="11">
        <v>8</v>
      </c>
      <c r="H28" s="14">
        <v>1103</v>
      </c>
      <c r="I28" s="11">
        <v>0</v>
      </c>
      <c r="J28" s="13" t="s">
        <v>14</v>
      </c>
      <c r="K28" s="26" t="str">
        <f>IF(Table35[[#This Row],[Qty]]&gt;=8,"Excellent",IF(Table35[[#This Row],[Qty]]&gt;=5,"Good",IF(Table35[[#This Row],[Qty]]&gt;=3,"Average","Poor")))</f>
        <v>Excellent</v>
      </c>
      <c r="L28" s="26" t="str">
        <f>IF(Table35[[#This Row],[Discount]]&gt;=10,"High",IF(Table35[[#This Row],[Discount]]&gt;=5,"Medium","No Discount"))</f>
        <v>No Discount</v>
      </c>
      <c r="M28" s="26" t="str">
        <f>IF(Table35[[#This Row],[Status]]="Completed","Done",IF(Table35[[#This Row],[Status]]="Pending","Waiting","Rejected"))</f>
        <v>Waiting</v>
      </c>
      <c r="N28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29" spans="1:14" x14ac:dyDescent="0.25">
      <c r="A29" s="16">
        <v>1029</v>
      </c>
      <c r="B29" s="17">
        <v>46046</v>
      </c>
      <c r="C29" s="18" t="s">
        <v>29</v>
      </c>
      <c r="D29" s="18" t="s">
        <v>28</v>
      </c>
      <c r="E29" s="18" t="s">
        <v>31</v>
      </c>
      <c r="F29" s="18" t="s">
        <v>13</v>
      </c>
      <c r="G29" s="16">
        <v>10</v>
      </c>
      <c r="H29" s="19">
        <v>1244</v>
      </c>
      <c r="I29" s="16">
        <v>15</v>
      </c>
      <c r="J29" s="18" t="s">
        <v>19</v>
      </c>
      <c r="K29" s="26" t="str">
        <f>IF(Table35[[#This Row],[Qty]]&gt;=8,"Excellent",IF(Table35[[#This Row],[Qty]]&gt;=5,"Good",IF(Table35[[#This Row],[Qty]]&gt;=3,"Average","Poor")))</f>
        <v>Excellent</v>
      </c>
      <c r="L29" s="26" t="str">
        <f>IF(Table35[[#This Row],[Discount]]&gt;=10,"High",IF(Table35[[#This Row],[Discount]]&gt;=5,"Medium","No Discount"))</f>
        <v>High</v>
      </c>
      <c r="M29" s="26" t="str">
        <f>IF(Table35[[#This Row],[Status]]="Completed","Done",IF(Table35[[#This Row],[Status]]="Pending","Waiting","Rejected"))</f>
        <v>Rejected</v>
      </c>
      <c r="N29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Gold</v>
      </c>
    </row>
    <row r="30" spans="1:14" x14ac:dyDescent="0.25">
      <c r="A30" s="11">
        <v>1030</v>
      </c>
      <c r="B30" s="12">
        <v>46067</v>
      </c>
      <c r="C30" s="13" t="s">
        <v>10</v>
      </c>
      <c r="D30" s="13" t="s">
        <v>21</v>
      </c>
      <c r="E30" s="13" t="s">
        <v>26</v>
      </c>
      <c r="F30" s="13" t="s">
        <v>23</v>
      </c>
      <c r="G30" s="11">
        <v>2</v>
      </c>
      <c r="H30" s="14">
        <v>1531</v>
      </c>
      <c r="I30" s="11">
        <v>0</v>
      </c>
      <c r="J30" s="13" t="s">
        <v>27</v>
      </c>
      <c r="K30" s="26" t="str">
        <f>IF(Table35[[#This Row],[Qty]]&gt;=8,"Excellent",IF(Table35[[#This Row],[Qty]]&gt;=5,"Good",IF(Table35[[#This Row],[Qty]]&gt;=3,"Average","Poor")))</f>
        <v>Poor</v>
      </c>
      <c r="L30" s="26" t="str">
        <f>IF(Table35[[#This Row],[Discount]]&gt;=10,"High",IF(Table35[[#This Row],[Discount]]&gt;=5,"Medium","No Discount"))</f>
        <v>No Discount</v>
      </c>
      <c r="M30" s="26" t="str">
        <f>IF(Table35[[#This Row],[Status]]="Completed","Done",IF(Table35[[#This Row],[Status]]="Pending","Waiting","Rejected"))</f>
        <v>Done</v>
      </c>
      <c r="N30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31" spans="1:14" x14ac:dyDescent="0.25">
      <c r="A31" s="16">
        <v>1031</v>
      </c>
      <c r="B31" s="17">
        <v>46134</v>
      </c>
      <c r="C31" s="18" t="s">
        <v>29</v>
      </c>
      <c r="D31" s="18" t="s">
        <v>24</v>
      </c>
      <c r="E31" s="18" t="s">
        <v>22</v>
      </c>
      <c r="F31" s="18" t="s">
        <v>23</v>
      </c>
      <c r="G31" s="16">
        <v>8</v>
      </c>
      <c r="H31" s="19">
        <v>550</v>
      </c>
      <c r="I31" s="16">
        <v>10</v>
      </c>
      <c r="J31" s="18" t="s">
        <v>19</v>
      </c>
      <c r="K31" s="26" t="str">
        <f>IF(Table35[[#This Row],[Qty]]&gt;=8,"Excellent",IF(Table35[[#This Row],[Qty]]&gt;=5,"Good",IF(Table35[[#This Row],[Qty]]&gt;=3,"Average","Poor")))</f>
        <v>Excellent</v>
      </c>
      <c r="L31" s="26" t="str">
        <f>IF(Table35[[#This Row],[Discount]]&gt;=10,"High",IF(Table35[[#This Row],[Discount]]&gt;=5,"Medium","No Discount"))</f>
        <v>High</v>
      </c>
      <c r="M31" s="26" t="str">
        <f>IF(Table35[[#This Row],[Status]]="Completed","Done",IF(Table35[[#This Row],[Status]]="Pending","Waiting","Rejected"))</f>
        <v>Rejected</v>
      </c>
      <c r="N31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32" spans="1:14" x14ac:dyDescent="0.25">
      <c r="A32" s="11">
        <v>1032</v>
      </c>
      <c r="B32" s="12">
        <v>46121</v>
      </c>
      <c r="C32" s="13" t="s">
        <v>20</v>
      </c>
      <c r="D32" s="13" t="s">
        <v>30</v>
      </c>
      <c r="E32" s="13" t="s">
        <v>25</v>
      </c>
      <c r="F32" s="13" t="s">
        <v>18</v>
      </c>
      <c r="G32" s="11">
        <v>5</v>
      </c>
      <c r="H32" s="14">
        <v>758</v>
      </c>
      <c r="I32" s="11">
        <v>10</v>
      </c>
      <c r="J32" s="13" t="s">
        <v>19</v>
      </c>
      <c r="K32" s="26" t="str">
        <f>IF(Table35[[#This Row],[Qty]]&gt;=8,"Excellent",IF(Table35[[#This Row],[Qty]]&gt;=5,"Good",IF(Table35[[#This Row],[Qty]]&gt;=3,"Average","Poor")))</f>
        <v>Good</v>
      </c>
      <c r="L32" s="26" t="str">
        <f>IF(Table35[[#This Row],[Discount]]&gt;=10,"High",IF(Table35[[#This Row],[Discount]]&gt;=5,"Medium","No Discount"))</f>
        <v>High</v>
      </c>
      <c r="M32" s="26" t="str">
        <f>IF(Table35[[#This Row],[Status]]="Completed","Done",IF(Table35[[#This Row],[Status]]="Pending","Waiting","Rejected"))</f>
        <v>Rejected</v>
      </c>
      <c r="N32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33" spans="1:14" x14ac:dyDescent="0.25">
      <c r="A33" s="16">
        <v>1033</v>
      </c>
      <c r="B33" s="17">
        <v>46124</v>
      </c>
      <c r="C33" s="18" t="s">
        <v>15</v>
      </c>
      <c r="D33" s="18" t="s">
        <v>30</v>
      </c>
      <c r="E33" s="18" t="s">
        <v>26</v>
      </c>
      <c r="F33" s="18" t="s">
        <v>23</v>
      </c>
      <c r="G33" s="16">
        <v>1</v>
      </c>
      <c r="H33" s="19">
        <v>1961</v>
      </c>
      <c r="I33" s="16">
        <v>0</v>
      </c>
      <c r="J33" s="18" t="s">
        <v>14</v>
      </c>
      <c r="K33" s="26" t="str">
        <f>IF(Table35[[#This Row],[Qty]]&gt;=8,"Excellent",IF(Table35[[#This Row],[Qty]]&gt;=5,"Good",IF(Table35[[#This Row],[Qty]]&gt;=3,"Average","Poor")))</f>
        <v>Poor</v>
      </c>
      <c r="L33" s="26" t="str">
        <f>IF(Table35[[#This Row],[Discount]]&gt;=10,"High",IF(Table35[[#This Row],[Discount]]&gt;=5,"Medium","No Discount"))</f>
        <v>No Discount</v>
      </c>
      <c r="M33" s="26" t="str">
        <f>IF(Table35[[#This Row],[Status]]="Completed","Done",IF(Table35[[#This Row],[Status]]="Pending","Waiting","Rejected"))</f>
        <v>Waiting</v>
      </c>
      <c r="N33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34" spans="1:14" x14ac:dyDescent="0.25">
      <c r="A34" s="11">
        <v>1034</v>
      </c>
      <c r="B34" s="12">
        <v>46041</v>
      </c>
      <c r="C34" s="13" t="s">
        <v>20</v>
      </c>
      <c r="D34" s="13" t="s">
        <v>24</v>
      </c>
      <c r="E34" s="13" t="s">
        <v>31</v>
      </c>
      <c r="F34" s="13" t="s">
        <v>13</v>
      </c>
      <c r="G34" s="11">
        <v>1</v>
      </c>
      <c r="H34" s="14">
        <v>1578</v>
      </c>
      <c r="I34" s="11">
        <v>15</v>
      </c>
      <c r="J34" s="13" t="s">
        <v>27</v>
      </c>
      <c r="K34" s="26" t="str">
        <f>IF(Table35[[#This Row],[Qty]]&gt;=8,"Excellent",IF(Table35[[#This Row],[Qty]]&gt;=5,"Good",IF(Table35[[#This Row],[Qty]]&gt;=3,"Average","Poor")))</f>
        <v>Poor</v>
      </c>
      <c r="L34" s="26" t="str">
        <f>IF(Table35[[#This Row],[Discount]]&gt;=10,"High",IF(Table35[[#This Row],[Discount]]&gt;=5,"Medium","No Discount"))</f>
        <v>High</v>
      </c>
      <c r="M34" s="26" t="str">
        <f>IF(Table35[[#This Row],[Status]]="Completed","Done",IF(Table35[[#This Row],[Status]]="Pending","Waiting","Rejected"))</f>
        <v>Done</v>
      </c>
      <c r="N34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35" spans="1:14" x14ac:dyDescent="0.25">
      <c r="A35" s="16">
        <v>1035</v>
      </c>
      <c r="B35" s="17">
        <v>46173</v>
      </c>
      <c r="C35" s="18" t="s">
        <v>29</v>
      </c>
      <c r="D35" s="18" t="s">
        <v>21</v>
      </c>
      <c r="E35" s="18" t="s">
        <v>17</v>
      </c>
      <c r="F35" s="18" t="s">
        <v>18</v>
      </c>
      <c r="G35" s="16">
        <v>4</v>
      </c>
      <c r="H35" s="19">
        <v>1219</v>
      </c>
      <c r="I35" s="16">
        <v>10</v>
      </c>
      <c r="J35" s="18" t="s">
        <v>14</v>
      </c>
      <c r="K35" s="26" t="str">
        <f>IF(Table35[[#This Row],[Qty]]&gt;=8,"Excellent",IF(Table35[[#This Row],[Qty]]&gt;=5,"Good",IF(Table35[[#This Row],[Qty]]&gt;=3,"Average","Poor")))</f>
        <v>Average</v>
      </c>
      <c r="L35" s="26" t="str">
        <f>IF(Table35[[#This Row],[Discount]]&gt;=10,"High",IF(Table35[[#This Row],[Discount]]&gt;=5,"Medium","No Discount"))</f>
        <v>High</v>
      </c>
      <c r="M35" s="26" t="str">
        <f>IF(Table35[[#This Row],[Status]]="Completed","Done",IF(Table35[[#This Row],[Status]]="Pending","Waiting","Rejected"))</f>
        <v>Waiting</v>
      </c>
      <c r="N35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36" spans="1:14" x14ac:dyDescent="0.25">
      <c r="A36" s="11">
        <v>1036</v>
      </c>
      <c r="B36" s="12">
        <v>46168</v>
      </c>
      <c r="C36" s="13" t="s">
        <v>29</v>
      </c>
      <c r="D36" s="13" t="s">
        <v>30</v>
      </c>
      <c r="E36" s="13" t="s">
        <v>12</v>
      </c>
      <c r="F36" s="13" t="s">
        <v>13</v>
      </c>
      <c r="G36" s="11">
        <v>3</v>
      </c>
      <c r="H36" s="14">
        <v>1586</v>
      </c>
      <c r="I36" s="11">
        <v>5</v>
      </c>
      <c r="J36" s="13" t="s">
        <v>27</v>
      </c>
      <c r="K36" s="26" t="str">
        <f>IF(Table35[[#This Row],[Qty]]&gt;=8,"Excellent",IF(Table35[[#This Row],[Qty]]&gt;=5,"Good",IF(Table35[[#This Row],[Qty]]&gt;=3,"Average","Poor")))</f>
        <v>Average</v>
      </c>
      <c r="L36" s="26" t="str">
        <f>IF(Table35[[#This Row],[Discount]]&gt;=10,"High",IF(Table35[[#This Row],[Discount]]&gt;=5,"Medium","No Discount"))</f>
        <v>Medium</v>
      </c>
      <c r="M36" s="26" t="str">
        <f>IF(Table35[[#This Row],[Status]]="Completed","Done",IF(Table35[[#This Row],[Status]]="Pending","Waiting","Rejected"))</f>
        <v>Done</v>
      </c>
      <c r="N36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37" spans="1:14" x14ac:dyDescent="0.25">
      <c r="A37" s="16">
        <v>1037</v>
      </c>
      <c r="B37" s="17">
        <v>46163</v>
      </c>
      <c r="C37" s="18" t="s">
        <v>15</v>
      </c>
      <c r="D37" s="18" t="s">
        <v>11</v>
      </c>
      <c r="E37" s="18" t="s">
        <v>26</v>
      </c>
      <c r="F37" s="18" t="s">
        <v>23</v>
      </c>
      <c r="G37" s="16">
        <v>10</v>
      </c>
      <c r="H37" s="19">
        <v>1260</v>
      </c>
      <c r="I37" s="16">
        <v>15</v>
      </c>
      <c r="J37" s="18" t="s">
        <v>19</v>
      </c>
      <c r="K37" s="26" t="str">
        <f>IF(Table35[[#This Row],[Qty]]&gt;=8,"Excellent",IF(Table35[[#This Row],[Qty]]&gt;=5,"Good",IF(Table35[[#This Row],[Qty]]&gt;=3,"Average","Poor")))</f>
        <v>Excellent</v>
      </c>
      <c r="L37" s="26" t="str">
        <f>IF(Table35[[#This Row],[Discount]]&gt;=10,"High",IF(Table35[[#This Row],[Discount]]&gt;=5,"Medium","No Discount"))</f>
        <v>High</v>
      </c>
      <c r="M37" s="26" t="str">
        <f>IF(Table35[[#This Row],[Status]]="Completed","Done",IF(Table35[[#This Row],[Status]]="Pending","Waiting","Rejected"))</f>
        <v>Rejected</v>
      </c>
      <c r="N37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Gold</v>
      </c>
    </row>
    <row r="38" spans="1:14" x14ac:dyDescent="0.25">
      <c r="A38" s="11">
        <v>1038</v>
      </c>
      <c r="B38" s="12">
        <v>46113</v>
      </c>
      <c r="C38" s="13" t="s">
        <v>29</v>
      </c>
      <c r="D38" s="13" t="s">
        <v>16</v>
      </c>
      <c r="E38" s="13" t="s">
        <v>12</v>
      </c>
      <c r="F38" s="13" t="s">
        <v>13</v>
      </c>
      <c r="G38" s="11">
        <v>1</v>
      </c>
      <c r="H38" s="14">
        <v>1671</v>
      </c>
      <c r="I38" s="11">
        <v>10</v>
      </c>
      <c r="J38" s="13" t="s">
        <v>27</v>
      </c>
      <c r="K38" s="26" t="str">
        <f>IF(Table35[[#This Row],[Qty]]&gt;=8,"Excellent",IF(Table35[[#This Row],[Qty]]&gt;=5,"Good",IF(Table35[[#This Row],[Qty]]&gt;=3,"Average","Poor")))</f>
        <v>Poor</v>
      </c>
      <c r="L38" s="26" t="str">
        <f>IF(Table35[[#This Row],[Discount]]&gt;=10,"High",IF(Table35[[#This Row],[Discount]]&gt;=5,"Medium","No Discount"))</f>
        <v>High</v>
      </c>
      <c r="M38" s="26" t="str">
        <f>IF(Table35[[#This Row],[Status]]="Completed","Done",IF(Table35[[#This Row],[Status]]="Pending","Waiting","Rejected"))</f>
        <v>Done</v>
      </c>
      <c r="N38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39" spans="1:14" x14ac:dyDescent="0.25">
      <c r="A39" s="16">
        <v>1039</v>
      </c>
      <c r="B39" s="17">
        <v>46064</v>
      </c>
      <c r="C39" s="18" t="s">
        <v>15</v>
      </c>
      <c r="D39" s="18" t="s">
        <v>30</v>
      </c>
      <c r="E39" s="18" t="s">
        <v>31</v>
      </c>
      <c r="F39" s="18" t="s">
        <v>13</v>
      </c>
      <c r="G39" s="16">
        <v>5</v>
      </c>
      <c r="H39" s="19">
        <v>1309</v>
      </c>
      <c r="I39" s="16">
        <v>10</v>
      </c>
      <c r="J39" s="18" t="s">
        <v>14</v>
      </c>
      <c r="K39" s="26" t="str">
        <f>IF(Table35[[#This Row],[Qty]]&gt;=8,"Excellent",IF(Table35[[#This Row],[Qty]]&gt;=5,"Good",IF(Table35[[#This Row],[Qty]]&gt;=3,"Average","Poor")))</f>
        <v>Good</v>
      </c>
      <c r="L39" s="26" t="str">
        <f>IF(Table35[[#This Row],[Discount]]&gt;=10,"High",IF(Table35[[#This Row],[Discount]]&gt;=5,"Medium","No Discount"))</f>
        <v>High</v>
      </c>
      <c r="M39" s="26" t="str">
        <f>IF(Table35[[#This Row],[Status]]="Completed","Done",IF(Table35[[#This Row],[Status]]="Pending","Waiting","Rejected"))</f>
        <v>Waiting</v>
      </c>
      <c r="N39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40" spans="1:14" x14ac:dyDescent="0.25">
      <c r="A40" s="11">
        <v>1040</v>
      </c>
      <c r="B40" s="12">
        <v>46143</v>
      </c>
      <c r="C40" s="13" t="s">
        <v>15</v>
      </c>
      <c r="D40" s="13" t="s">
        <v>24</v>
      </c>
      <c r="E40" s="13" t="s">
        <v>12</v>
      </c>
      <c r="F40" s="13" t="s">
        <v>13</v>
      </c>
      <c r="G40" s="11">
        <v>9</v>
      </c>
      <c r="H40" s="14">
        <v>585</v>
      </c>
      <c r="I40" s="11">
        <v>15</v>
      </c>
      <c r="J40" s="13" t="s">
        <v>19</v>
      </c>
      <c r="K40" s="26" t="str">
        <f>IF(Table35[[#This Row],[Qty]]&gt;=8,"Excellent",IF(Table35[[#This Row],[Qty]]&gt;=5,"Good",IF(Table35[[#This Row],[Qty]]&gt;=3,"Average","Poor")))</f>
        <v>Excellent</v>
      </c>
      <c r="L40" s="26" t="str">
        <f>IF(Table35[[#This Row],[Discount]]&gt;=10,"High",IF(Table35[[#This Row],[Discount]]&gt;=5,"Medium","No Discount"))</f>
        <v>High</v>
      </c>
      <c r="M40" s="26" t="str">
        <f>IF(Table35[[#This Row],[Status]]="Completed","Done",IF(Table35[[#This Row],[Status]]="Pending","Waiting","Rejected"))</f>
        <v>Rejected</v>
      </c>
      <c r="N40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41" spans="1:14" x14ac:dyDescent="0.25">
      <c r="A41" s="16">
        <v>1041</v>
      </c>
      <c r="B41" s="17">
        <v>46128</v>
      </c>
      <c r="C41" s="18" t="s">
        <v>15</v>
      </c>
      <c r="D41" s="18" t="s">
        <v>21</v>
      </c>
      <c r="E41" s="18" t="s">
        <v>17</v>
      </c>
      <c r="F41" s="18" t="s">
        <v>18</v>
      </c>
      <c r="G41" s="16">
        <v>10</v>
      </c>
      <c r="H41" s="19">
        <v>1600</v>
      </c>
      <c r="I41" s="16">
        <v>15</v>
      </c>
      <c r="J41" s="18" t="s">
        <v>14</v>
      </c>
      <c r="K41" s="26" t="str">
        <f>IF(Table35[[#This Row],[Qty]]&gt;=8,"Excellent",IF(Table35[[#This Row],[Qty]]&gt;=5,"Good",IF(Table35[[#This Row],[Qty]]&gt;=3,"Average","Poor")))</f>
        <v>Excellent</v>
      </c>
      <c r="L41" s="26" t="str">
        <f>IF(Table35[[#This Row],[Discount]]&gt;=10,"High",IF(Table35[[#This Row],[Discount]]&gt;=5,"Medium","No Discount"))</f>
        <v>High</v>
      </c>
      <c r="M41" s="26" t="str">
        <f>IF(Table35[[#This Row],[Status]]="Completed","Done",IF(Table35[[#This Row],[Status]]="Pending","Waiting","Rejected"))</f>
        <v>Waiting</v>
      </c>
      <c r="N41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Platinum</v>
      </c>
    </row>
    <row r="42" spans="1:14" x14ac:dyDescent="0.25">
      <c r="A42" s="11">
        <v>1042</v>
      </c>
      <c r="B42" s="12">
        <v>46029</v>
      </c>
      <c r="C42" s="13" t="s">
        <v>29</v>
      </c>
      <c r="D42" s="13" t="s">
        <v>21</v>
      </c>
      <c r="E42" s="13" t="s">
        <v>22</v>
      </c>
      <c r="F42" s="13" t="s">
        <v>23</v>
      </c>
      <c r="G42" s="11">
        <v>7</v>
      </c>
      <c r="H42" s="14">
        <v>793</v>
      </c>
      <c r="I42" s="11">
        <v>0</v>
      </c>
      <c r="J42" s="13" t="s">
        <v>19</v>
      </c>
      <c r="K42" s="26" t="str">
        <f>IF(Table35[[#This Row],[Qty]]&gt;=8,"Excellent",IF(Table35[[#This Row],[Qty]]&gt;=5,"Good",IF(Table35[[#This Row],[Qty]]&gt;=3,"Average","Poor")))</f>
        <v>Good</v>
      </c>
      <c r="L42" s="26" t="str">
        <f>IF(Table35[[#This Row],[Discount]]&gt;=10,"High",IF(Table35[[#This Row],[Discount]]&gt;=5,"Medium","No Discount"))</f>
        <v>No Discount</v>
      </c>
      <c r="M42" s="26" t="str">
        <f>IF(Table35[[#This Row],[Status]]="Completed","Done",IF(Table35[[#This Row],[Status]]="Pending","Waiting","Rejected"))</f>
        <v>Rejected</v>
      </c>
      <c r="N42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43" spans="1:14" x14ac:dyDescent="0.25">
      <c r="A43" s="16">
        <v>1043</v>
      </c>
      <c r="B43" s="17">
        <v>46190</v>
      </c>
      <c r="C43" s="18" t="s">
        <v>15</v>
      </c>
      <c r="D43" s="18" t="s">
        <v>28</v>
      </c>
      <c r="E43" s="18" t="s">
        <v>26</v>
      </c>
      <c r="F43" s="18" t="s">
        <v>23</v>
      </c>
      <c r="G43" s="16">
        <v>8</v>
      </c>
      <c r="H43" s="19">
        <v>103</v>
      </c>
      <c r="I43" s="16">
        <v>5</v>
      </c>
      <c r="J43" s="18" t="s">
        <v>27</v>
      </c>
      <c r="K43" s="26" t="str">
        <f>IF(Table35[[#This Row],[Qty]]&gt;=8,"Excellent",IF(Table35[[#This Row],[Qty]]&gt;=5,"Good",IF(Table35[[#This Row],[Qty]]&gt;=3,"Average","Poor")))</f>
        <v>Excellent</v>
      </c>
      <c r="L43" s="26" t="str">
        <f>IF(Table35[[#This Row],[Discount]]&gt;=10,"High",IF(Table35[[#This Row],[Discount]]&gt;=5,"Medium","No Discount"))</f>
        <v>Medium</v>
      </c>
      <c r="M43" s="26" t="str">
        <f>IF(Table35[[#This Row],[Status]]="Completed","Done",IF(Table35[[#This Row],[Status]]="Pending","Waiting","Rejected"))</f>
        <v>Done</v>
      </c>
      <c r="N43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44" spans="1:14" x14ac:dyDescent="0.25">
      <c r="A44" s="11">
        <v>1044</v>
      </c>
      <c r="B44" s="12">
        <v>46082</v>
      </c>
      <c r="C44" s="13" t="s">
        <v>10</v>
      </c>
      <c r="D44" s="13" t="s">
        <v>11</v>
      </c>
      <c r="E44" s="13" t="s">
        <v>12</v>
      </c>
      <c r="F44" s="13" t="s">
        <v>13</v>
      </c>
      <c r="G44" s="11">
        <v>9</v>
      </c>
      <c r="H44" s="14">
        <v>230</v>
      </c>
      <c r="I44" s="11">
        <v>0</v>
      </c>
      <c r="J44" s="13" t="s">
        <v>14</v>
      </c>
      <c r="K44" s="26" t="str">
        <f>IF(Table35[[#This Row],[Qty]]&gt;=8,"Excellent",IF(Table35[[#This Row],[Qty]]&gt;=5,"Good",IF(Table35[[#This Row],[Qty]]&gt;=3,"Average","Poor")))</f>
        <v>Excellent</v>
      </c>
      <c r="L44" s="26" t="str">
        <f>IF(Table35[[#This Row],[Discount]]&gt;=10,"High",IF(Table35[[#This Row],[Discount]]&gt;=5,"Medium","No Discount"))</f>
        <v>No Discount</v>
      </c>
      <c r="M44" s="26" t="str">
        <f>IF(Table35[[#This Row],[Status]]="Completed","Done",IF(Table35[[#This Row],[Status]]="Pending","Waiting","Rejected"))</f>
        <v>Waiting</v>
      </c>
      <c r="N44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45" spans="1:14" x14ac:dyDescent="0.25">
      <c r="A45" s="16">
        <v>1045</v>
      </c>
      <c r="B45" s="17">
        <v>46129</v>
      </c>
      <c r="C45" s="18" t="s">
        <v>10</v>
      </c>
      <c r="D45" s="18" t="s">
        <v>30</v>
      </c>
      <c r="E45" s="18" t="s">
        <v>26</v>
      </c>
      <c r="F45" s="18" t="s">
        <v>23</v>
      </c>
      <c r="G45" s="16">
        <v>8</v>
      </c>
      <c r="H45" s="19">
        <v>1544</v>
      </c>
      <c r="I45" s="16">
        <v>10</v>
      </c>
      <c r="J45" s="18" t="s">
        <v>27</v>
      </c>
      <c r="K45" s="26" t="str">
        <f>IF(Table35[[#This Row],[Qty]]&gt;=8,"Excellent",IF(Table35[[#This Row],[Qty]]&gt;=5,"Good",IF(Table35[[#This Row],[Qty]]&gt;=3,"Average","Poor")))</f>
        <v>Excellent</v>
      </c>
      <c r="L45" s="26" t="str">
        <f>IF(Table35[[#This Row],[Discount]]&gt;=10,"High",IF(Table35[[#This Row],[Discount]]&gt;=5,"Medium","No Discount"))</f>
        <v>High</v>
      </c>
      <c r="M45" s="26" t="str">
        <f>IF(Table35[[#This Row],[Status]]="Completed","Done",IF(Table35[[#This Row],[Status]]="Pending","Waiting","Rejected"))</f>
        <v>Done</v>
      </c>
      <c r="N45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Gold</v>
      </c>
    </row>
    <row r="46" spans="1:14" x14ac:dyDescent="0.25">
      <c r="A46" s="11">
        <v>1046</v>
      </c>
      <c r="B46" s="12">
        <v>46194</v>
      </c>
      <c r="C46" s="13" t="s">
        <v>20</v>
      </c>
      <c r="D46" s="13" t="s">
        <v>11</v>
      </c>
      <c r="E46" s="13" t="s">
        <v>25</v>
      </c>
      <c r="F46" s="13" t="s">
        <v>18</v>
      </c>
      <c r="G46" s="11">
        <v>7</v>
      </c>
      <c r="H46" s="14">
        <v>808</v>
      </c>
      <c r="I46" s="11">
        <v>5</v>
      </c>
      <c r="J46" s="13" t="s">
        <v>27</v>
      </c>
      <c r="K46" s="26" t="str">
        <f>IF(Table35[[#This Row],[Qty]]&gt;=8,"Excellent",IF(Table35[[#This Row],[Qty]]&gt;=5,"Good",IF(Table35[[#This Row],[Qty]]&gt;=3,"Average","Poor")))</f>
        <v>Good</v>
      </c>
      <c r="L46" s="26" t="str">
        <f>IF(Table35[[#This Row],[Discount]]&gt;=10,"High",IF(Table35[[#This Row],[Discount]]&gt;=5,"Medium","No Discount"))</f>
        <v>Medium</v>
      </c>
      <c r="M46" s="26" t="str">
        <f>IF(Table35[[#This Row],[Status]]="Completed","Done",IF(Table35[[#This Row],[Status]]="Pending","Waiting","Rejected"))</f>
        <v>Done</v>
      </c>
      <c r="N46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47" spans="1:14" x14ac:dyDescent="0.25">
      <c r="A47" s="16">
        <v>1047</v>
      </c>
      <c r="B47" s="17">
        <v>46125</v>
      </c>
      <c r="C47" s="18" t="s">
        <v>20</v>
      </c>
      <c r="D47" s="18" t="s">
        <v>30</v>
      </c>
      <c r="E47" s="18" t="s">
        <v>26</v>
      </c>
      <c r="F47" s="18" t="s">
        <v>23</v>
      </c>
      <c r="G47" s="16">
        <v>7</v>
      </c>
      <c r="H47" s="19">
        <v>1860</v>
      </c>
      <c r="I47" s="16">
        <v>10</v>
      </c>
      <c r="J47" s="18" t="s">
        <v>27</v>
      </c>
      <c r="K47" s="26" t="str">
        <f>IF(Table35[[#This Row],[Qty]]&gt;=8,"Excellent",IF(Table35[[#This Row],[Qty]]&gt;=5,"Good",IF(Table35[[#This Row],[Qty]]&gt;=3,"Average","Poor")))</f>
        <v>Good</v>
      </c>
      <c r="L47" s="26" t="str">
        <f>IF(Table35[[#This Row],[Discount]]&gt;=10,"High",IF(Table35[[#This Row],[Discount]]&gt;=5,"Medium","No Discount"))</f>
        <v>High</v>
      </c>
      <c r="M47" s="26" t="str">
        <f>IF(Table35[[#This Row],[Status]]="Completed","Done",IF(Table35[[#This Row],[Status]]="Pending","Waiting","Rejected"))</f>
        <v>Done</v>
      </c>
      <c r="N47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Gold</v>
      </c>
    </row>
    <row r="48" spans="1:14" x14ac:dyDescent="0.25">
      <c r="A48" s="11">
        <v>1048</v>
      </c>
      <c r="B48" s="12">
        <v>46152</v>
      </c>
      <c r="C48" s="13" t="s">
        <v>20</v>
      </c>
      <c r="D48" s="13" t="s">
        <v>28</v>
      </c>
      <c r="E48" s="13" t="s">
        <v>17</v>
      </c>
      <c r="F48" s="13" t="s">
        <v>18</v>
      </c>
      <c r="G48" s="11">
        <v>4</v>
      </c>
      <c r="H48" s="14">
        <v>1521</v>
      </c>
      <c r="I48" s="11">
        <v>5</v>
      </c>
      <c r="J48" s="13" t="s">
        <v>19</v>
      </c>
      <c r="K48" s="26" t="str">
        <f>IF(Table35[[#This Row],[Qty]]&gt;=8,"Excellent",IF(Table35[[#This Row],[Qty]]&gt;=5,"Good",IF(Table35[[#This Row],[Qty]]&gt;=3,"Average","Poor")))</f>
        <v>Average</v>
      </c>
      <c r="L48" s="26" t="str">
        <f>IF(Table35[[#This Row],[Discount]]&gt;=10,"High",IF(Table35[[#This Row],[Discount]]&gt;=5,"Medium","No Discount"))</f>
        <v>Medium</v>
      </c>
      <c r="M48" s="26" t="str">
        <f>IF(Table35[[#This Row],[Status]]="Completed","Done",IF(Table35[[#This Row],[Status]]="Pending","Waiting","Rejected"))</f>
        <v>Rejected</v>
      </c>
      <c r="N48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49" spans="1:14" x14ac:dyDescent="0.25">
      <c r="A49" s="16">
        <v>1049</v>
      </c>
      <c r="B49" s="17">
        <v>46168</v>
      </c>
      <c r="C49" s="18" t="s">
        <v>20</v>
      </c>
      <c r="D49" s="18" t="s">
        <v>21</v>
      </c>
      <c r="E49" s="18" t="s">
        <v>17</v>
      </c>
      <c r="F49" s="18" t="s">
        <v>18</v>
      </c>
      <c r="G49" s="16">
        <v>3</v>
      </c>
      <c r="H49" s="19">
        <v>1023</v>
      </c>
      <c r="I49" s="16">
        <v>15</v>
      </c>
      <c r="J49" s="18" t="s">
        <v>14</v>
      </c>
      <c r="K49" s="26" t="str">
        <f>IF(Table35[[#This Row],[Qty]]&gt;=8,"Excellent",IF(Table35[[#This Row],[Qty]]&gt;=5,"Good",IF(Table35[[#This Row],[Qty]]&gt;=3,"Average","Poor")))</f>
        <v>Average</v>
      </c>
      <c r="L49" s="26" t="str">
        <f>IF(Table35[[#This Row],[Discount]]&gt;=10,"High",IF(Table35[[#This Row],[Discount]]&gt;=5,"Medium","No Discount"))</f>
        <v>High</v>
      </c>
      <c r="M49" s="26" t="str">
        <f>IF(Table35[[#This Row],[Status]]="Completed","Done",IF(Table35[[#This Row],[Status]]="Pending","Waiting","Rejected"))</f>
        <v>Waiting</v>
      </c>
      <c r="N49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50" spans="1:14" x14ac:dyDescent="0.25">
      <c r="A50" s="11">
        <v>1050</v>
      </c>
      <c r="B50" s="12">
        <v>46099</v>
      </c>
      <c r="C50" s="13" t="s">
        <v>10</v>
      </c>
      <c r="D50" s="13" t="s">
        <v>24</v>
      </c>
      <c r="E50" s="13" t="s">
        <v>31</v>
      </c>
      <c r="F50" s="13" t="s">
        <v>13</v>
      </c>
      <c r="G50" s="11">
        <v>2</v>
      </c>
      <c r="H50" s="14">
        <v>244</v>
      </c>
      <c r="I50" s="11">
        <v>10</v>
      </c>
      <c r="J50" s="13" t="s">
        <v>27</v>
      </c>
      <c r="K50" s="26" t="str">
        <f>IF(Table35[[#This Row],[Qty]]&gt;=8,"Excellent",IF(Table35[[#This Row],[Qty]]&gt;=5,"Good",IF(Table35[[#This Row],[Qty]]&gt;=3,"Average","Poor")))</f>
        <v>Poor</v>
      </c>
      <c r="L50" s="26" t="str">
        <f>IF(Table35[[#This Row],[Discount]]&gt;=10,"High",IF(Table35[[#This Row],[Discount]]&gt;=5,"Medium","No Discount"))</f>
        <v>High</v>
      </c>
      <c r="M50" s="26" t="str">
        <f>IF(Table35[[#This Row],[Status]]="Completed","Done",IF(Table35[[#This Row],[Status]]="Pending","Waiting","Rejected"))</f>
        <v>Done</v>
      </c>
      <c r="N50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51" spans="1:14" x14ac:dyDescent="0.25">
      <c r="A51" s="16">
        <v>1051</v>
      </c>
      <c r="B51" s="17">
        <v>46106</v>
      </c>
      <c r="C51" s="18" t="s">
        <v>29</v>
      </c>
      <c r="D51" s="18" t="s">
        <v>24</v>
      </c>
      <c r="E51" s="18" t="s">
        <v>12</v>
      </c>
      <c r="F51" s="18" t="s">
        <v>13</v>
      </c>
      <c r="G51" s="16">
        <v>9</v>
      </c>
      <c r="H51" s="19">
        <v>1413</v>
      </c>
      <c r="I51" s="16">
        <v>5</v>
      </c>
      <c r="J51" s="18" t="s">
        <v>27</v>
      </c>
      <c r="K51" s="26" t="str">
        <f>IF(Table35[[#This Row],[Qty]]&gt;=8,"Excellent",IF(Table35[[#This Row],[Qty]]&gt;=5,"Good",IF(Table35[[#This Row],[Qty]]&gt;=3,"Average","Poor")))</f>
        <v>Excellent</v>
      </c>
      <c r="L51" s="26" t="str">
        <f>IF(Table35[[#This Row],[Discount]]&gt;=10,"High",IF(Table35[[#This Row],[Discount]]&gt;=5,"Medium","No Discount"))</f>
        <v>Medium</v>
      </c>
      <c r="M51" s="26" t="str">
        <f>IF(Table35[[#This Row],[Status]]="Completed","Done",IF(Table35[[#This Row],[Status]]="Pending","Waiting","Rejected"))</f>
        <v>Done</v>
      </c>
      <c r="N51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Gold</v>
      </c>
    </row>
    <row r="52" spans="1:14" x14ac:dyDescent="0.25">
      <c r="A52" s="11">
        <v>1052</v>
      </c>
      <c r="B52" s="12">
        <v>46126</v>
      </c>
      <c r="C52" s="13" t="s">
        <v>20</v>
      </c>
      <c r="D52" s="13" t="s">
        <v>30</v>
      </c>
      <c r="E52" s="13" t="s">
        <v>31</v>
      </c>
      <c r="F52" s="13" t="s">
        <v>13</v>
      </c>
      <c r="G52" s="11">
        <v>2</v>
      </c>
      <c r="H52" s="14">
        <v>1431</v>
      </c>
      <c r="I52" s="11">
        <v>0</v>
      </c>
      <c r="J52" s="13" t="s">
        <v>14</v>
      </c>
      <c r="K52" s="26" t="str">
        <f>IF(Table35[[#This Row],[Qty]]&gt;=8,"Excellent",IF(Table35[[#This Row],[Qty]]&gt;=5,"Good",IF(Table35[[#This Row],[Qty]]&gt;=3,"Average","Poor")))</f>
        <v>Poor</v>
      </c>
      <c r="L52" s="26" t="str">
        <f>IF(Table35[[#This Row],[Discount]]&gt;=10,"High",IF(Table35[[#This Row],[Discount]]&gt;=5,"Medium","No Discount"))</f>
        <v>No Discount</v>
      </c>
      <c r="M52" s="26" t="str">
        <f>IF(Table35[[#This Row],[Status]]="Completed","Done",IF(Table35[[#This Row],[Status]]="Pending","Waiting","Rejected"))</f>
        <v>Waiting</v>
      </c>
      <c r="N52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53" spans="1:14" x14ac:dyDescent="0.25">
      <c r="A53" s="16">
        <v>1053</v>
      </c>
      <c r="B53" s="17">
        <v>46126</v>
      </c>
      <c r="C53" s="18" t="s">
        <v>20</v>
      </c>
      <c r="D53" s="18" t="s">
        <v>30</v>
      </c>
      <c r="E53" s="18" t="s">
        <v>31</v>
      </c>
      <c r="F53" s="18" t="s">
        <v>13</v>
      </c>
      <c r="G53" s="16">
        <v>2</v>
      </c>
      <c r="H53" s="19">
        <v>1573</v>
      </c>
      <c r="I53" s="16">
        <v>15</v>
      </c>
      <c r="J53" s="18" t="s">
        <v>27</v>
      </c>
      <c r="K53" s="26" t="str">
        <f>IF(Table35[[#This Row],[Qty]]&gt;=8,"Excellent",IF(Table35[[#This Row],[Qty]]&gt;=5,"Good",IF(Table35[[#This Row],[Qty]]&gt;=3,"Average","Poor")))</f>
        <v>Poor</v>
      </c>
      <c r="L53" s="26" t="str">
        <f>IF(Table35[[#This Row],[Discount]]&gt;=10,"High",IF(Table35[[#This Row],[Discount]]&gt;=5,"Medium","No Discount"))</f>
        <v>High</v>
      </c>
      <c r="M53" s="26" t="str">
        <f>IF(Table35[[#This Row],[Status]]="Completed","Done",IF(Table35[[#This Row],[Status]]="Pending","Waiting","Rejected"))</f>
        <v>Done</v>
      </c>
      <c r="N53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54" spans="1:14" x14ac:dyDescent="0.25">
      <c r="A54" s="11">
        <v>1054</v>
      </c>
      <c r="B54" s="12">
        <v>46105</v>
      </c>
      <c r="C54" s="13" t="s">
        <v>20</v>
      </c>
      <c r="D54" s="13" t="s">
        <v>24</v>
      </c>
      <c r="E54" s="13" t="s">
        <v>12</v>
      </c>
      <c r="F54" s="13" t="s">
        <v>13</v>
      </c>
      <c r="G54" s="11">
        <v>7</v>
      </c>
      <c r="H54" s="14">
        <v>282</v>
      </c>
      <c r="I54" s="11">
        <v>0</v>
      </c>
      <c r="J54" s="13" t="s">
        <v>19</v>
      </c>
      <c r="K54" s="26" t="str">
        <f>IF(Table35[[#This Row],[Qty]]&gt;=8,"Excellent",IF(Table35[[#This Row],[Qty]]&gt;=5,"Good",IF(Table35[[#This Row],[Qty]]&gt;=3,"Average","Poor")))</f>
        <v>Good</v>
      </c>
      <c r="L54" s="26" t="str">
        <f>IF(Table35[[#This Row],[Discount]]&gt;=10,"High",IF(Table35[[#This Row],[Discount]]&gt;=5,"Medium","No Discount"))</f>
        <v>No Discount</v>
      </c>
      <c r="M54" s="26" t="str">
        <f>IF(Table35[[#This Row],[Status]]="Completed","Done",IF(Table35[[#This Row],[Status]]="Pending","Waiting","Rejected"))</f>
        <v>Rejected</v>
      </c>
      <c r="N54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55" spans="1:14" x14ac:dyDescent="0.25">
      <c r="A55" s="16">
        <v>1055</v>
      </c>
      <c r="B55" s="17">
        <v>46174</v>
      </c>
      <c r="C55" s="18" t="s">
        <v>29</v>
      </c>
      <c r="D55" s="18" t="s">
        <v>24</v>
      </c>
      <c r="E55" s="18" t="s">
        <v>31</v>
      </c>
      <c r="F55" s="18" t="s">
        <v>13</v>
      </c>
      <c r="G55" s="16">
        <v>2</v>
      </c>
      <c r="H55" s="19">
        <v>597</v>
      </c>
      <c r="I55" s="16">
        <v>15</v>
      </c>
      <c r="J55" s="18" t="s">
        <v>27</v>
      </c>
      <c r="K55" s="26" t="str">
        <f>IF(Table35[[#This Row],[Qty]]&gt;=8,"Excellent",IF(Table35[[#This Row],[Qty]]&gt;=5,"Good",IF(Table35[[#This Row],[Qty]]&gt;=3,"Average","Poor")))</f>
        <v>Poor</v>
      </c>
      <c r="L55" s="26" t="str">
        <f>IF(Table35[[#This Row],[Discount]]&gt;=10,"High",IF(Table35[[#This Row],[Discount]]&gt;=5,"Medium","No Discount"))</f>
        <v>High</v>
      </c>
      <c r="M55" s="26" t="str">
        <f>IF(Table35[[#This Row],[Status]]="Completed","Done",IF(Table35[[#This Row],[Status]]="Pending","Waiting","Rejected"))</f>
        <v>Done</v>
      </c>
      <c r="N55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56" spans="1:14" x14ac:dyDescent="0.25">
      <c r="A56" s="11">
        <v>1056</v>
      </c>
      <c r="B56" s="12">
        <v>46089</v>
      </c>
      <c r="C56" s="13" t="s">
        <v>20</v>
      </c>
      <c r="D56" s="13" t="s">
        <v>16</v>
      </c>
      <c r="E56" s="13" t="s">
        <v>22</v>
      </c>
      <c r="F56" s="13" t="s">
        <v>23</v>
      </c>
      <c r="G56" s="11">
        <v>10</v>
      </c>
      <c r="H56" s="14">
        <v>450</v>
      </c>
      <c r="I56" s="11">
        <v>15</v>
      </c>
      <c r="J56" s="13" t="s">
        <v>27</v>
      </c>
      <c r="K56" s="26" t="str">
        <f>IF(Table35[[#This Row],[Qty]]&gt;=8,"Excellent",IF(Table35[[#This Row],[Qty]]&gt;=5,"Good",IF(Table35[[#This Row],[Qty]]&gt;=3,"Average","Poor")))</f>
        <v>Excellent</v>
      </c>
      <c r="L56" s="26" t="str">
        <f>IF(Table35[[#This Row],[Discount]]&gt;=10,"High",IF(Table35[[#This Row],[Discount]]&gt;=5,"Medium","No Discount"))</f>
        <v>High</v>
      </c>
      <c r="M56" s="26" t="str">
        <f>IF(Table35[[#This Row],[Status]]="Completed","Done",IF(Table35[[#This Row],[Status]]="Pending","Waiting","Rejected"))</f>
        <v>Done</v>
      </c>
      <c r="N56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57" spans="1:14" x14ac:dyDescent="0.25">
      <c r="A57" s="16">
        <v>1057</v>
      </c>
      <c r="B57" s="17">
        <v>46179</v>
      </c>
      <c r="C57" s="18" t="s">
        <v>10</v>
      </c>
      <c r="D57" s="18" t="s">
        <v>28</v>
      </c>
      <c r="E57" s="18" t="s">
        <v>17</v>
      </c>
      <c r="F57" s="18" t="s">
        <v>18</v>
      </c>
      <c r="G57" s="16">
        <v>2</v>
      </c>
      <c r="H57" s="19">
        <v>619</v>
      </c>
      <c r="I57" s="16">
        <v>0</v>
      </c>
      <c r="J57" s="18" t="s">
        <v>27</v>
      </c>
      <c r="K57" s="26" t="str">
        <f>IF(Table35[[#This Row],[Qty]]&gt;=8,"Excellent",IF(Table35[[#This Row],[Qty]]&gt;=5,"Good",IF(Table35[[#This Row],[Qty]]&gt;=3,"Average","Poor")))</f>
        <v>Poor</v>
      </c>
      <c r="L57" s="26" t="str">
        <f>IF(Table35[[#This Row],[Discount]]&gt;=10,"High",IF(Table35[[#This Row],[Discount]]&gt;=5,"Medium","No Discount"))</f>
        <v>No Discount</v>
      </c>
      <c r="M57" s="26" t="str">
        <f>IF(Table35[[#This Row],[Status]]="Completed","Done",IF(Table35[[#This Row],[Status]]="Pending","Waiting","Rejected"))</f>
        <v>Done</v>
      </c>
      <c r="N57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58" spans="1:14" x14ac:dyDescent="0.25">
      <c r="A58" s="11">
        <v>1058</v>
      </c>
      <c r="B58" s="12">
        <v>46134</v>
      </c>
      <c r="C58" s="13" t="s">
        <v>20</v>
      </c>
      <c r="D58" s="13" t="s">
        <v>16</v>
      </c>
      <c r="E58" s="13" t="s">
        <v>25</v>
      </c>
      <c r="F58" s="13" t="s">
        <v>18</v>
      </c>
      <c r="G58" s="11">
        <v>8</v>
      </c>
      <c r="H58" s="14">
        <v>426</v>
      </c>
      <c r="I58" s="11">
        <v>15</v>
      </c>
      <c r="J58" s="13" t="s">
        <v>27</v>
      </c>
      <c r="K58" s="26" t="str">
        <f>IF(Table35[[#This Row],[Qty]]&gt;=8,"Excellent",IF(Table35[[#This Row],[Qty]]&gt;=5,"Good",IF(Table35[[#This Row],[Qty]]&gt;=3,"Average","Poor")))</f>
        <v>Excellent</v>
      </c>
      <c r="L58" s="26" t="str">
        <f>IF(Table35[[#This Row],[Discount]]&gt;=10,"High",IF(Table35[[#This Row],[Discount]]&gt;=5,"Medium","No Discount"))</f>
        <v>High</v>
      </c>
      <c r="M58" s="26" t="str">
        <f>IF(Table35[[#This Row],[Status]]="Completed","Done",IF(Table35[[#This Row],[Status]]="Pending","Waiting","Rejected"))</f>
        <v>Done</v>
      </c>
      <c r="N58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59" spans="1:14" x14ac:dyDescent="0.25">
      <c r="A59" s="16">
        <v>1059</v>
      </c>
      <c r="B59" s="17">
        <v>46108</v>
      </c>
      <c r="C59" s="18" t="s">
        <v>15</v>
      </c>
      <c r="D59" s="18" t="s">
        <v>11</v>
      </c>
      <c r="E59" s="18" t="s">
        <v>26</v>
      </c>
      <c r="F59" s="18" t="s">
        <v>23</v>
      </c>
      <c r="G59" s="16">
        <v>7</v>
      </c>
      <c r="H59" s="19">
        <v>1119</v>
      </c>
      <c r="I59" s="16">
        <v>15</v>
      </c>
      <c r="J59" s="18" t="s">
        <v>14</v>
      </c>
      <c r="K59" s="26" t="str">
        <f>IF(Table35[[#This Row],[Qty]]&gt;=8,"Excellent",IF(Table35[[#This Row],[Qty]]&gt;=5,"Good",IF(Table35[[#This Row],[Qty]]&gt;=3,"Average","Poor")))</f>
        <v>Good</v>
      </c>
      <c r="L59" s="26" t="str">
        <f>IF(Table35[[#This Row],[Discount]]&gt;=10,"High",IF(Table35[[#This Row],[Discount]]&gt;=5,"Medium","No Discount"))</f>
        <v>High</v>
      </c>
      <c r="M59" s="26" t="str">
        <f>IF(Table35[[#This Row],[Status]]="Completed","Done",IF(Table35[[#This Row],[Status]]="Pending","Waiting","Rejected"))</f>
        <v>Waiting</v>
      </c>
      <c r="N59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60" spans="1:14" x14ac:dyDescent="0.25">
      <c r="A60" s="11">
        <v>1060</v>
      </c>
      <c r="B60" s="12">
        <v>46026</v>
      </c>
      <c r="C60" s="13" t="s">
        <v>10</v>
      </c>
      <c r="D60" s="13" t="s">
        <v>16</v>
      </c>
      <c r="E60" s="13" t="s">
        <v>26</v>
      </c>
      <c r="F60" s="13" t="s">
        <v>23</v>
      </c>
      <c r="G60" s="11">
        <v>10</v>
      </c>
      <c r="H60" s="14">
        <v>1170</v>
      </c>
      <c r="I60" s="11">
        <v>10</v>
      </c>
      <c r="J60" s="13" t="s">
        <v>14</v>
      </c>
      <c r="K60" s="26" t="str">
        <f>IF(Table35[[#This Row],[Qty]]&gt;=8,"Excellent",IF(Table35[[#This Row],[Qty]]&gt;=5,"Good",IF(Table35[[#This Row],[Qty]]&gt;=3,"Average","Poor")))</f>
        <v>Excellent</v>
      </c>
      <c r="L60" s="26" t="str">
        <f>IF(Table35[[#This Row],[Discount]]&gt;=10,"High",IF(Table35[[#This Row],[Discount]]&gt;=5,"Medium","No Discount"))</f>
        <v>High</v>
      </c>
      <c r="M60" s="26" t="str">
        <f>IF(Table35[[#This Row],[Status]]="Completed","Done",IF(Table35[[#This Row],[Status]]="Pending","Waiting","Rejected"))</f>
        <v>Waiting</v>
      </c>
      <c r="N60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Gold</v>
      </c>
    </row>
    <row r="61" spans="1:14" x14ac:dyDescent="0.25">
      <c r="A61" s="16">
        <v>1061</v>
      </c>
      <c r="B61" s="17">
        <v>46095</v>
      </c>
      <c r="C61" s="18" t="s">
        <v>15</v>
      </c>
      <c r="D61" s="18" t="s">
        <v>16</v>
      </c>
      <c r="E61" s="18" t="s">
        <v>12</v>
      </c>
      <c r="F61" s="18" t="s">
        <v>13</v>
      </c>
      <c r="G61" s="16">
        <v>5</v>
      </c>
      <c r="H61" s="19">
        <v>1714</v>
      </c>
      <c r="I61" s="16">
        <v>0</v>
      </c>
      <c r="J61" s="18" t="s">
        <v>27</v>
      </c>
      <c r="K61" s="26" t="str">
        <f>IF(Table35[[#This Row],[Qty]]&gt;=8,"Excellent",IF(Table35[[#This Row],[Qty]]&gt;=5,"Good",IF(Table35[[#This Row],[Qty]]&gt;=3,"Average","Poor")))</f>
        <v>Good</v>
      </c>
      <c r="L61" s="26" t="str">
        <f>IF(Table35[[#This Row],[Discount]]&gt;=10,"High",IF(Table35[[#This Row],[Discount]]&gt;=5,"Medium","No Discount"))</f>
        <v>No Discount</v>
      </c>
      <c r="M61" s="26" t="str">
        <f>IF(Table35[[#This Row],[Status]]="Completed","Done",IF(Table35[[#This Row],[Status]]="Pending","Waiting","Rejected"))</f>
        <v>Done</v>
      </c>
      <c r="N61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62" spans="1:14" x14ac:dyDescent="0.25">
      <c r="A62" s="11">
        <v>1062</v>
      </c>
      <c r="B62" s="12">
        <v>46125</v>
      </c>
      <c r="C62" s="13" t="s">
        <v>10</v>
      </c>
      <c r="D62" s="13" t="s">
        <v>28</v>
      </c>
      <c r="E62" s="13" t="s">
        <v>25</v>
      </c>
      <c r="F62" s="13" t="s">
        <v>18</v>
      </c>
      <c r="G62" s="11">
        <v>9</v>
      </c>
      <c r="H62" s="14">
        <v>920</v>
      </c>
      <c r="I62" s="11">
        <v>0</v>
      </c>
      <c r="J62" s="13" t="s">
        <v>19</v>
      </c>
      <c r="K62" s="26" t="str">
        <f>IF(Table35[[#This Row],[Qty]]&gt;=8,"Excellent",IF(Table35[[#This Row],[Qty]]&gt;=5,"Good",IF(Table35[[#This Row],[Qty]]&gt;=3,"Average","Poor")))</f>
        <v>Excellent</v>
      </c>
      <c r="L62" s="26" t="str">
        <f>IF(Table35[[#This Row],[Discount]]&gt;=10,"High",IF(Table35[[#This Row],[Discount]]&gt;=5,"Medium","No Discount"))</f>
        <v>No Discount</v>
      </c>
      <c r="M62" s="26" t="str">
        <f>IF(Table35[[#This Row],[Status]]="Completed","Done",IF(Table35[[#This Row],[Status]]="Pending","Waiting","Rejected"))</f>
        <v>Rejected</v>
      </c>
      <c r="N62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63" spans="1:14" x14ac:dyDescent="0.25">
      <c r="A63" s="16">
        <v>1063</v>
      </c>
      <c r="B63" s="17">
        <v>46164</v>
      </c>
      <c r="C63" s="18" t="s">
        <v>10</v>
      </c>
      <c r="D63" s="18" t="s">
        <v>24</v>
      </c>
      <c r="E63" s="18" t="s">
        <v>22</v>
      </c>
      <c r="F63" s="18" t="s">
        <v>23</v>
      </c>
      <c r="G63" s="16">
        <v>2</v>
      </c>
      <c r="H63" s="19">
        <v>1242</v>
      </c>
      <c r="I63" s="16">
        <v>10</v>
      </c>
      <c r="J63" s="18" t="s">
        <v>14</v>
      </c>
      <c r="K63" s="26" t="str">
        <f>IF(Table35[[#This Row],[Qty]]&gt;=8,"Excellent",IF(Table35[[#This Row],[Qty]]&gt;=5,"Good",IF(Table35[[#This Row],[Qty]]&gt;=3,"Average","Poor")))</f>
        <v>Poor</v>
      </c>
      <c r="L63" s="26" t="str">
        <f>IF(Table35[[#This Row],[Discount]]&gt;=10,"High",IF(Table35[[#This Row],[Discount]]&gt;=5,"Medium","No Discount"))</f>
        <v>High</v>
      </c>
      <c r="M63" s="26" t="str">
        <f>IF(Table35[[#This Row],[Status]]="Completed","Done",IF(Table35[[#This Row],[Status]]="Pending","Waiting","Rejected"))</f>
        <v>Waiting</v>
      </c>
      <c r="N63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64" spans="1:14" x14ac:dyDescent="0.25">
      <c r="A64" s="11">
        <v>1064</v>
      </c>
      <c r="B64" s="12">
        <v>46081</v>
      </c>
      <c r="C64" s="13" t="s">
        <v>29</v>
      </c>
      <c r="D64" s="13" t="s">
        <v>28</v>
      </c>
      <c r="E64" s="13" t="s">
        <v>22</v>
      </c>
      <c r="F64" s="13" t="s">
        <v>23</v>
      </c>
      <c r="G64" s="11">
        <v>1</v>
      </c>
      <c r="H64" s="14">
        <v>500</v>
      </c>
      <c r="I64" s="11">
        <v>0</v>
      </c>
      <c r="J64" s="13" t="s">
        <v>19</v>
      </c>
      <c r="K64" s="26" t="str">
        <f>IF(Table35[[#This Row],[Qty]]&gt;=8,"Excellent",IF(Table35[[#This Row],[Qty]]&gt;=5,"Good",IF(Table35[[#This Row],[Qty]]&gt;=3,"Average","Poor")))</f>
        <v>Poor</v>
      </c>
      <c r="L64" s="26" t="str">
        <f>IF(Table35[[#This Row],[Discount]]&gt;=10,"High",IF(Table35[[#This Row],[Discount]]&gt;=5,"Medium","No Discount"))</f>
        <v>No Discount</v>
      </c>
      <c r="M64" s="26" t="str">
        <f>IF(Table35[[#This Row],[Status]]="Completed","Done",IF(Table35[[#This Row],[Status]]="Pending","Waiting","Rejected"))</f>
        <v>Rejected</v>
      </c>
      <c r="N64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65" spans="1:14" x14ac:dyDescent="0.25">
      <c r="A65" s="16">
        <v>1065</v>
      </c>
      <c r="B65" s="17">
        <v>46157</v>
      </c>
      <c r="C65" s="18" t="s">
        <v>29</v>
      </c>
      <c r="D65" s="18" t="s">
        <v>16</v>
      </c>
      <c r="E65" s="18" t="s">
        <v>17</v>
      </c>
      <c r="F65" s="18" t="s">
        <v>18</v>
      </c>
      <c r="G65" s="16">
        <v>5</v>
      </c>
      <c r="H65" s="19">
        <v>1649</v>
      </c>
      <c r="I65" s="16">
        <v>15</v>
      </c>
      <c r="J65" s="18" t="s">
        <v>27</v>
      </c>
      <c r="K65" s="26" t="str">
        <f>IF(Table35[[#This Row],[Qty]]&gt;=8,"Excellent",IF(Table35[[#This Row],[Qty]]&gt;=5,"Good",IF(Table35[[#This Row],[Qty]]&gt;=3,"Average","Poor")))</f>
        <v>Good</v>
      </c>
      <c r="L65" s="26" t="str">
        <f>IF(Table35[[#This Row],[Discount]]&gt;=10,"High",IF(Table35[[#This Row],[Discount]]&gt;=5,"Medium","No Discount"))</f>
        <v>High</v>
      </c>
      <c r="M65" s="26" t="str">
        <f>IF(Table35[[#This Row],[Status]]="Completed","Done",IF(Table35[[#This Row],[Status]]="Pending","Waiting","Rejected"))</f>
        <v>Done</v>
      </c>
      <c r="N65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66" spans="1:14" x14ac:dyDescent="0.25">
      <c r="A66" s="11">
        <v>1066</v>
      </c>
      <c r="B66" s="12">
        <v>46169</v>
      </c>
      <c r="C66" s="13" t="s">
        <v>15</v>
      </c>
      <c r="D66" s="13" t="s">
        <v>28</v>
      </c>
      <c r="E66" s="13" t="s">
        <v>12</v>
      </c>
      <c r="F66" s="13" t="s">
        <v>13</v>
      </c>
      <c r="G66" s="11">
        <v>2</v>
      </c>
      <c r="H66" s="14">
        <v>900</v>
      </c>
      <c r="I66" s="11">
        <v>10</v>
      </c>
      <c r="J66" s="13" t="s">
        <v>27</v>
      </c>
      <c r="K66" s="26" t="str">
        <f>IF(Table35[[#This Row],[Qty]]&gt;=8,"Excellent",IF(Table35[[#This Row],[Qty]]&gt;=5,"Good",IF(Table35[[#This Row],[Qty]]&gt;=3,"Average","Poor")))</f>
        <v>Poor</v>
      </c>
      <c r="L66" s="26" t="str">
        <f>IF(Table35[[#This Row],[Discount]]&gt;=10,"High",IF(Table35[[#This Row],[Discount]]&gt;=5,"Medium","No Discount"))</f>
        <v>High</v>
      </c>
      <c r="M66" s="26" t="str">
        <f>IF(Table35[[#This Row],[Status]]="Completed","Done",IF(Table35[[#This Row],[Status]]="Pending","Waiting","Rejected"))</f>
        <v>Done</v>
      </c>
      <c r="N66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67" spans="1:14" x14ac:dyDescent="0.25">
      <c r="A67" s="16">
        <v>1067</v>
      </c>
      <c r="B67" s="17">
        <v>46146</v>
      </c>
      <c r="C67" s="18" t="s">
        <v>20</v>
      </c>
      <c r="D67" s="18" t="s">
        <v>28</v>
      </c>
      <c r="E67" s="18" t="s">
        <v>25</v>
      </c>
      <c r="F67" s="18" t="s">
        <v>18</v>
      </c>
      <c r="G67" s="16">
        <v>7</v>
      </c>
      <c r="H67" s="19">
        <v>1058</v>
      </c>
      <c r="I67" s="16">
        <v>10</v>
      </c>
      <c r="J67" s="18" t="s">
        <v>19</v>
      </c>
      <c r="K67" s="26" t="str">
        <f>IF(Table35[[#This Row],[Qty]]&gt;=8,"Excellent",IF(Table35[[#This Row],[Qty]]&gt;=5,"Good",IF(Table35[[#This Row],[Qty]]&gt;=3,"Average","Poor")))</f>
        <v>Good</v>
      </c>
      <c r="L67" s="26" t="str">
        <f>IF(Table35[[#This Row],[Discount]]&gt;=10,"High",IF(Table35[[#This Row],[Discount]]&gt;=5,"Medium","No Discount"))</f>
        <v>High</v>
      </c>
      <c r="M67" s="26" t="str">
        <f>IF(Table35[[#This Row],[Status]]="Completed","Done",IF(Table35[[#This Row],[Status]]="Pending","Waiting","Rejected"))</f>
        <v>Rejected</v>
      </c>
      <c r="N67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68" spans="1:14" x14ac:dyDescent="0.25">
      <c r="A68" s="11">
        <v>1068</v>
      </c>
      <c r="B68" s="12">
        <v>46175</v>
      </c>
      <c r="C68" s="13" t="s">
        <v>15</v>
      </c>
      <c r="D68" s="13" t="s">
        <v>28</v>
      </c>
      <c r="E68" s="13" t="s">
        <v>12</v>
      </c>
      <c r="F68" s="13" t="s">
        <v>13</v>
      </c>
      <c r="G68" s="11">
        <v>10</v>
      </c>
      <c r="H68" s="14">
        <v>1039</v>
      </c>
      <c r="I68" s="11">
        <v>5</v>
      </c>
      <c r="J68" s="13" t="s">
        <v>19</v>
      </c>
      <c r="K68" s="26" t="str">
        <f>IF(Table35[[#This Row],[Qty]]&gt;=8,"Excellent",IF(Table35[[#This Row],[Qty]]&gt;=5,"Good",IF(Table35[[#This Row],[Qty]]&gt;=3,"Average","Poor")))</f>
        <v>Excellent</v>
      </c>
      <c r="L68" s="26" t="str">
        <f>IF(Table35[[#This Row],[Discount]]&gt;=10,"High",IF(Table35[[#This Row],[Discount]]&gt;=5,"Medium","No Discount"))</f>
        <v>Medium</v>
      </c>
      <c r="M68" s="26" t="str">
        <f>IF(Table35[[#This Row],[Status]]="Completed","Done",IF(Table35[[#This Row],[Status]]="Pending","Waiting","Rejected"))</f>
        <v>Rejected</v>
      </c>
      <c r="N68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Gold</v>
      </c>
    </row>
    <row r="69" spans="1:14" x14ac:dyDescent="0.25">
      <c r="A69" s="16">
        <v>1069</v>
      </c>
      <c r="B69" s="17">
        <v>46042</v>
      </c>
      <c r="C69" s="18" t="s">
        <v>20</v>
      </c>
      <c r="D69" s="18" t="s">
        <v>11</v>
      </c>
      <c r="E69" s="18" t="s">
        <v>26</v>
      </c>
      <c r="F69" s="18" t="s">
        <v>23</v>
      </c>
      <c r="G69" s="16">
        <v>4</v>
      </c>
      <c r="H69" s="19">
        <v>1008</v>
      </c>
      <c r="I69" s="16">
        <v>15</v>
      </c>
      <c r="J69" s="18" t="s">
        <v>19</v>
      </c>
      <c r="K69" s="26" t="str">
        <f>IF(Table35[[#This Row],[Qty]]&gt;=8,"Excellent",IF(Table35[[#This Row],[Qty]]&gt;=5,"Good",IF(Table35[[#This Row],[Qty]]&gt;=3,"Average","Poor")))</f>
        <v>Average</v>
      </c>
      <c r="L69" s="26" t="str">
        <f>IF(Table35[[#This Row],[Discount]]&gt;=10,"High",IF(Table35[[#This Row],[Discount]]&gt;=5,"Medium","No Discount"))</f>
        <v>High</v>
      </c>
      <c r="M69" s="26" t="str">
        <f>IF(Table35[[#This Row],[Status]]="Completed","Done",IF(Table35[[#This Row],[Status]]="Pending","Waiting","Rejected"))</f>
        <v>Rejected</v>
      </c>
      <c r="N69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70" spans="1:14" x14ac:dyDescent="0.25">
      <c r="A70" s="11">
        <v>1070</v>
      </c>
      <c r="B70" s="12">
        <v>46061</v>
      </c>
      <c r="C70" s="13" t="s">
        <v>15</v>
      </c>
      <c r="D70" s="13" t="s">
        <v>28</v>
      </c>
      <c r="E70" s="13" t="s">
        <v>31</v>
      </c>
      <c r="F70" s="13" t="s">
        <v>13</v>
      </c>
      <c r="G70" s="11">
        <v>8</v>
      </c>
      <c r="H70" s="14">
        <v>1318</v>
      </c>
      <c r="I70" s="11">
        <v>5</v>
      </c>
      <c r="J70" s="13" t="s">
        <v>19</v>
      </c>
      <c r="K70" s="26" t="str">
        <f>IF(Table35[[#This Row],[Qty]]&gt;=8,"Excellent",IF(Table35[[#This Row],[Qty]]&gt;=5,"Good",IF(Table35[[#This Row],[Qty]]&gt;=3,"Average","Poor")))</f>
        <v>Excellent</v>
      </c>
      <c r="L70" s="26" t="str">
        <f>IF(Table35[[#This Row],[Discount]]&gt;=10,"High",IF(Table35[[#This Row],[Discount]]&gt;=5,"Medium","No Discount"))</f>
        <v>Medium</v>
      </c>
      <c r="M70" s="26" t="str">
        <f>IF(Table35[[#This Row],[Status]]="Completed","Done",IF(Table35[[#This Row],[Status]]="Pending","Waiting","Rejected"))</f>
        <v>Rejected</v>
      </c>
      <c r="N70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Gold</v>
      </c>
    </row>
    <row r="71" spans="1:14" x14ac:dyDescent="0.25">
      <c r="A71" s="16">
        <v>1071</v>
      </c>
      <c r="B71" s="17">
        <v>46190</v>
      </c>
      <c r="C71" s="18" t="s">
        <v>20</v>
      </c>
      <c r="D71" s="18" t="s">
        <v>11</v>
      </c>
      <c r="E71" s="18" t="s">
        <v>22</v>
      </c>
      <c r="F71" s="18" t="s">
        <v>23</v>
      </c>
      <c r="G71" s="16">
        <v>9</v>
      </c>
      <c r="H71" s="19">
        <v>1096</v>
      </c>
      <c r="I71" s="16">
        <v>5</v>
      </c>
      <c r="J71" s="18" t="s">
        <v>14</v>
      </c>
      <c r="K71" s="26" t="str">
        <f>IF(Table35[[#This Row],[Qty]]&gt;=8,"Excellent",IF(Table35[[#This Row],[Qty]]&gt;=5,"Good",IF(Table35[[#This Row],[Qty]]&gt;=3,"Average","Poor")))</f>
        <v>Excellent</v>
      </c>
      <c r="L71" s="26" t="str">
        <f>IF(Table35[[#This Row],[Discount]]&gt;=10,"High",IF(Table35[[#This Row],[Discount]]&gt;=5,"Medium","No Discount"))</f>
        <v>Medium</v>
      </c>
      <c r="M71" s="26" t="str">
        <f>IF(Table35[[#This Row],[Status]]="Completed","Done",IF(Table35[[#This Row],[Status]]="Pending","Waiting","Rejected"))</f>
        <v>Waiting</v>
      </c>
      <c r="N71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72" spans="1:14" x14ac:dyDescent="0.25">
      <c r="A72" s="11">
        <v>1072</v>
      </c>
      <c r="B72" s="12">
        <v>46152</v>
      </c>
      <c r="C72" s="13" t="s">
        <v>20</v>
      </c>
      <c r="D72" s="13" t="s">
        <v>16</v>
      </c>
      <c r="E72" s="13" t="s">
        <v>25</v>
      </c>
      <c r="F72" s="13" t="s">
        <v>18</v>
      </c>
      <c r="G72" s="11">
        <v>8</v>
      </c>
      <c r="H72" s="14">
        <v>263</v>
      </c>
      <c r="I72" s="11">
        <v>10</v>
      </c>
      <c r="J72" s="13" t="s">
        <v>19</v>
      </c>
      <c r="K72" s="26" t="str">
        <f>IF(Table35[[#This Row],[Qty]]&gt;=8,"Excellent",IF(Table35[[#This Row],[Qty]]&gt;=5,"Good",IF(Table35[[#This Row],[Qty]]&gt;=3,"Average","Poor")))</f>
        <v>Excellent</v>
      </c>
      <c r="L72" s="26" t="str">
        <f>IF(Table35[[#This Row],[Discount]]&gt;=10,"High",IF(Table35[[#This Row],[Discount]]&gt;=5,"Medium","No Discount"))</f>
        <v>High</v>
      </c>
      <c r="M72" s="26" t="str">
        <f>IF(Table35[[#This Row],[Status]]="Completed","Done",IF(Table35[[#This Row],[Status]]="Pending","Waiting","Rejected"))</f>
        <v>Rejected</v>
      </c>
      <c r="N72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73" spans="1:14" x14ac:dyDescent="0.25">
      <c r="A73" s="16">
        <v>1073</v>
      </c>
      <c r="B73" s="17">
        <v>46159</v>
      </c>
      <c r="C73" s="18" t="s">
        <v>10</v>
      </c>
      <c r="D73" s="18" t="s">
        <v>21</v>
      </c>
      <c r="E73" s="18" t="s">
        <v>12</v>
      </c>
      <c r="F73" s="18" t="s">
        <v>13</v>
      </c>
      <c r="G73" s="16">
        <v>4</v>
      </c>
      <c r="H73" s="19">
        <v>823</v>
      </c>
      <c r="I73" s="16">
        <v>0</v>
      </c>
      <c r="J73" s="18" t="s">
        <v>19</v>
      </c>
      <c r="K73" s="26" t="str">
        <f>IF(Table35[[#This Row],[Qty]]&gt;=8,"Excellent",IF(Table35[[#This Row],[Qty]]&gt;=5,"Good",IF(Table35[[#This Row],[Qty]]&gt;=3,"Average","Poor")))</f>
        <v>Average</v>
      </c>
      <c r="L73" s="26" t="str">
        <f>IF(Table35[[#This Row],[Discount]]&gt;=10,"High",IF(Table35[[#This Row],[Discount]]&gt;=5,"Medium","No Discount"))</f>
        <v>No Discount</v>
      </c>
      <c r="M73" s="26" t="str">
        <f>IF(Table35[[#This Row],[Status]]="Completed","Done",IF(Table35[[#This Row],[Status]]="Pending","Waiting","Rejected"))</f>
        <v>Rejected</v>
      </c>
      <c r="N73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74" spans="1:14" x14ac:dyDescent="0.25">
      <c r="A74" s="11">
        <v>1074</v>
      </c>
      <c r="B74" s="12">
        <v>46099</v>
      </c>
      <c r="C74" s="13" t="s">
        <v>10</v>
      </c>
      <c r="D74" s="13" t="s">
        <v>24</v>
      </c>
      <c r="E74" s="13" t="s">
        <v>12</v>
      </c>
      <c r="F74" s="13" t="s">
        <v>13</v>
      </c>
      <c r="G74" s="11">
        <v>6</v>
      </c>
      <c r="H74" s="14">
        <v>452</v>
      </c>
      <c r="I74" s="11">
        <v>10</v>
      </c>
      <c r="J74" s="13" t="s">
        <v>14</v>
      </c>
      <c r="K74" s="26" t="str">
        <f>IF(Table35[[#This Row],[Qty]]&gt;=8,"Excellent",IF(Table35[[#This Row],[Qty]]&gt;=5,"Good",IF(Table35[[#This Row],[Qty]]&gt;=3,"Average","Poor")))</f>
        <v>Good</v>
      </c>
      <c r="L74" s="26" t="str">
        <f>IF(Table35[[#This Row],[Discount]]&gt;=10,"High",IF(Table35[[#This Row],[Discount]]&gt;=5,"Medium","No Discount"))</f>
        <v>High</v>
      </c>
      <c r="M74" s="26" t="str">
        <f>IF(Table35[[#This Row],[Status]]="Completed","Done",IF(Table35[[#This Row],[Status]]="Pending","Waiting","Rejected"))</f>
        <v>Waiting</v>
      </c>
      <c r="N74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75" spans="1:14" x14ac:dyDescent="0.25">
      <c r="A75" s="16">
        <v>1075</v>
      </c>
      <c r="B75" s="17">
        <v>46165</v>
      </c>
      <c r="C75" s="18" t="s">
        <v>10</v>
      </c>
      <c r="D75" s="18" t="s">
        <v>24</v>
      </c>
      <c r="E75" s="18" t="s">
        <v>17</v>
      </c>
      <c r="F75" s="18" t="s">
        <v>18</v>
      </c>
      <c r="G75" s="16">
        <v>8</v>
      </c>
      <c r="H75" s="19">
        <v>1120</v>
      </c>
      <c r="I75" s="16">
        <v>15</v>
      </c>
      <c r="J75" s="18" t="s">
        <v>27</v>
      </c>
      <c r="K75" s="26" t="str">
        <f>IF(Table35[[#This Row],[Qty]]&gt;=8,"Excellent",IF(Table35[[#This Row],[Qty]]&gt;=5,"Good",IF(Table35[[#This Row],[Qty]]&gt;=3,"Average","Poor")))</f>
        <v>Excellent</v>
      </c>
      <c r="L75" s="26" t="str">
        <f>IF(Table35[[#This Row],[Discount]]&gt;=10,"High",IF(Table35[[#This Row],[Discount]]&gt;=5,"Medium","No Discount"))</f>
        <v>High</v>
      </c>
      <c r="M75" s="26" t="str">
        <f>IF(Table35[[#This Row],[Status]]="Completed","Done",IF(Table35[[#This Row],[Status]]="Pending","Waiting","Rejected"))</f>
        <v>Done</v>
      </c>
      <c r="N75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76" spans="1:14" x14ac:dyDescent="0.25">
      <c r="A76" s="11">
        <v>1076</v>
      </c>
      <c r="B76" s="12">
        <v>46078</v>
      </c>
      <c r="C76" s="13" t="s">
        <v>20</v>
      </c>
      <c r="D76" s="13" t="s">
        <v>11</v>
      </c>
      <c r="E76" s="13" t="s">
        <v>31</v>
      </c>
      <c r="F76" s="13" t="s">
        <v>13</v>
      </c>
      <c r="G76" s="11">
        <v>3</v>
      </c>
      <c r="H76" s="14">
        <v>1778</v>
      </c>
      <c r="I76" s="11">
        <v>10</v>
      </c>
      <c r="J76" s="13" t="s">
        <v>19</v>
      </c>
      <c r="K76" s="26" t="str">
        <f>IF(Table35[[#This Row],[Qty]]&gt;=8,"Excellent",IF(Table35[[#This Row],[Qty]]&gt;=5,"Good",IF(Table35[[#This Row],[Qty]]&gt;=3,"Average","Poor")))</f>
        <v>Average</v>
      </c>
      <c r="L76" s="26" t="str">
        <f>IF(Table35[[#This Row],[Discount]]&gt;=10,"High",IF(Table35[[#This Row],[Discount]]&gt;=5,"Medium","No Discount"))</f>
        <v>High</v>
      </c>
      <c r="M76" s="26" t="str">
        <f>IF(Table35[[#This Row],[Status]]="Completed","Done",IF(Table35[[#This Row],[Status]]="Pending","Waiting","Rejected"))</f>
        <v>Rejected</v>
      </c>
      <c r="N76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77" spans="1:14" x14ac:dyDescent="0.25">
      <c r="A77" s="16">
        <v>1077</v>
      </c>
      <c r="B77" s="17">
        <v>46152</v>
      </c>
      <c r="C77" s="18" t="s">
        <v>15</v>
      </c>
      <c r="D77" s="18" t="s">
        <v>24</v>
      </c>
      <c r="E77" s="18" t="s">
        <v>22</v>
      </c>
      <c r="F77" s="18" t="s">
        <v>23</v>
      </c>
      <c r="G77" s="16">
        <v>3</v>
      </c>
      <c r="H77" s="19">
        <v>253</v>
      </c>
      <c r="I77" s="16">
        <v>10</v>
      </c>
      <c r="J77" s="18" t="s">
        <v>19</v>
      </c>
      <c r="K77" s="26" t="str">
        <f>IF(Table35[[#This Row],[Qty]]&gt;=8,"Excellent",IF(Table35[[#This Row],[Qty]]&gt;=5,"Good",IF(Table35[[#This Row],[Qty]]&gt;=3,"Average","Poor")))</f>
        <v>Average</v>
      </c>
      <c r="L77" s="26" t="str">
        <f>IF(Table35[[#This Row],[Discount]]&gt;=10,"High",IF(Table35[[#This Row],[Discount]]&gt;=5,"Medium","No Discount"))</f>
        <v>High</v>
      </c>
      <c r="M77" s="26" t="str">
        <f>IF(Table35[[#This Row],[Status]]="Completed","Done",IF(Table35[[#This Row],[Status]]="Pending","Waiting","Rejected"))</f>
        <v>Rejected</v>
      </c>
      <c r="N77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78" spans="1:14" x14ac:dyDescent="0.25">
      <c r="A78" s="11">
        <v>1078</v>
      </c>
      <c r="B78" s="12">
        <v>46092</v>
      </c>
      <c r="C78" s="13" t="s">
        <v>15</v>
      </c>
      <c r="D78" s="13" t="s">
        <v>21</v>
      </c>
      <c r="E78" s="13" t="s">
        <v>31</v>
      </c>
      <c r="F78" s="13" t="s">
        <v>13</v>
      </c>
      <c r="G78" s="11">
        <v>5</v>
      </c>
      <c r="H78" s="14">
        <v>1023</v>
      </c>
      <c r="I78" s="11">
        <v>0</v>
      </c>
      <c r="J78" s="13" t="s">
        <v>14</v>
      </c>
      <c r="K78" s="26" t="str">
        <f>IF(Table35[[#This Row],[Qty]]&gt;=8,"Excellent",IF(Table35[[#This Row],[Qty]]&gt;=5,"Good",IF(Table35[[#This Row],[Qty]]&gt;=3,"Average","Poor")))</f>
        <v>Good</v>
      </c>
      <c r="L78" s="26" t="str">
        <f>IF(Table35[[#This Row],[Discount]]&gt;=10,"High",IF(Table35[[#This Row],[Discount]]&gt;=5,"Medium","No Discount"))</f>
        <v>No Discount</v>
      </c>
      <c r="M78" s="26" t="str">
        <f>IF(Table35[[#This Row],[Status]]="Completed","Done",IF(Table35[[#This Row],[Status]]="Pending","Waiting","Rejected"))</f>
        <v>Waiting</v>
      </c>
      <c r="N78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79" spans="1:14" x14ac:dyDescent="0.25">
      <c r="A79" s="16">
        <v>1079</v>
      </c>
      <c r="B79" s="17">
        <v>46168</v>
      </c>
      <c r="C79" s="18" t="s">
        <v>20</v>
      </c>
      <c r="D79" s="18" t="s">
        <v>21</v>
      </c>
      <c r="E79" s="18" t="s">
        <v>17</v>
      </c>
      <c r="F79" s="18" t="s">
        <v>18</v>
      </c>
      <c r="G79" s="16">
        <v>1</v>
      </c>
      <c r="H79" s="19">
        <v>768</v>
      </c>
      <c r="I79" s="16">
        <v>15</v>
      </c>
      <c r="J79" s="18" t="s">
        <v>19</v>
      </c>
      <c r="K79" s="26" t="str">
        <f>IF(Table35[[#This Row],[Qty]]&gt;=8,"Excellent",IF(Table35[[#This Row],[Qty]]&gt;=5,"Good",IF(Table35[[#This Row],[Qty]]&gt;=3,"Average","Poor")))</f>
        <v>Poor</v>
      </c>
      <c r="L79" s="26" t="str">
        <f>IF(Table35[[#This Row],[Discount]]&gt;=10,"High",IF(Table35[[#This Row],[Discount]]&gt;=5,"Medium","No Discount"))</f>
        <v>High</v>
      </c>
      <c r="M79" s="26" t="str">
        <f>IF(Table35[[#This Row],[Status]]="Completed","Done",IF(Table35[[#This Row],[Status]]="Pending","Waiting","Rejected"))</f>
        <v>Rejected</v>
      </c>
      <c r="N79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80" spans="1:14" x14ac:dyDescent="0.25">
      <c r="A80" s="11">
        <v>1080</v>
      </c>
      <c r="B80" s="12">
        <v>46154</v>
      </c>
      <c r="C80" s="13" t="s">
        <v>29</v>
      </c>
      <c r="D80" s="13" t="s">
        <v>16</v>
      </c>
      <c r="E80" s="13" t="s">
        <v>25</v>
      </c>
      <c r="F80" s="13" t="s">
        <v>18</v>
      </c>
      <c r="G80" s="11">
        <v>7</v>
      </c>
      <c r="H80" s="14">
        <v>1055</v>
      </c>
      <c r="I80" s="11">
        <v>5</v>
      </c>
      <c r="J80" s="13" t="s">
        <v>19</v>
      </c>
      <c r="K80" s="26" t="str">
        <f>IF(Table35[[#This Row],[Qty]]&gt;=8,"Excellent",IF(Table35[[#This Row],[Qty]]&gt;=5,"Good",IF(Table35[[#This Row],[Qty]]&gt;=3,"Average","Poor")))</f>
        <v>Good</v>
      </c>
      <c r="L80" s="26" t="str">
        <f>IF(Table35[[#This Row],[Discount]]&gt;=10,"High",IF(Table35[[#This Row],[Discount]]&gt;=5,"Medium","No Discount"))</f>
        <v>Medium</v>
      </c>
      <c r="M80" s="26" t="str">
        <f>IF(Table35[[#This Row],[Status]]="Completed","Done",IF(Table35[[#This Row],[Status]]="Pending","Waiting","Rejected"))</f>
        <v>Rejected</v>
      </c>
      <c r="N80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81" spans="1:14" x14ac:dyDescent="0.25">
      <c r="A81" s="16">
        <v>1081</v>
      </c>
      <c r="B81" s="17">
        <v>46201</v>
      </c>
      <c r="C81" s="18" t="s">
        <v>29</v>
      </c>
      <c r="D81" s="18" t="s">
        <v>11</v>
      </c>
      <c r="E81" s="18" t="s">
        <v>31</v>
      </c>
      <c r="F81" s="18" t="s">
        <v>13</v>
      </c>
      <c r="G81" s="16">
        <v>2</v>
      </c>
      <c r="H81" s="19">
        <v>693</v>
      </c>
      <c r="I81" s="16">
        <v>5</v>
      </c>
      <c r="J81" s="18" t="s">
        <v>27</v>
      </c>
      <c r="K81" s="26" t="str">
        <f>IF(Table35[[#This Row],[Qty]]&gt;=8,"Excellent",IF(Table35[[#This Row],[Qty]]&gt;=5,"Good",IF(Table35[[#This Row],[Qty]]&gt;=3,"Average","Poor")))</f>
        <v>Poor</v>
      </c>
      <c r="L81" s="26" t="str">
        <f>IF(Table35[[#This Row],[Discount]]&gt;=10,"High",IF(Table35[[#This Row],[Discount]]&gt;=5,"Medium","No Discount"))</f>
        <v>Medium</v>
      </c>
      <c r="M81" s="26" t="str">
        <f>IF(Table35[[#This Row],[Status]]="Completed","Done",IF(Table35[[#This Row],[Status]]="Pending","Waiting","Rejected"))</f>
        <v>Done</v>
      </c>
      <c r="N81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82" spans="1:14" x14ac:dyDescent="0.25">
      <c r="A82" s="11">
        <v>1082</v>
      </c>
      <c r="B82" s="12">
        <v>46079</v>
      </c>
      <c r="C82" s="13" t="s">
        <v>15</v>
      </c>
      <c r="D82" s="13" t="s">
        <v>16</v>
      </c>
      <c r="E82" s="13" t="s">
        <v>17</v>
      </c>
      <c r="F82" s="13" t="s">
        <v>18</v>
      </c>
      <c r="G82" s="11">
        <v>10</v>
      </c>
      <c r="H82" s="14">
        <v>1898</v>
      </c>
      <c r="I82" s="11">
        <v>5</v>
      </c>
      <c r="J82" s="13" t="s">
        <v>27</v>
      </c>
      <c r="K82" s="26" t="str">
        <f>IF(Table35[[#This Row],[Qty]]&gt;=8,"Excellent",IF(Table35[[#This Row],[Qty]]&gt;=5,"Good",IF(Table35[[#This Row],[Qty]]&gt;=3,"Average","Poor")))</f>
        <v>Excellent</v>
      </c>
      <c r="L82" s="26" t="str">
        <f>IF(Table35[[#This Row],[Discount]]&gt;=10,"High",IF(Table35[[#This Row],[Discount]]&gt;=5,"Medium","No Discount"))</f>
        <v>Medium</v>
      </c>
      <c r="M82" s="26" t="str">
        <f>IF(Table35[[#This Row],[Status]]="Completed","Done",IF(Table35[[#This Row],[Status]]="Pending","Waiting","Rejected"))</f>
        <v>Done</v>
      </c>
      <c r="N82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Platinum</v>
      </c>
    </row>
    <row r="83" spans="1:14" x14ac:dyDescent="0.25">
      <c r="A83" s="16">
        <v>1083</v>
      </c>
      <c r="B83" s="17">
        <v>46176</v>
      </c>
      <c r="C83" s="18" t="s">
        <v>20</v>
      </c>
      <c r="D83" s="18" t="s">
        <v>30</v>
      </c>
      <c r="E83" s="18" t="s">
        <v>31</v>
      </c>
      <c r="F83" s="18" t="s">
        <v>13</v>
      </c>
      <c r="G83" s="16">
        <v>4</v>
      </c>
      <c r="H83" s="19">
        <v>951</v>
      </c>
      <c r="I83" s="16">
        <v>10</v>
      </c>
      <c r="J83" s="18" t="s">
        <v>27</v>
      </c>
      <c r="K83" s="26" t="str">
        <f>IF(Table35[[#This Row],[Qty]]&gt;=8,"Excellent",IF(Table35[[#This Row],[Qty]]&gt;=5,"Good",IF(Table35[[#This Row],[Qty]]&gt;=3,"Average","Poor")))</f>
        <v>Average</v>
      </c>
      <c r="L83" s="26" t="str">
        <f>IF(Table35[[#This Row],[Discount]]&gt;=10,"High",IF(Table35[[#This Row],[Discount]]&gt;=5,"Medium","No Discount"))</f>
        <v>High</v>
      </c>
      <c r="M83" s="26" t="str">
        <f>IF(Table35[[#This Row],[Status]]="Completed","Done",IF(Table35[[#This Row],[Status]]="Pending","Waiting","Rejected"))</f>
        <v>Done</v>
      </c>
      <c r="N83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84" spans="1:14" x14ac:dyDescent="0.25">
      <c r="A84" s="11">
        <v>1084</v>
      </c>
      <c r="B84" s="12">
        <v>46091</v>
      </c>
      <c r="C84" s="13" t="s">
        <v>10</v>
      </c>
      <c r="D84" s="13" t="s">
        <v>30</v>
      </c>
      <c r="E84" s="13" t="s">
        <v>25</v>
      </c>
      <c r="F84" s="13" t="s">
        <v>18</v>
      </c>
      <c r="G84" s="11">
        <v>5</v>
      </c>
      <c r="H84" s="14">
        <v>106</v>
      </c>
      <c r="I84" s="11">
        <v>0</v>
      </c>
      <c r="J84" s="13" t="s">
        <v>19</v>
      </c>
      <c r="K84" s="26" t="str">
        <f>IF(Table35[[#This Row],[Qty]]&gt;=8,"Excellent",IF(Table35[[#This Row],[Qty]]&gt;=5,"Good",IF(Table35[[#This Row],[Qty]]&gt;=3,"Average","Poor")))</f>
        <v>Good</v>
      </c>
      <c r="L84" s="26" t="str">
        <f>IF(Table35[[#This Row],[Discount]]&gt;=10,"High",IF(Table35[[#This Row],[Discount]]&gt;=5,"Medium","No Discount"))</f>
        <v>No Discount</v>
      </c>
      <c r="M84" s="26" t="str">
        <f>IF(Table35[[#This Row],[Status]]="Completed","Done",IF(Table35[[#This Row],[Status]]="Pending","Waiting","Rejected"))</f>
        <v>Rejected</v>
      </c>
      <c r="N84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85" spans="1:14" x14ac:dyDescent="0.25">
      <c r="A85" s="16">
        <v>1085</v>
      </c>
      <c r="B85" s="17">
        <v>46045</v>
      </c>
      <c r="C85" s="18" t="s">
        <v>29</v>
      </c>
      <c r="D85" s="18" t="s">
        <v>30</v>
      </c>
      <c r="E85" s="18" t="s">
        <v>26</v>
      </c>
      <c r="F85" s="18" t="s">
        <v>23</v>
      </c>
      <c r="G85" s="16">
        <v>2</v>
      </c>
      <c r="H85" s="19">
        <v>1041</v>
      </c>
      <c r="I85" s="16">
        <v>10</v>
      </c>
      <c r="J85" s="18" t="s">
        <v>14</v>
      </c>
      <c r="K85" s="26" t="str">
        <f>IF(Table35[[#This Row],[Qty]]&gt;=8,"Excellent",IF(Table35[[#This Row],[Qty]]&gt;=5,"Good",IF(Table35[[#This Row],[Qty]]&gt;=3,"Average","Poor")))</f>
        <v>Poor</v>
      </c>
      <c r="L85" s="26" t="str">
        <f>IF(Table35[[#This Row],[Discount]]&gt;=10,"High",IF(Table35[[#This Row],[Discount]]&gt;=5,"Medium","No Discount"))</f>
        <v>High</v>
      </c>
      <c r="M85" s="26" t="str">
        <f>IF(Table35[[#This Row],[Status]]="Completed","Done",IF(Table35[[#This Row],[Status]]="Pending","Waiting","Rejected"))</f>
        <v>Waiting</v>
      </c>
      <c r="N85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86" spans="1:14" x14ac:dyDescent="0.25">
      <c r="A86" s="11">
        <v>1086</v>
      </c>
      <c r="B86" s="12">
        <v>46130</v>
      </c>
      <c r="C86" s="13" t="s">
        <v>20</v>
      </c>
      <c r="D86" s="13" t="s">
        <v>21</v>
      </c>
      <c r="E86" s="13" t="s">
        <v>22</v>
      </c>
      <c r="F86" s="13" t="s">
        <v>23</v>
      </c>
      <c r="G86" s="11">
        <v>5</v>
      </c>
      <c r="H86" s="14">
        <v>1359</v>
      </c>
      <c r="I86" s="11">
        <v>5</v>
      </c>
      <c r="J86" s="13" t="s">
        <v>14</v>
      </c>
      <c r="K86" s="26" t="str">
        <f>IF(Table35[[#This Row],[Qty]]&gt;=8,"Excellent",IF(Table35[[#This Row],[Qty]]&gt;=5,"Good",IF(Table35[[#This Row],[Qty]]&gt;=3,"Average","Poor")))</f>
        <v>Good</v>
      </c>
      <c r="L86" s="26" t="str">
        <f>IF(Table35[[#This Row],[Discount]]&gt;=10,"High",IF(Table35[[#This Row],[Discount]]&gt;=5,"Medium","No Discount"))</f>
        <v>Medium</v>
      </c>
      <c r="M86" s="26" t="str">
        <f>IF(Table35[[#This Row],[Status]]="Completed","Done",IF(Table35[[#This Row],[Status]]="Pending","Waiting","Rejected"))</f>
        <v>Waiting</v>
      </c>
      <c r="N86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87" spans="1:14" x14ac:dyDescent="0.25">
      <c r="A87" s="16">
        <v>1087</v>
      </c>
      <c r="B87" s="17">
        <v>46191</v>
      </c>
      <c r="C87" s="18" t="s">
        <v>20</v>
      </c>
      <c r="D87" s="18" t="s">
        <v>30</v>
      </c>
      <c r="E87" s="18" t="s">
        <v>31</v>
      </c>
      <c r="F87" s="18" t="s">
        <v>13</v>
      </c>
      <c r="G87" s="16">
        <v>2</v>
      </c>
      <c r="H87" s="19">
        <v>1545</v>
      </c>
      <c r="I87" s="16">
        <v>0</v>
      </c>
      <c r="J87" s="18" t="s">
        <v>19</v>
      </c>
      <c r="K87" s="26" t="str">
        <f>IF(Table35[[#This Row],[Qty]]&gt;=8,"Excellent",IF(Table35[[#This Row],[Qty]]&gt;=5,"Good",IF(Table35[[#This Row],[Qty]]&gt;=3,"Average","Poor")))</f>
        <v>Poor</v>
      </c>
      <c r="L87" s="26" t="str">
        <f>IF(Table35[[#This Row],[Discount]]&gt;=10,"High",IF(Table35[[#This Row],[Discount]]&gt;=5,"Medium","No Discount"))</f>
        <v>No Discount</v>
      </c>
      <c r="M87" s="26" t="str">
        <f>IF(Table35[[#This Row],[Status]]="Completed","Done",IF(Table35[[#This Row],[Status]]="Pending","Waiting","Rejected"))</f>
        <v>Rejected</v>
      </c>
      <c r="N87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88" spans="1:14" x14ac:dyDescent="0.25">
      <c r="A88" s="11">
        <v>1088</v>
      </c>
      <c r="B88" s="12">
        <v>46108</v>
      </c>
      <c r="C88" s="13" t="s">
        <v>29</v>
      </c>
      <c r="D88" s="13" t="s">
        <v>16</v>
      </c>
      <c r="E88" s="13" t="s">
        <v>26</v>
      </c>
      <c r="F88" s="13" t="s">
        <v>23</v>
      </c>
      <c r="G88" s="11">
        <v>7</v>
      </c>
      <c r="H88" s="14">
        <v>553</v>
      </c>
      <c r="I88" s="11">
        <v>15</v>
      </c>
      <c r="J88" s="13" t="s">
        <v>14</v>
      </c>
      <c r="K88" s="26" t="str">
        <f>IF(Table35[[#This Row],[Qty]]&gt;=8,"Excellent",IF(Table35[[#This Row],[Qty]]&gt;=5,"Good",IF(Table35[[#This Row],[Qty]]&gt;=3,"Average","Poor")))</f>
        <v>Good</v>
      </c>
      <c r="L88" s="26" t="str">
        <f>IF(Table35[[#This Row],[Discount]]&gt;=10,"High",IF(Table35[[#This Row],[Discount]]&gt;=5,"Medium","No Discount"))</f>
        <v>High</v>
      </c>
      <c r="M88" s="26" t="str">
        <f>IF(Table35[[#This Row],[Status]]="Completed","Done",IF(Table35[[#This Row],[Status]]="Pending","Waiting","Rejected"))</f>
        <v>Waiting</v>
      </c>
      <c r="N88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89" spans="1:14" x14ac:dyDescent="0.25">
      <c r="A89" s="16">
        <v>1089</v>
      </c>
      <c r="B89" s="17">
        <v>46092</v>
      </c>
      <c r="C89" s="18" t="s">
        <v>10</v>
      </c>
      <c r="D89" s="18" t="s">
        <v>30</v>
      </c>
      <c r="E89" s="18" t="s">
        <v>17</v>
      </c>
      <c r="F89" s="18" t="s">
        <v>18</v>
      </c>
      <c r="G89" s="16">
        <v>9</v>
      </c>
      <c r="H89" s="19">
        <v>1572</v>
      </c>
      <c r="I89" s="16">
        <v>0</v>
      </c>
      <c r="J89" s="18" t="s">
        <v>27</v>
      </c>
      <c r="K89" s="26" t="str">
        <f>IF(Table35[[#This Row],[Qty]]&gt;=8,"Excellent",IF(Table35[[#This Row],[Qty]]&gt;=5,"Good",IF(Table35[[#This Row],[Qty]]&gt;=3,"Average","Poor")))</f>
        <v>Excellent</v>
      </c>
      <c r="L89" s="26" t="str">
        <f>IF(Table35[[#This Row],[Discount]]&gt;=10,"High",IF(Table35[[#This Row],[Discount]]&gt;=5,"Medium","No Discount"))</f>
        <v>No Discount</v>
      </c>
      <c r="M89" s="26" t="str">
        <f>IF(Table35[[#This Row],[Status]]="Completed","Done",IF(Table35[[#This Row],[Status]]="Pending","Waiting","Rejected"))</f>
        <v>Done</v>
      </c>
      <c r="N89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Gold</v>
      </c>
    </row>
    <row r="90" spans="1:14" x14ac:dyDescent="0.25">
      <c r="A90" s="11">
        <v>1090</v>
      </c>
      <c r="B90" s="12">
        <v>46166</v>
      </c>
      <c r="C90" s="13" t="s">
        <v>10</v>
      </c>
      <c r="D90" s="13" t="s">
        <v>21</v>
      </c>
      <c r="E90" s="13" t="s">
        <v>31</v>
      </c>
      <c r="F90" s="13" t="s">
        <v>13</v>
      </c>
      <c r="G90" s="11">
        <v>2</v>
      </c>
      <c r="H90" s="14">
        <v>156</v>
      </c>
      <c r="I90" s="11">
        <v>10</v>
      </c>
      <c r="J90" s="13" t="s">
        <v>27</v>
      </c>
      <c r="K90" s="26" t="str">
        <f>IF(Table35[[#This Row],[Qty]]&gt;=8,"Excellent",IF(Table35[[#This Row],[Qty]]&gt;=5,"Good",IF(Table35[[#This Row],[Qty]]&gt;=3,"Average","Poor")))</f>
        <v>Poor</v>
      </c>
      <c r="L90" s="26" t="str">
        <f>IF(Table35[[#This Row],[Discount]]&gt;=10,"High",IF(Table35[[#This Row],[Discount]]&gt;=5,"Medium","No Discount"))</f>
        <v>High</v>
      </c>
      <c r="M90" s="26" t="str">
        <f>IF(Table35[[#This Row],[Status]]="Completed","Done",IF(Table35[[#This Row],[Status]]="Pending","Waiting","Rejected"))</f>
        <v>Done</v>
      </c>
      <c r="N90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91" spans="1:14" x14ac:dyDescent="0.25">
      <c r="A91" s="16">
        <v>1091</v>
      </c>
      <c r="B91" s="17">
        <v>46145</v>
      </c>
      <c r="C91" s="18" t="s">
        <v>29</v>
      </c>
      <c r="D91" s="18" t="s">
        <v>30</v>
      </c>
      <c r="E91" s="18" t="s">
        <v>26</v>
      </c>
      <c r="F91" s="18" t="s">
        <v>23</v>
      </c>
      <c r="G91" s="16">
        <v>2</v>
      </c>
      <c r="H91" s="19">
        <v>525</v>
      </c>
      <c r="I91" s="16">
        <v>5</v>
      </c>
      <c r="J91" s="18" t="s">
        <v>27</v>
      </c>
      <c r="K91" s="26" t="str">
        <f>IF(Table35[[#This Row],[Qty]]&gt;=8,"Excellent",IF(Table35[[#This Row],[Qty]]&gt;=5,"Good",IF(Table35[[#This Row],[Qty]]&gt;=3,"Average","Poor")))</f>
        <v>Poor</v>
      </c>
      <c r="L91" s="26" t="str">
        <f>IF(Table35[[#This Row],[Discount]]&gt;=10,"High",IF(Table35[[#This Row],[Discount]]&gt;=5,"Medium","No Discount"))</f>
        <v>Medium</v>
      </c>
      <c r="M91" s="26" t="str">
        <f>IF(Table35[[#This Row],[Status]]="Completed","Done",IF(Table35[[#This Row],[Status]]="Pending","Waiting","Rejected"))</f>
        <v>Done</v>
      </c>
      <c r="N91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92" spans="1:14" x14ac:dyDescent="0.25">
      <c r="A92" s="11">
        <v>1092</v>
      </c>
      <c r="B92" s="12">
        <v>46086</v>
      </c>
      <c r="C92" s="13" t="s">
        <v>20</v>
      </c>
      <c r="D92" s="13" t="s">
        <v>21</v>
      </c>
      <c r="E92" s="13" t="s">
        <v>22</v>
      </c>
      <c r="F92" s="13" t="s">
        <v>23</v>
      </c>
      <c r="G92" s="11">
        <v>6</v>
      </c>
      <c r="H92" s="14">
        <v>426</v>
      </c>
      <c r="I92" s="11">
        <v>10</v>
      </c>
      <c r="J92" s="13" t="s">
        <v>27</v>
      </c>
      <c r="K92" s="26" t="str">
        <f>IF(Table35[[#This Row],[Qty]]&gt;=8,"Excellent",IF(Table35[[#This Row],[Qty]]&gt;=5,"Good",IF(Table35[[#This Row],[Qty]]&gt;=3,"Average","Poor")))</f>
        <v>Good</v>
      </c>
      <c r="L92" s="26" t="str">
        <f>IF(Table35[[#This Row],[Discount]]&gt;=10,"High",IF(Table35[[#This Row],[Discount]]&gt;=5,"Medium","No Discount"))</f>
        <v>High</v>
      </c>
      <c r="M92" s="26" t="str">
        <f>IF(Table35[[#This Row],[Status]]="Completed","Done",IF(Table35[[#This Row],[Status]]="Pending","Waiting","Rejected"))</f>
        <v>Done</v>
      </c>
      <c r="N92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93" spans="1:14" x14ac:dyDescent="0.25">
      <c r="A93" s="16">
        <v>1093</v>
      </c>
      <c r="B93" s="17">
        <v>46033</v>
      </c>
      <c r="C93" s="18" t="s">
        <v>29</v>
      </c>
      <c r="D93" s="18" t="s">
        <v>30</v>
      </c>
      <c r="E93" s="18" t="s">
        <v>25</v>
      </c>
      <c r="F93" s="18" t="s">
        <v>18</v>
      </c>
      <c r="G93" s="16">
        <v>1</v>
      </c>
      <c r="H93" s="19">
        <v>1473</v>
      </c>
      <c r="I93" s="16">
        <v>0</v>
      </c>
      <c r="J93" s="18" t="s">
        <v>27</v>
      </c>
      <c r="K93" s="26" t="str">
        <f>IF(Table35[[#This Row],[Qty]]&gt;=8,"Excellent",IF(Table35[[#This Row],[Qty]]&gt;=5,"Good",IF(Table35[[#This Row],[Qty]]&gt;=3,"Average","Poor")))</f>
        <v>Poor</v>
      </c>
      <c r="L93" s="26" t="str">
        <f>IF(Table35[[#This Row],[Discount]]&gt;=10,"High",IF(Table35[[#This Row],[Discount]]&gt;=5,"Medium","No Discount"))</f>
        <v>No Discount</v>
      </c>
      <c r="M93" s="26" t="str">
        <f>IF(Table35[[#This Row],[Status]]="Completed","Done",IF(Table35[[#This Row],[Status]]="Pending","Waiting","Rejected"))</f>
        <v>Done</v>
      </c>
      <c r="N93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94" spans="1:14" x14ac:dyDescent="0.25">
      <c r="A94" s="11">
        <v>1094</v>
      </c>
      <c r="B94" s="12">
        <v>46117</v>
      </c>
      <c r="C94" s="13" t="s">
        <v>15</v>
      </c>
      <c r="D94" s="13" t="s">
        <v>24</v>
      </c>
      <c r="E94" s="13" t="s">
        <v>26</v>
      </c>
      <c r="F94" s="13" t="s">
        <v>23</v>
      </c>
      <c r="G94" s="11">
        <v>9</v>
      </c>
      <c r="H94" s="14">
        <v>1895</v>
      </c>
      <c r="I94" s="11">
        <v>0</v>
      </c>
      <c r="J94" s="13" t="s">
        <v>27</v>
      </c>
      <c r="K94" s="26" t="str">
        <f>IF(Table35[[#This Row],[Qty]]&gt;=8,"Excellent",IF(Table35[[#This Row],[Qty]]&gt;=5,"Good",IF(Table35[[#This Row],[Qty]]&gt;=3,"Average","Poor")))</f>
        <v>Excellent</v>
      </c>
      <c r="L94" s="26" t="str">
        <f>IF(Table35[[#This Row],[Discount]]&gt;=10,"High",IF(Table35[[#This Row],[Discount]]&gt;=5,"Medium","No Discount"))</f>
        <v>No Discount</v>
      </c>
      <c r="M94" s="26" t="str">
        <f>IF(Table35[[#This Row],[Status]]="Completed","Done",IF(Table35[[#This Row],[Status]]="Pending","Waiting","Rejected"))</f>
        <v>Done</v>
      </c>
      <c r="N94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Platinum</v>
      </c>
    </row>
    <row r="95" spans="1:14" x14ac:dyDescent="0.25">
      <c r="A95" s="16">
        <v>1095</v>
      </c>
      <c r="B95" s="17">
        <v>46100</v>
      </c>
      <c r="C95" s="18" t="s">
        <v>20</v>
      </c>
      <c r="D95" s="18" t="s">
        <v>16</v>
      </c>
      <c r="E95" s="18" t="s">
        <v>12</v>
      </c>
      <c r="F95" s="18" t="s">
        <v>13</v>
      </c>
      <c r="G95" s="16">
        <v>5</v>
      </c>
      <c r="H95" s="19">
        <v>944</v>
      </c>
      <c r="I95" s="16">
        <v>10</v>
      </c>
      <c r="J95" s="18" t="s">
        <v>27</v>
      </c>
      <c r="K95" s="26" t="str">
        <f>IF(Table35[[#This Row],[Qty]]&gt;=8,"Excellent",IF(Table35[[#This Row],[Qty]]&gt;=5,"Good",IF(Table35[[#This Row],[Qty]]&gt;=3,"Average","Poor")))</f>
        <v>Good</v>
      </c>
      <c r="L95" s="26" t="str">
        <f>IF(Table35[[#This Row],[Discount]]&gt;=10,"High",IF(Table35[[#This Row],[Discount]]&gt;=5,"Medium","No Discount"))</f>
        <v>High</v>
      </c>
      <c r="M95" s="26" t="str">
        <f>IF(Table35[[#This Row],[Status]]="Completed","Done",IF(Table35[[#This Row],[Status]]="Pending","Waiting","Rejected"))</f>
        <v>Done</v>
      </c>
      <c r="N95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96" spans="1:14" x14ac:dyDescent="0.25">
      <c r="A96" s="11">
        <v>1096</v>
      </c>
      <c r="B96" s="12">
        <v>46106</v>
      </c>
      <c r="C96" s="13" t="s">
        <v>10</v>
      </c>
      <c r="D96" s="13" t="s">
        <v>11</v>
      </c>
      <c r="E96" s="13" t="s">
        <v>25</v>
      </c>
      <c r="F96" s="13" t="s">
        <v>18</v>
      </c>
      <c r="G96" s="11">
        <v>4</v>
      </c>
      <c r="H96" s="14">
        <v>1566</v>
      </c>
      <c r="I96" s="11">
        <v>5</v>
      </c>
      <c r="J96" s="13" t="s">
        <v>19</v>
      </c>
      <c r="K96" s="26" t="str">
        <f>IF(Table35[[#This Row],[Qty]]&gt;=8,"Excellent",IF(Table35[[#This Row],[Qty]]&gt;=5,"Good",IF(Table35[[#This Row],[Qty]]&gt;=3,"Average","Poor")))</f>
        <v>Average</v>
      </c>
      <c r="L96" s="26" t="str">
        <f>IF(Table35[[#This Row],[Discount]]&gt;=10,"High",IF(Table35[[#This Row],[Discount]]&gt;=5,"Medium","No Discount"))</f>
        <v>Medium</v>
      </c>
      <c r="M96" s="26" t="str">
        <f>IF(Table35[[#This Row],[Status]]="Completed","Done",IF(Table35[[#This Row],[Status]]="Pending","Waiting","Rejected"))</f>
        <v>Rejected</v>
      </c>
      <c r="N96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  <row r="97" spans="1:14" x14ac:dyDescent="0.25">
      <c r="A97" s="16">
        <v>1097</v>
      </c>
      <c r="B97" s="17">
        <v>46169</v>
      </c>
      <c r="C97" s="18" t="s">
        <v>29</v>
      </c>
      <c r="D97" s="18" t="s">
        <v>16</v>
      </c>
      <c r="E97" s="18" t="s">
        <v>26</v>
      </c>
      <c r="F97" s="18" t="s">
        <v>23</v>
      </c>
      <c r="G97" s="16">
        <v>10</v>
      </c>
      <c r="H97" s="19">
        <v>1759</v>
      </c>
      <c r="I97" s="16">
        <v>5</v>
      </c>
      <c r="J97" s="18" t="s">
        <v>19</v>
      </c>
      <c r="K97" s="26" t="str">
        <f>IF(Table35[[#This Row],[Qty]]&gt;=8,"Excellent",IF(Table35[[#This Row],[Qty]]&gt;=5,"Good",IF(Table35[[#This Row],[Qty]]&gt;=3,"Average","Poor")))</f>
        <v>Excellent</v>
      </c>
      <c r="L97" s="26" t="str">
        <f>IF(Table35[[#This Row],[Discount]]&gt;=10,"High",IF(Table35[[#This Row],[Discount]]&gt;=5,"Medium","No Discount"))</f>
        <v>Medium</v>
      </c>
      <c r="M97" s="26" t="str">
        <f>IF(Table35[[#This Row],[Status]]="Completed","Done",IF(Table35[[#This Row],[Status]]="Pending","Waiting","Rejected"))</f>
        <v>Rejected</v>
      </c>
      <c r="N97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Platinum</v>
      </c>
    </row>
    <row r="98" spans="1:14" x14ac:dyDescent="0.25">
      <c r="A98" s="11">
        <v>1098</v>
      </c>
      <c r="B98" s="12">
        <v>46194</v>
      </c>
      <c r="C98" s="13" t="s">
        <v>29</v>
      </c>
      <c r="D98" s="13" t="s">
        <v>21</v>
      </c>
      <c r="E98" s="13" t="s">
        <v>31</v>
      </c>
      <c r="F98" s="13" t="s">
        <v>13</v>
      </c>
      <c r="G98" s="11">
        <v>3</v>
      </c>
      <c r="H98" s="14">
        <v>1473</v>
      </c>
      <c r="I98" s="11">
        <v>15</v>
      </c>
      <c r="J98" s="13" t="s">
        <v>19</v>
      </c>
      <c r="K98" s="26" t="str">
        <f>IF(Table35[[#This Row],[Qty]]&gt;=8,"Excellent",IF(Table35[[#This Row],[Qty]]&gt;=5,"Good",IF(Table35[[#This Row],[Qty]]&gt;=3,"Average","Poor")))</f>
        <v>Average</v>
      </c>
      <c r="L98" s="26" t="str">
        <f>IF(Table35[[#This Row],[Discount]]&gt;=10,"High",IF(Table35[[#This Row],[Discount]]&gt;=5,"Medium","No Discount"))</f>
        <v>High</v>
      </c>
      <c r="M98" s="26" t="str">
        <f>IF(Table35[[#This Row],[Status]]="Completed","Done",IF(Table35[[#This Row],[Status]]="Pending","Waiting","Rejected"))</f>
        <v>Rejected</v>
      </c>
      <c r="N98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99" spans="1:14" x14ac:dyDescent="0.25">
      <c r="A99" s="16">
        <v>1099</v>
      </c>
      <c r="B99" s="17">
        <v>46077</v>
      </c>
      <c r="C99" s="18" t="s">
        <v>10</v>
      </c>
      <c r="D99" s="18" t="s">
        <v>28</v>
      </c>
      <c r="E99" s="18" t="s">
        <v>25</v>
      </c>
      <c r="F99" s="18" t="s">
        <v>18</v>
      </c>
      <c r="G99" s="16">
        <v>10</v>
      </c>
      <c r="H99" s="19">
        <v>455</v>
      </c>
      <c r="I99" s="16">
        <v>5</v>
      </c>
      <c r="J99" s="18" t="s">
        <v>14</v>
      </c>
      <c r="K99" s="26" t="str">
        <f>IF(Table35[[#This Row],[Qty]]&gt;=8,"Excellent",IF(Table35[[#This Row],[Qty]]&gt;=5,"Good",IF(Table35[[#This Row],[Qty]]&gt;=3,"Average","Poor")))</f>
        <v>Excellent</v>
      </c>
      <c r="L99" s="26" t="str">
        <f>IF(Table35[[#This Row],[Discount]]&gt;=10,"High",IF(Table35[[#This Row],[Discount]]&gt;=5,"Medium","No Discount"))</f>
        <v>Medium</v>
      </c>
      <c r="M99" s="26" t="str">
        <f>IF(Table35[[#This Row],[Status]]="Completed","Done",IF(Table35[[#This Row],[Status]]="Pending","Waiting","Rejected"))</f>
        <v>Waiting</v>
      </c>
      <c r="N99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100" spans="1:14" x14ac:dyDescent="0.25">
      <c r="A100" s="11">
        <v>1100</v>
      </c>
      <c r="B100" s="12">
        <v>46107</v>
      </c>
      <c r="C100" s="13" t="s">
        <v>15</v>
      </c>
      <c r="D100" s="13" t="s">
        <v>21</v>
      </c>
      <c r="E100" s="13" t="s">
        <v>22</v>
      </c>
      <c r="F100" s="13" t="s">
        <v>23</v>
      </c>
      <c r="G100" s="11">
        <v>8</v>
      </c>
      <c r="H100" s="14">
        <v>185</v>
      </c>
      <c r="I100" s="11">
        <v>5</v>
      </c>
      <c r="J100" s="13" t="s">
        <v>19</v>
      </c>
      <c r="K100" s="26" t="str">
        <f>IF(Table35[[#This Row],[Qty]]&gt;=8,"Excellent",IF(Table35[[#This Row],[Qty]]&gt;=5,"Good",IF(Table35[[#This Row],[Qty]]&gt;=3,"Average","Poor")))</f>
        <v>Excellent</v>
      </c>
      <c r="L100" s="26" t="str">
        <f>IF(Table35[[#This Row],[Discount]]&gt;=10,"High",IF(Table35[[#This Row],[Discount]]&gt;=5,"Medium","No Discount"))</f>
        <v>Medium</v>
      </c>
      <c r="M100" s="26" t="str">
        <f>IF(Table35[[#This Row],[Status]]="Completed","Done",IF(Table35[[#This Row],[Status]]="Pending","Waiting","Rejected"))</f>
        <v>Rejected</v>
      </c>
      <c r="N100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Bronze</v>
      </c>
    </row>
    <row r="101" spans="1:14" x14ac:dyDescent="0.25">
      <c r="A101" s="16">
        <v>1101</v>
      </c>
      <c r="B101" s="17">
        <v>46186</v>
      </c>
      <c r="C101" s="18" t="s">
        <v>29</v>
      </c>
      <c r="D101" s="18" t="s">
        <v>30</v>
      </c>
      <c r="E101" s="18" t="s">
        <v>31</v>
      </c>
      <c r="F101" s="18" t="s">
        <v>13</v>
      </c>
      <c r="G101" s="16">
        <v>4</v>
      </c>
      <c r="H101" s="19">
        <v>1570</v>
      </c>
      <c r="I101" s="16">
        <v>0</v>
      </c>
      <c r="J101" s="18" t="s">
        <v>19</v>
      </c>
      <c r="K101" s="26" t="str">
        <f>IF(Table35[[#This Row],[Qty]]&gt;=8,"Excellent",IF(Table35[[#This Row],[Qty]]&gt;=5,"Good",IF(Table35[[#This Row],[Qty]]&gt;=3,"Average","Poor")))</f>
        <v>Average</v>
      </c>
      <c r="L101" s="26" t="str">
        <f>IF(Table35[[#This Row],[Discount]]&gt;=10,"High",IF(Table35[[#This Row],[Discount]]&gt;=5,"Medium","No Discount"))</f>
        <v>No Discount</v>
      </c>
      <c r="M101" s="26" t="str">
        <f>IF(Table35[[#This Row],[Status]]="Completed","Done",IF(Table35[[#This Row],[Status]]="Pending","Waiting","Rejected"))</f>
        <v>Rejected</v>
      </c>
      <c r="N101" s="27" t="str">
        <f>IF(Table35[[#This Row],[Qty]]*Table35[[#This Row],[UnitPrice]]&gt;=15000,"Platinum",IF(Table35[[#This Row],[Qty]]*Table35[[#This Row],[UnitPrice]]&gt;=10000,"Gold",IF(Table35[[#This Row],[Qty]]*Table35[[#This Row],[UnitPrice]]&gt;=5000,"Silver","Bronze")))</f>
        <v>Silver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716CE-0677-4D24-BEA4-3D1594D5ECF0}">
  <dimension ref="A1:P101"/>
  <sheetViews>
    <sheetView workbookViewId="0">
      <selection activeCell="P3" sqref="P3"/>
    </sheetView>
  </sheetViews>
  <sheetFormatPr defaultRowHeight="15" x14ac:dyDescent="0.25"/>
  <cols>
    <col min="1" max="1" width="12.5703125" bestFit="1" customWidth="1"/>
    <col min="2" max="2" width="9.7109375" bestFit="1" customWidth="1"/>
    <col min="3" max="3" width="11.7109375" bestFit="1" customWidth="1"/>
    <col min="4" max="4" width="16.28515625" bestFit="1" customWidth="1"/>
    <col min="5" max="5" width="12.42578125" bestFit="1" customWidth="1"/>
    <col min="6" max="6" width="13.42578125" bestFit="1" customWidth="1"/>
    <col min="7" max="7" width="8.7109375" bestFit="1" customWidth="1"/>
    <col min="8" max="8" width="13.85546875" bestFit="1" customWidth="1"/>
    <col min="9" max="9" width="13.28515625" bestFit="1" customWidth="1"/>
    <col min="10" max="10" width="11" bestFit="1" customWidth="1"/>
    <col min="11" max="11" width="14.42578125" bestFit="1" customWidth="1"/>
    <col min="12" max="13" width="13.42578125" bestFit="1" customWidth="1"/>
    <col min="14" max="14" width="23.28515625" bestFit="1" customWidth="1"/>
    <col min="16" max="16" width="14" bestFit="1" customWidth="1"/>
  </cols>
  <sheetData>
    <row r="1" spans="1:16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23" t="s">
        <v>42</v>
      </c>
      <c r="L1" s="23" t="s">
        <v>47</v>
      </c>
      <c r="M1" s="23" t="s">
        <v>48</v>
      </c>
      <c r="N1" s="23" t="s">
        <v>49</v>
      </c>
      <c r="O1" s="23" t="s">
        <v>50</v>
      </c>
      <c r="P1" s="23" t="s">
        <v>51</v>
      </c>
    </row>
    <row r="2" spans="1:16" x14ac:dyDescent="0.25">
      <c r="A2" s="11">
        <v>1002</v>
      </c>
      <c r="B2" s="12">
        <v>46174</v>
      </c>
      <c r="C2" s="13" t="s">
        <v>10</v>
      </c>
      <c r="D2" s="13" t="s">
        <v>11</v>
      </c>
      <c r="E2" s="13" t="s">
        <v>12</v>
      </c>
      <c r="F2" s="13" t="s">
        <v>13</v>
      </c>
      <c r="G2" s="11">
        <v>1</v>
      </c>
      <c r="H2" s="14">
        <v>351</v>
      </c>
      <c r="I2" s="11">
        <v>15</v>
      </c>
      <c r="J2" s="13" t="s">
        <v>14</v>
      </c>
      <c r="K2" s="26" t="str">
        <f>IF(AND(Table356[[#This Row],[Qty]]&gt;=5,Table356[[#This Row],[Discount]]&gt;=10),"Premium Offer","Regular")</f>
        <v>Regular</v>
      </c>
      <c r="L2" s="26" t="str">
        <f>IF(OR(Table356[[#This Row],[Region]]="Dhaka",Table356[[#This Row],[Region]]="Chattogram"),"Metro Area","Other")</f>
        <v>Other</v>
      </c>
      <c r="M2" s="26" t="str">
        <f>IF(AND(Table356[[#This Row],[Status]]="Completed",Table356[[#This Row],[Qty]]&gt;=5),"Top Sale","Normal Sale")</f>
        <v>Normal Sale</v>
      </c>
      <c r="N2" s="27" t="str">
        <f>IF(AND(Table356[[#This Row],[Category]]="Electronic",Table356[[#This Row],[UnitPrice]]&gt;=1000),"Premium Electronics","Not Premium Electronics")</f>
        <v>Not Premium Electronics</v>
      </c>
      <c r="O2" s="27" t="str">
        <f>IF(AND(OR(Table356[[#This Row],[Region]]="Dhaka",Table356[[#This Row],[Region]]="Rajshahi"),Table356[[#This Row],[Status]]="Completed"),"Priority","Normal")</f>
        <v>Normal</v>
      </c>
      <c r="P2" s="27" t="str">
        <f t="shared" ref="P2:P33" si="0">IF(F2="Electronics",IF(I2&gt;=10,"High Value","Electronics"),IF(F2="Furniture","Furniture Item","Others"))</f>
        <v>Furniture Item</v>
      </c>
    </row>
    <row r="3" spans="1:16" x14ac:dyDescent="0.25">
      <c r="A3" s="16">
        <v>1003</v>
      </c>
      <c r="B3" s="17">
        <v>46122</v>
      </c>
      <c r="C3" s="18" t="s">
        <v>15</v>
      </c>
      <c r="D3" s="18" t="s">
        <v>16</v>
      </c>
      <c r="E3" s="18" t="s">
        <v>17</v>
      </c>
      <c r="F3" s="18" t="s">
        <v>18</v>
      </c>
      <c r="G3" s="16">
        <v>3</v>
      </c>
      <c r="H3" s="19">
        <v>1736</v>
      </c>
      <c r="I3" s="16">
        <v>5</v>
      </c>
      <c r="J3" s="18" t="s">
        <v>19</v>
      </c>
      <c r="K3" s="26" t="str">
        <f>IF(AND(Table356[[#This Row],[Qty]]&gt;=5,Table356[[#This Row],[Discount]]&gt;=10),"Premium Offer","Regular")</f>
        <v>Regular</v>
      </c>
      <c r="L3" s="26" t="str">
        <f>IF(OR(Table356[[#This Row],[Region]]="Dhaka",Table356[[#This Row],[Region]]="Chattogram"),"Metro Area","Other")</f>
        <v>Metro Area</v>
      </c>
      <c r="M3" s="26" t="str">
        <f>IF(AND(Table356[[#This Row],[Status]]="Completed",Table356[[#This Row],[Qty]]&gt;=5),"Top Sale","Normal Sale")</f>
        <v>Normal Sale</v>
      </c>
      <c r="N3" s="27" t="str">
        <f>IF(AND(Table356[[#This Row],[Category]]="Electronic",Table356[[#This Row],[UnitPrice]]&gt;=1000),"Premium Electronics","Not Premium Electronics")</f>
        <v>Not Premium Electronics</v>
      </c>
      <c r="O3" s="27" t="str">
        <f>IF(AND(OR(Table356[[#This Row],[Region]]="Dhaka",Table356[[#This Row],[Region]]="Rajshahi"),Table356[[#This Row],[Status]]="Completed"),"Priority","Normal")</f>
        <v>Normal</v>
      </c>
      <c r="P3" s="27" t="str">
        <f>IF(F3="Electronics",IF(I3&gt;=10,"High Value","Electronics"),IF(F3="Furniture","Furniture Item","Others"))</f>
        <v>Electronics</v>
      </c>
    </row>
    <row r="4" spans="1:16" x14ac:dyDescent="0.25">
      <c r="A4" s="11">
        <v>1004</v>
      </c>
      <c r="B4" s="12">
        <v>46116</v>
      </c>
      <c r="C4" s="13" t="s">
        <v>20</v>
      </c>
      <c r="D4" s="13" t="s">
        <v>21</v>
      </c>
      <c r="E4" s="13" t="s">
        <v>22</v>
      </c>
      <c r="F4" s="13" t="s">
        <v>23</v>
      </c>
      <c r="G4" s="11">
        <v>4</v>
      </c>
      <c r="H4" s="14">
        <v>1799</v>
      </c>
      <c r="I4" s="11">
        <v>10</v>
      </c>
      <c r="J4" s="13" t="s">
        <v>14</v>
      </c>
      <c r="K4" s="26" t="str">
        <f>IF(AND(Table356[[#This Row],[Qty]]&gt;=5,Table356[[#This Row],[Discount]]&gt;=10),"Premium Offer","Regular")</f>
        <v>Regular</v>
      </c>
      <c r="L4" s="26" t="str">
        <f>IF(OR(Table356[[#This Row],[Region]]="Dhaka",Table356[[#This Row],[Region]]="Chattogram"),"Metro Area","Other")</f>
        <v>Other</v>
      </c>
      <c r="M4" s="26" t="str">
        <f>IF(AND(Table356[[#This Row],[Status]]="Completed",Table356[[#This Row],[Qty]]&gt;=5),"Top Sale","Normal Sale")</f>
        <v>Normal Sale</v>
      </c>
      <c r="N4" s="27" t="str">
        <f>IF(AND(Table356[[#This Row],[Category]]="Electronic",Table356[[#This Row],[UnitPrice]]&gt;=1000),"Premium Electronics","Not Premium Electronics")</f>
        <v>Not Premium Electronics</v>
      </c>
      <c r="O4" s="27" t="str">
        <f>IF(AND(OR(Table356[[#This Row],[Region]]="Dhaka",Table356[[#This Row],[Region]]="Rajshahi"),Table356[[#This Row],[Status]]="Completed"),"Priority","Normal")</f>
        <v>Normal</v>
      </c>
      <c r="P4" s="27" t="str">
        <f t="shared" si="0"/>
        <v>Others</v>
      </c>
    </row>
    <row r="5" spans="1:16" x14ac:dyDescent="0.25">
      <c r="A5" s="16">
        <v>1005</v>
      </c>
      <c r="B5" s="17">
        <v>46199</v>
      </c>
      <c r="C5" s="18" t="s">
        <v>10</v>
      </c>
      <c r="D5" s="18" t="s">
        <v>24</v>
      </c>
      <c r="E5" s="18" t="s">
        <v>25</v>
      </c>
      <c r="F5" s="18" t="s">
        <v>18</v>
      </c>
      <c r="G5" s="16">
        <v>5</v>
      </c>
      <c r="H5" s="19">
        <v>1140</v>
      </c>
      <c r="I5" s="16">
        <v>5</v>
      </c>
      <c r="J5" s="18" t="s">
        <v>14</v>
      </c>
      <c r="K5" s="26" t="str">
        <f>IF(AND(Table356[[#This Row],[Qty]]&gt;=5,Table356[[#This Row],[Discount]]&gt;=10),"Premium Offer","Regular")</f>
        <v>Regular</v>
      </c>
      <c r="L5" s="26" t="str">
        <f>IF(OR(Table356[[#This Row],[Region]]="Dhaka",Table356[[#This Row],[Region]]="Chattogram"),"Metro Area","Other")</f>
        <v>Other</v>
      </c>
      <c r="M5" s="26" t="str">
        <f>IF(AND(Table356[[#This Row],[Status]]="Completed",Table356[[#This Row],[Qty]]&gt;=5),"Top Sale","Normal Sale")</f>
        <v>Normal Sale</v>
      </c>
      <c r="N5" s="27" t="str">
        <f>IF(AND(Table356[[#This Row],[Category]]="Electronic",Table356[[#This Row],[UnitPrice]]&gt;=1000),"Premium Electronics","Not Premium Electronics")</f>
        <v>Not Premium Electronics</v>
      </c>
      <c r="O5" s="27" t="str">
        <f>IF(AND(OR(Table356[[#This Row],[Region]]="Dhaka",Table356[[#This Row],[Region]]="Rajshahi"),Table356[[#This Row],[Status]]="Completed"),"Priority","Normal")</f>
        <v>Normal</v>
      </c>
      <c r="P5" s="27" t="str">
        <f t="shared" si="0"/>
        <v>Electronics</v>
      </c>
    </row>
    <row r="6" spans="1:16" x14ac:dyDescent="0.25">
      <c r="A6" s="11">
        <v>1006</v>
      </c>
      <c r="B6" s="12">
        <v>46158</v>
      </c>
      <c r="C6" s="13" t="s">
        <v>20</v>
      </c>
      <c r="D6" s="13" t="s">
        <v>21</v>
      </c>
      <c r="E6" s="13" t="s">
        <v>25</v>
      </c>
      <c r="F6" s="13" t="s">
        <v>18</v>
      </c>
      <c r="G6" s="11">
        <v>8</v>
      </c>
      <c r="H6" s="14">
        <v>1618</v>
      </c>
      <c r="I6" s="11">
        <v>15</v>
      </c>
      <c r="J6" s="13" t="s">
        <v>19</v>
      </c>
      <c r="K6" s="26" t="str">
        <f>IF(AND(Table356[[#This Row],[Qty]]&gt;=5,Table356[[#This Row],[Discount]]&gt;=10),"Premium Offer","Regular")</f>
        <v>Premium Offer</v>
      </c>
      <c r="L6" s="26" t="str">
        <f>IF(OR(Table356[[#This Row],[Region]]="Dhaka",Table356[[#This Row],[Region]]="Chattogram"),"Metro Area","Other")</f>
        <v>Other</v>
      </c>
      <c r="M6" s="26" t="str">
        <f>IF(AND(Table356[[#This Row],[Status]]="Completed",Table356[[#This Row],[Qty]]&gt;=5),"Top Sale","Normal Sale")</f>
        <v>Normal Sale</v>
      </c>
      <c r="N6" s="27" t="str">
        <f>IF(AND(Table356[[#This Row],[Category]]="Electronic",Table356[[#This Row],[UnitPrice]]&gt;=1000),"Premium Electronics","Not Premium Electronics")</f>
        <v>Not Premium Electronics</v>
      </c>
      <c r="O6" s="27" t="str">
        <f>IF(AND(OR(Table356[[#This Row],[Region]]="Dhaka",Table356[[#This Row],[Region]]="Rajshahi"),Table356[[#This Row],[Status]]="Completed"),"Priority","Normal")</f>
        <v>Normal</v>
      </c>
      <c r="P6" s="27" t="str">
        <f t="shared" si="0"/>
        <v>High Value</v>
      </c>
    </row>
    <row r="7" spans="1:16" x14ac:dyDescent="0.25">
      <c r="A7" s="16">
        <v>1007</v>
      </c>
      <c r="B7" s="17">
        <v>46106</v>
      </c>
      <c r="C7" s="18" t="s">
        <v>10</v>
      </c>
      <c r="D7" s="18" t="s">
        <v>16</v>
      </c>
      <c r="E7" s="18" t="s">
        <v>26</v>
      </c>
      <c r="F7" s="18" t="s">
        <v>23</v>
      </c>
      <c r="G7" s="16">
        <v>8</v>
      </c>
      <c r="H7" s="19">
        <v>297</v>
      </c>
      <c r="I7" s="16">
        <v>10</v>
      </c>
      <c r="J7" s="18" t="s">
        <v>27</v>
      </c>
      <c r="K7" s="26" t="str">
        <f>IF(AND(Table356[[#This Row],[Qty]]&gt;=5,Table356[[#This Row],[Discount]]&gt;=10),"Premium Offer","Regular")</f>
        <v>Premium Offer</v>
      </c>
      <c r="L7" s="26" t="str">
        <f>IF(OR(Table356[[#This Row],[Region]]="Dhaka",Table356[[#This Row],[Region]]="Chattogram"),"Metro Area","Other")</f>
        <v>Other</v>
      </c>
      <c r="M7" s="26" t="str">
        <f>IF(AND(Table356[[#This Row],[Status]]="Completed",Table356[[#This Row],[Qty]]&gt;=5),"Top Sale","Normal Sale")</f>
        <v>Top Sale</v>
      </c>
      <c r="N7" s="27" t="str">
        <f>IF(AND(Table356[[#This Row],[Category]]="Electronic",Table356[[#This Row],[UnitPrice]]&gt;=1000),"Premium Electronics","Not Premium Electronics")</f>
        <v>Not Premium Electronics</v>
      </c>
      <c r="O7" s="27" t="str">
        <f>IF(AND(OR(Table356[[#This Row],[Region]]="Dhaka",Table356[[#This Row],[Region]]="Rajshahi"),Table356[[#This Row],[Status]]="Completed"),"Priority","Normal")</f>
        <v>Normal</v>
      </c>
      <c r="P7" s="27" t="str">
        <f t="shared" si="0"/>
        <v>Others</v>
      </c>
    </row>
    <row r="8" spans="1:16" x14ac:dyDescent="0.25">
      <c r="A8" s="11">
        <v>1008</v>
      </c>
      <c r="B8" s="12">
        <v>46127</v>
      </c>
      <c r="C8" s="13" t="s">
        <v>15</v>
      </c>
      <c r="D8" s="13" t="s">
        <v>28</v>
      </c>
      <c r="E8" s="13" t="s">
        <v>17</v>
      </c>
      <c r="F8" s="13" t="s">
        <v>18</v>
      </c>
      <c r="G8" s="11">
        <v>1</v>
      </c>
      <c r="H8" s="14">
        <v>1768</v>
      </c>
      <c r="I8" s="11">
        <v>5</v>
      </c>
      <c r="J8" s="13" t="s">
        <v>19</v>
      </c>
      <c r="K8" s="26" t="str">
        <f>IF(AND(Table356[[#This Row],[Qty]]&gt;=5,Table356[[#This Row],[Discount]]&gt;=10),"Premium Offer","Regular")</f>
        <v>Regular</v>
      </c>
      <c r="L8" s="26" t="str">
        <f>IF(OR(Table356[[#This Row],[Region]]="Dhaka",Table356[[#This Row],[Region]]="Chattogram"),"Metro Area","Other")</f>
        <v>Metro Area</v>
      </c>
      <c r="M8" s="26" t="str">
        <f>IF(AND(Table356[[#This Row],[Status]]="Completed",Table356[[#This Row],[Qty]]&gt;=5),"Top Sale","Normal Sale")</f>
        <v>Normal Sale</v>
      </c>
      <c r="N8" s="27" t="str">
        <f>IF(AND(Table356[[#This Row],[Category]]="Electronic",Table356[[#This Row],[UnitPrice]]&gt;=1000),"Premium Electronics","Not Premium Electronics")</f>
        <v>Not Premium Electronics</v>
      </c>
      <c r="O8" s="27" t="str">
        <f>IF(AND(OR(Table356[[#This Row],[Region]]="Dhaka",Table356[[#This Row],[Region]]="Rajshahi"),Table356[[#This Row],[Status]]="Completed"),"Priority","Normal")</f>
        <v>Normal</v>
      </c>
      <c r="P8" s="27" t="str">
        <f t="shared" si="0"/>
        <v>Electronics</v>
      </c>
    </row>
    <row r="9" spans="1:16" x14ac:dyDescent="0.25">
      <c r="A9" s="16">
        <v>1009</v>
      </c>
      <c r="B9" s="17">
        <v>46192</v>
      </c>
      <c r="C9" s="18" t="s">
        <v>29</v>
      </c>
      <c r="D9" s="18" t="s">
        <v>24</v>
      </c>
      <c r="E9" s="18" t="s">
        <v>12</v>
      </c>
      <c r="F9" s="18" t="s">
        <v>13</v>
      </c>
      <c r="G9" s="16">
        <v>3</v>
      </c>
      <c r="H9" s="19">
        <v>1291</v>
      </c>
      <c r="I9" s="16">
        <v>15</v>
      </c>
      <c r="J9" s="18" t="s">
        <v>19</v>
      </c>
      <c r="K9" s="26" t="str">
        <f>IF(AND(Table356[[#This Row],[Qty]]&gt;=5,Table356[[#This Row],[Discount]]&gt;=10),"Premium Offer","Regular")</f>
        <v>Regular</v>
      </c>
      <c r="L9" s="26" t="str">
        <f>IF(OR(Table356[[#This Row],[Region]]="Dhaka",Table356[[#This Row],[Region]]="Chattogram"),"Metro Area","Other")</f>
        <v>Metro Area</v>
      </c>
      <c r="M9" s="26" t="str">
        <f>IF(AND(Table356[[#This Row],[Status]]="Completed",Table356[[#This Row],[Qty]]&gt;=5),"Top Sale","Normal Sale")</f>
        <v>Normal Sale</v>
      </c>
      <c r="N9" s="27" t="str">
        <f>IF(AND(Table356[[#This Row],[Category]]="Electronic",Table356[[#This Row],[UnitPrice]]&gt;=1000),"Premium Electronics","Not Premium Electronics")</f>
        <v>Not Premium Electronics</v>
      </c>
      <c r="O9" s="27" t="str">
        <f>IF(AND(OR(Table356[[#This Row],[Region]]="Dhaka",Table356[[#This Row],[Region]]="Rajshahi"),Table356[[#This Row],[Status]]="Completed"),"Priority","Normal")</f>
        <v>Normal</v>
      </c>
      <c r="P9" s="27" t="str">
        <f t="shared" si="0"/>
        <v>Furniture Item</v>
      </c>
    </row>
    <row r="10" spans="1:16" x14ac:dyDescent="0.25">
      <c r="A10" s="11">
        <v>1010</v>
      </c>
      <c r="B10" s="12">
        <v>46167</v>
      </c>
      <c r="C10" s="13" t="s">
        <v>29</v>
      </c>
      <c r="D10" s="13" t="s">
        <v>11</v>
      </c>
      <c r="E10" s="13" t="s">
        <v>17</v>
      </c>
      <c r="F10" s="13" t="s">
        <v>18</v>
      </c>
      <c r="G10" s="11">
        <v>3</v>
      </c>
      <c r="H10" s="14">
        <v>1332</v>
      </c>
      <c r="I10" s="11">
        <v>5</v>
      </c>
      <c r="J10" s="13" t="s">
        <v>27</v>
      </c>
      <c r="K10" s="26" t="str">
        <f>IF(AND(Table356[[#This Row],[Qty]]&gt;=5,Table356[[#This Row],[Discount]]&gt;=10),"Premium Offer","Regular")</f>
        <v>Regular</v>
      </c>
      <c r="L10" s="26" t="str">
        <f>IF(OR(Table356[[#This Row],[Region]]="Dhaka",Table356[[#This Row],[Region]]="Chattogram"),"Metro Area","Other")</f>
        <v>Metro Area</v>
      </c>
      <c r="M10" s="26" t="str">
        <f>IF(AND(Table356[[#This Row],[Status]]="Completed",Table356[[#This Row],[Qty]]&gt;=5),"Top Sale","Normal Sale")</f>
        <v>Normal Sale</v>
      </c>
      <c r="N10" s="27" t="str">
        <f>IF(AND(Table356[[#This Row],[Category]]="Electronic",Table356[[#This Row],[UnitPrice]]&gt;=1000),"Premium Electronics","Not Premium Electronics")</f>
        <v>Not Premium Electronics</v>
      </c>
      <c r="O10" s="27" t="str">
        <f>IF(AND(OR(Table356[[#This Row],[Region]]="Dhaka",Table356[[#This Row],[Region]]="Rajshahi"),Table356[[#This Row],[Status]]="Completed"),"Priority","Normal")</f>
        <v>Normal</v>
      </c>
      <c r="P10" s="27" t="str">
        <f t="shared" si="0"/>
        <v>Electronics</v>
      </c>
    </row>
    <row r="11" spans="1:16" x14ac:dyDescent="0.25">
      <c r="A11" s="16">
        <v>1011</v>
      </c>
      <c r="B11" s="17">
        <v>46090</v>
      </c>
      <c r="C11" s="18" t="s">
        <v>15</v>
      </c>
      <c r="D11" s="18" t="s">
        <v>16</v>
      </c>
      <c r="E11" s="18" t="s">
        <v>12</v>
      </c>
      <c r="F11" s="18" t="s">
        <v>13</v>
      </c>
      <c r="G11" s="16">
        <v>5</v>
      </c>
      <c r="H11" s="19">
        <v>1764</v>
      </c>
      <c r="I11" s="16">
        <v>10</v>
      </c>
      <c r="J11" s="18" t="s">
        <v>19</v>
      </c>
      <c r="K11" s="26" t="str">
        <f>IF(AND(Table356[[#This Row],[Qty]]&gt;=5,Table356[[#This Row],[Discount]]&gt;=10),"Premium Offer","Regular")</f>
        <v>Premium Offer</v>
      </c>
      <c r="L11" s="26" t="str">
        <f>IF(OR(Table356[[#This Row],[Region]]="Dhaka",Table356[[#This Row],[Region]]="Chattogram"),"Metro Area","Other")</f>
        <v>Metro Area</v>
      </c>
      <c r="M11" s="26" t="str">
        <f>IF(AND(Table356[[#This Row],[Status]]="Completed",Table356[[#This Row],[Qty]]&gt;=5),"Top Sale","Normal Sale")</f>
        <v>Normal Sale</v>
      </c>
      <c r="N11" s="27" t="str">
        <f>IF(AND(Table356[[#This Row],[Category]]="Electronic",Table356[[#This Row],[UnitPrice]]&gt;=1000),"Premium Electronics","Not Premium Electronics")</f>
        <v>Not Premium Electronics</v>
      </c>
      <c r="O11" s="27" t="str">
        <f>IF(AND(OR(Table356[[#This Row],[Region]]="Dhaka",Table356[[#This Row],[Region]]="Rajshahi"),Table356[[#This Row],[Status]]="Completed"),"Priority","Normal")</f>
        <v>Normal</v>
      </c>
      <c r="P11" s="27" t="str">
        <f t="shared" si="0"/>
        <v>Furniture Item</v>
      </c>
    </row>
    <row r="12" spans="1:16" x14ac:dyDescent="0.25">
      <c r="A12" s="11">
        <v>1012</v>
      </c>
      <c r="B12" s="12">
        <v>46034</v>
      </c>
      <c r="C12" s="13" t="s">
        <v>10</v>
      </c>
      <c r="D12" s="13" t="s">
        <v>30</v>
      </c>
      <c r="E12" s="13" t="s">
        <v>12</v>
      </c>
      <c r="F12" s="13" t="s">
        <v>13</v>
      </c>
      <c r="G12" s="11">
        <v>3</v>
      </c>
      <c r="H12" s="14">
        <v>139</v>
      </c>
      <c r="I12" s="11">
        <v>10</v>
      </c>
      <c r="J12" s="13" t="s">
        <v>19</v>
      </c>
      <c r="K12" s="26" t="str">
        <f>IF(AND(Table356[[#This Row],[Qty]]&gt;=5,Table356[[#This Row],[Discount]]&gt;=10),"Premium Offer","Regular")</f>
        <v>Regular</v>
      </c>
      <c r="L12" s="26" t="str">
        <f>IF(OR(Table356[[#This Row],[Region]]="Dhaka",Table356[[#This Row],[Region]]="Chattogram"),"Metro Area","Other")</f>
        <v>Other</v>
      </c>
      <c r="M12" s="26" t="str">
        <f>IF(AND(Table356[[#This Row],[Status]]="Completed",Table356[[#This Row],[Qty]]&gt;=5),"Top Sale","Normal Sale")</f>
        <v>Normal Sale</v>
      </c>
      <c r="N12" s="27" t="str">
        <f>IF(AND(Table356[[#This Row],[Category]]="Electronic",Table356[[#This Row],[UnitPrice]]&gt;=1000),"Premium Electronics","Not Premium Electronics")</f>
        <v>Not Premium Electronics</v>
      </c>
      <c r="O12" s="27" t="str">
        <f>IF(AND(OR(Table356[[#This Row],[Region]]="Dhaka",Table356[[#This Row],[Region]]="Rajshahi"),Table356[[#This Row],[Status]]="Completed"),"Priority","Normal")</f>
        <v>Normal</v>
      </c>
      <c r="P12" s="27" t="str">
        <f t="shared" si="0"/>
        <v>Furniture Item</v>
      </c>
    </row>
    <row r="13" spans="1:16" x14ac:dyDescent="0.25">
      <c r="A13" s="16">
        <v>1013</v>
      </c>
      <c r="B13" s="17">
        <v>46087</v>
      </c>
      <c r="C13" s="18" t="s">
        <v>29</v>
      </c>
      <c r="D13" s="18" t="s">
        <v>11</v>
      </c>
      <c r="E13" s="18" t="s">
        <v>31</v>
      </c>
      <c r="F13" s="18" t="s">
        <v>13</v>
      </c>
      <c r="G13" s="16">
        <v>8</v>
      </c>
      <c r="H13" s="19">
        <v>130</v>
      </c>
      <c r="I13" s="16">
        <v>10</v>
      </c>
      <c r="J13" s="18" t="s">
        <v>27</v>
      </c>
      <c r="K13" s="26" t="str">
        <f>IF(AND(Table356[[#This Row],[Qty]]&gt;=5,Table356[[#This Row],[Discount]]&gt;=10),"Premium Offer","Regular")</f>
        <v>Premium Offer</v>
      </c>
      <c r="L13" s="26" t="str">
        <f>IF(OR(Table356[[#This Row],[Region]]="Dhaka",Table356[[#This Row],[Region]]="Chattogram"),"Metro Area","Other")</f>
        <v>Metro Area</v>
      </c>
      <c r="M13" s="26" t="str">
        <f>IF(AND(Table356[[#This Row],[Status]]="Completed",Table356[[#This Row],[Qty]]&gt;=5),"Top Sale","Normal Sale")</f>
        <v>Top Sale</v>
      </c>
      <c r="N13" s="27" t="str">
        <f>IF(AND(Table356[[#This Row],[Category]]="Electronic",Table356[[#This Row],[UnitPrice]]&gt;=1000),"Premium Electronics","Not Premium Electronics")</f>
        <v>Not Premium Electronics</v>
      </c>
      <c r="O13" s="27" t="str">
        <f>IF(AND(OR(Table356[[#This Row],[Region]]="Dhaka",Table356[[#This Row],[Region]]="Rajshahi"),Table356[[#This Row],[Status]]="Completed"),"Priority","Normal")</f>
        <v>Normal</v>
      </c>
      <c r="P13" s="27" t="str">
        <f t="shared" si="0"/>
        <v>Furniture Item</v>
      </c>
    </row>
    <row r="14" spans="1:16" x14ac:dyDescent="0.25">
      <c r="A14" s="11">
        <v>1014</v>
      </c>
      <c r="B14" s="12">
        <v>46061</v>
      </c>
      <c r="C14" s="13" t="s">
        <v>15</v>
      </c>
      <c r="D14" s="13" t="s">
        <v>24</v>
      </c>
      <c r="E14" s="13" t="s">
        <v>12</v>
      </c>
      <c r="F14" s="13" t="s">
        <v>13</v>
      </c>
      <c r="G14" s="11">
        <v>10</v>
      </c>
      <c r="H14" s="14">
        <v>1571</v>
      </c>
      <c r="I14" s="11">
        <v>15</v>
      </c>
      <c r="J14" s="13" t="s">
        <v>19</v>
      </c>
      <c r="K14" s="26" t="str">
        <f>IF(AND(Table356[[#This Row],[Qty]]&gt;=5,Table356[[#This Row],[Discount]]&gt;=10),"Premium Offer","Regular")</f>
        <v>Premium Offer</v>
      </c>
      <c r="L14" s="26" t="str">
        <f>IF(OR(Table356[[#This Row],[Region]]="Dhaka",Table356[[#This Row],[Region]]="Chattogram"),"Metro Area","Other")</f>
        <v>Metro Area</v>
      </c>
      <c r="M14" s="26" t="str">
        <f>IF(AND(Table356[[#This Row],[Status]]="Completed",Table356[[#This Row],[Qty]]&gt;=5),"Top Sale","Normal Sale")</f>
        <v>Normal Sale</v>
      </c>
      <c r="N14" s="27" t="str">
        <f>IF(AND(Table356[[#This Row],[Category]]="Electronic",Table356[[#This Row],[UnitPrice]]&gt;=1000),"Premium Electronics","Not Premium Electronics")</f>
        <v>Not Premium Electronics</v>
      </c>
      <c r="O14" s="27" t="str">
        <f>IF(AND(OR(Table356[[#This Row],[Region]]="Dhaka",Table356[[#This Row],[Region]]="Rajshahi"),Table356[[#This Row],[Status]]="Completed"),"Priority","Normal")</f>
        <v>Normal</v>
      </c>
      <c r="P14" s="27" t="str">
        <f t="shared" si="0"/>
        <v>Furniture Item</v>
      </c>
    </row>
    <row r="15" spans="1:16" x14ac:dyDescent="0.25">
      <c r="A15" s="16">
        <v>1015</v>
      </c>
      <c r="B15" s="17">
        <v>46102</v>
      </c>
      <c r="C15" s="18" t="s">
        <v>29</v>
      </c>
      <c r="D15" s="18" t="s">
        <v>21</v>
      </c>
      <c r="E15" s="18" t="s">
        <v>12</v>
      </c>
      <c r="F15" s="18" t="s">
        <v>13</v>
      </c>
      <c r="G15" s="16">
        <v>3</v>
      </c>
      <c r="H15" s="19">
        <v>285</v>
      </c>
      <c r="I15" s="16">
        <v>0</v>
      </c>
      <c r="J15" s="18" t="s">
        <v>14</v>
      </c>
      <c r="K15" s="26" t="str">
        <f>IF(AND(Table356[[#This Row],[Qty]]&gt;=5,Table356[[#This Row],[Discount]]&gt;=10),"Premium Offer","Regular")</f>
        <v>Regular</v>
      </c>
      <c r="L15" s="26" t="str">
        <f>IF(OR(Table356[[#This Row],[Region]]="Dhaka",Table356[[#This Row],[Region]]="Chattogram"),"Metro Area","Other")</f>
        <v>Metro Area</v>
      </c>
      <c r="M15" s="26" t="str">
        <f>IF(AND(Table356[[#This Row],[Status]]="Completed",Table356[[#This Row],[Qty]]&gt;=5),"Top Sale","Normal Sale")</f>
        <v>Normal Sale</v>
      </c>
      <c r="N15" s="27" t="str">
        <f>IF(AND(Table356[[#This Row],[Category]]="Electronic",Table356[[#This Row],[UnitPrice]]&gt;=1000),"Premium Electronics","Not Premium Electronics")</f>
        <v>Not Premium Electronics</v>
      </c>
      <c r="O15" s="27" t="str">
        <f>IF(AND(OR(Table356[[#This Row],[Region]]="Dhaka",Table356[[#This Row],[Region]]="Rajshahi"),Table356[[#This Row],[Status]]="Completed"),"Priority","Normal")</f>
        <v>Normal</v>
      </c>
      <c r="P15" s="27" t="str">
        <f t="shared" si="0"/>
        <v>Furniture Item</v>
      </c>
    </row>
    <row r="16" spans="1:16" x14ac:dyDescent="0.25">
      <c r="A16" s="11">
        <v>1016</v>
      </c>
      <c r="B16" s="12">
        <v>46169</v>
      </c>
      <c r="C16" s="13" t="s">
        <v>10</v>
      </c>
      <c r="D16" s="13" t="s">
        <v>16</v>
      </c>
      <c r="E16" s="13" t="s">
        <v>12</v>
      </c>
      <c r="F16" s="13" t="s">
        <v>13</v>
      </c>
      <c r="G16" s="11">
        <v>3</v>
      </c>
      <c r="H16" s="14">
        <v>1228</v>
      </c>
      <c r="I16" s="11">
        <v>0</v>
      </c>
      <c r="J16" s="13" t="s">
        <v>19</v>
      </c>
      <c r="K16" s="26" t="str">
        <f>IF(AND(Table356[[#This Row],[Qty]]&gt;=5,Table356[[#This Row],[Discount]]&gt;=10),"Premium Offer","Regular")</f>
        <v>Regular</v>
      </c>
      <c r="L16" s="26" t="str">
        <f>IF(OR(Table356[[#This Row],[Region]]="Dhaka",Table356[[#This Row],[Region]]="Chattogram"),"Metro Area","Other")</f>
        <v>Other</v>
      </c>
      <c r="M16" s="26" t="str">
        <f>IF(AND(Table356[[#This Row],[Status]]="Completed",Table356[[#This Row],[Qty]]&gt;=5),"Top Sale","Normal Sale")</f>
        <v>Normal Sale</v>
      </c>
      <c r="N16" s="27" t="str">
        <f>IF(AND(Table356[[#This Row],[Category]]="Electronic",Table356[[#This Row],[UnitPrice]]&gt;=1000),"Premium Electronics","Not Premium Electronics")</f>
        <v>Not Premium Electronics</v>
      </c>
      <c r="O16" s="27" t="str">
        <f>IF(AND(OR(Table356[[#This Row],[Region]]="Dhaka",Table356[[#This Row],[Region]]="Rajshahi"),Table356[[#This Row],[Status]]="Completed"),"Priority","Normal")</f>
        <v>Normal</v>
      </c>
      <c r="P16" s="27" t="str">
        <f t="shared" si="0"/>
        <v>Furniture Item</v>
      </c>
    </row>
    <row r="17" spans="1:16" x14ac:dyDescent="0.25">
      <c r="A17" s="16">
        <v>1017</v>
      </c>
      <c r="B17" s="17">
        <v>46101</v>
      </c>
      <c r="C17" s="18" t="s">
        <v>10</v>
      </c>
      <c r="D17" s="18" t="s">
        <v>21</v>
      </c>
      <c r="E17" s="18" t="s">
        <v>17</v>
      </c>
      <c r="F17" s="18" t="s">
        <v>18</v>
      </c>
      <c r="G17" s="16">
        <v>9</v>
      </c>
      <c r="H17" s="19">
        <v>1797</v>
      </c>
      <c r="I17" s="16">
        <v>15</v>
      </c>
      <c r="J17" s="18" t="s">
        <v>27</v>
      </c>
      <c r="K17" s="26" t="str">
        <f>IF(AND(Table356[[#This Row],[Qty]]&gt;=5,Table356[[#This Row],[Discount]]&gt;=10),"Premium Offer","Regular")</f>
        <v>Premium Offer</v>
      </c>
      <c r="L17" s="26" t="str">
        <f>IF(OR(Table356[[#This Row],[Region]]="Dhaka",Table356[[#This Row],[Region]]="Chattogram"),"Metro Area","Other")</f>
        <v>Other</v>
      </c>
      <c r="M17" s="26" t="str">
        <f>IF(AND(Table356[[#This Row],[Status]]="Completed",Table356[[#This Row],[Qty]]&gt;=5),"Top Sale","Normal Sale")</f>
        <v>Top Sale</v>
      </c>
      <c r="N17" s="27" t="str">
        <f>IF(AND(Table356[[#This Row],[Category]]="Electronic",Table356[[#This Row],[UnitPrice]]&gt;=1000),"Premium Electronics","Not Premium Electronics")</f>
        <v>Not Premium Electronics</v>
      </c>
      <c r="O17" s="27" t="str">
        <f>IF(AND(OR(Table356[[#This Row],[Region]]="Dhaka",Table356[[#This Row],[Region]]="Rajshahi"),Table356[[#This Row],[Status]]="Completed"),"Priority","Normal")</f>
        <v>Normal</v>
      </c>
      <c r="P17" s="27" t="str">
        <f t="shared" si="0"/>
        <v>High Value</v>
      </c>
    </row>
    <row r="18" spans="1:16" x14ac:dyDescent="0.25">
      <c r="A18" s="11">
        <v>1018</v>
      </c>
      <c r="B18" s="12">
        <v>46144</v>
      </c>
      <c r="C18" s="13" t="s">
        <v>20</v>
      </c>
      <c r="D18" s="13" t="s">
        <v>24</v>
      </c>
      <c r="E18" s="13" t="s">
        <v>31</v>
      </c>
      <c r="F18" s="13" t="s">
        <v>13</v>
      </c>
      <c r="G18" s="11">
        <v>5</v>
      </c>
      <c r="H18" s="14">
        <v>537</v>
      </c>
      <c r="I18" s="11">
        <v>15</v>
      </c>
      <c r="J18" s="13" t="s">
        <v>27</v>
      </c>
      <c r="K18" s="26" t="str">
        <f>IF(AND(Table356[[#This Row],[Qty]]&gt;=5,Table356[[#This Row],[Discount]]&gt;=10),"Premium Offer","Regular")</f>
        <v>Premium Offer</v>
      </c>
      <c r="L18" s="26" t="str">
        <f>IF(OR(Table356[[#This Row],[Region]]="Dhaka",Table356[[#This Row],[Region]]="Chattogram"),"Metro Area","Other")</f>
        <v>Other</v>
      </c>
      <c r="M18" s="26" t="str">
        <f>IF(AND(Table356[[#This Row],[Status]]="Completed",Table356[[#This Row],[Qty]]&gt;=5),"Top Sale","Normal Sale")</f>
        <v>Top Sale</v>
      </c>
      <c r="N18" s="27" t="str">
        <f>IF(AND(Table356[[#This Row],[Category]]="Electronic",Table356[[#This Row],[UnitPrice]]&gt;=1000),"Premium Electronics","Not Premium Electronics")</f>
        <v>Not Premium Electronics</v>
      </c>
      <c r="O18" s="27" t="str">
        <f>IF(AND(OR(Table356[[#This Row],[Region]]="Dhaka",Table356[[#This Row],[Region]]="Rajshahi"),Table356[[#This Row],[Status]]="Completed"),"Priority","Normal")</f>
        <v>Priority</v>
      </c>
      <c r="P18" s="27" t="str">
        <f t="shared" si="0"/>
        <v>Furniture Item</v>
      </c>
    </row>
    <row r="19" spans="1:16" x14ac:dyDescent="0.25">
      <c r="A19" s="16">
        <v>1019</v>
      </c>
      <c r="B19" s="17">
        <v>46046</v>
      </c>
      <c r="C19" s="18" t="s">
        <v>20</v>
      </c>
      <c r="D19" s="18" t="s">
        <v>11</v>
      </c>
      <c r="E19" s="18" t="s">
        <v>17</v>
      </c>
      <c r="F19" s="18" t="s">
        <v>18</v>
      </c>
      <c r="G19" s="16">
        <v>8</v>
      </c>
      <c r="H19" s="19">
        <v>1454</v>
      </c>
      <c r="I19" s="16">
        <v>5</v>
      </c>
      <c r="J19" s="18" t="s">
        <v>19</v>
      </c>
      <c r="K19" s="26" t="str">
        <f>IF(AND(Table356[[#This Row],[Qty]]&gt;=5,Table356[[#This Row],[Discount]]&gt;=10),"Premium Offer","Regular")</f>
        <v>Regular</v>
      </c>
      <c r="L19" s="26" t="str">
        <f>IF(OR(Table356[[#This Row],[Region]]="Dhaka",Table356[[#This Row],[Region]]="Chattogram"),"Metro Area","Other")</f>
        <v>Other</v>
      </c>
      <c r="M19" s="26" t="str">
        <f>IF(AND(Table356[[#This Row],[Status]]="Completed",Table356[[#This Row],[Qty]]&gt;=5),"Top Sale","Normal Sale")</f>
        <v>Normal Sale</v>
      </c>
      <c r="N19" s="27" t="str">
        <f>IF(AND(Table356[[#This Row],[Category]]="Electronic",Table356[[#This Row],[UnitPrice]]&gt;=1000),"Premium Electronics","Not Premium Electronics")</f>
        <v>Not Premium Electronics</v>
      </c>
      <c r="O19" s="27" t="str">
        <f>IF(AND(OR(Table356[[#This Row],[Region]]="Dhaka",Table356[[#This Row],[Region]]="Rajshahi"),Table356[[#This Row],[Status]]="Completed"),"Priority","Normal")</f>
        <v>Normal</v>
      </c>
      <c r="P19" s="27" t="str">
        <f t="shared" si="0"/>
        <v>Electronics</v>
      </c>
    </row>
    <row r="20" spans="1:16" x14ac:dyDescent="0.25">
      <c r="A20" s="11">
        <v>1020</v>
      </c>
      <c r="B20" s="12">
        <v>46125</v>
      </c>
      <c r="C20" s="13" t="s">
        <v>20</v>
      </c>
      <c r="D20" s="13" t="s">
        <v>21</v>
      </c>
      <c r="E20" s="13" t="s">
        <v>12</v>
      </c>
      <c r="F20" s="13" t="s">
        <v>13</v>
      </c>
      <c r="G20" s="11">
        <v>3</v>
      </c>
      <c r="H20" s="14">
        <v>1365</v>
      </c>
      <c r="I20" s="11">
        <v>10</v>
      </c>
      <c r="J20" s="13" t="s">
        <v>27</v>
      </c>
      <c r="K20" s="26" t="str">
        <f>IF(AND(Table356[[#This Row],[Qty]]&gt;=5,Table356[[#This Row],[Discount]]&gt;=10),"Premium Offer","Regular")</f>
        <v>Regular</v>
      </c>
      <c r="L20" s="26" t="str">
        <f>IF(OR(Table356[[#This Row],[Region]]="Dhaka",Table356[[#This Row],[Region]]="Chattogram"),"Metro Area","Other")</f>
        <v>Other</v>
      </c>
      <c r="M20" s="26" t="str">
        <f>IF(AND(Table356[[#This Row],[Status]]="Completed",Table356[[#This Row],[Qty]]&gt;=5),"Top Sale","Normal Sale")</f>
        <v>Normal Sale</v>
      </c>
      <c r="N20" s="27" t="str">
        <f>IF(AND(Table356[[#This Row],[Category]]="Electronic",Table356[[#This Row],[UnitPrice]]&gt;=1000),"Premium Electronics","Not Premium Electronics")</f>
        <v>Not Premium Electronics</v>
      </c>
      <c r="O20" s="27" t="str">
        <f>IF(AND(OR(Table356[[#This Row],[Region]]="Dhaka",Table356[[#This Row],[Region]]="Rajshahi"),Table356[[#This Row],[Status]]="Completed"),"Priority","Normal")</f>
        <v>Priority</v>
      </c>
      <c r="P20" s="27" t="str">
        <f t="shared" si="0"/>
        <v>Furniture Item</v>
      </c>
    </row>
    <row r="21" spans="1:16" x14ac:dyDescent="0.25">
      <c r="A21" s="16">
        <v>1021</v>
      </c>
      <c r="B21" s="17">
        <v>46118</v>
      </c>
      <c r="C21" s="18" t="s">
        <v>20</v>
      </c>
      <c r="D21" s="18" t="s">
        <v>24</v>
      </c>
      <c r="E21" s="18" t="s">
        <v>17</v>
      </c>
      <c r="F21" s="18" t="s">
        <v>18</v>
      </c>
      <c r="G21" s="16">
        <v>9</v>
      </c>
      <c r="H21" s="19">
        <v>231</v>
      </c>
      <c r="I21" s="16">
        <v>15</v>
      </c>
      <c r="J21" s="18" t="s">
        <v>27</v>
      </c>
      <c r="K21" s="26" t="str">
        <f>IF(AND(Table356[[#This Row],[Qty]]&gt;=5,Table356[[#This Row],[Discount]]&gt;=10),"Premium Offer","Regular")</f>
        <v>Premium Offer</v>
      </c>
      <c r="L21" s="26" t="str">
        <f>IF(OR(Table356[[#This Row],[Region]]="Dhaka",Table356[[#This Row],[Region]]="Chattogram"),"Metro Area","Other")</f>
        <v>Other</v>
      </c>
      <c r="M21" s="26" t="str">
        <f>IF(AND(Table356[[#This Row],[Status]]="Completed",Table356[[#This Row],[Qty]]&gt;=5),"Top Sale","Normal Sale")</f>
        <v>Top Sale</v>
      </c>
      <c r="N21" s="27" t="str">
        <f>IF(AND(Table356[[#This Row],[Category]]="Electronic",Table356[[#This Row],[UnitPrice]]&gt;=1000),"Premium Electronics","Not Premium Electronics")</f>
        <v>Not Premium Electronics</v>
      </c>
      <c r="O21" s="27" t="str">
        <f>IF(AND(OR(Table356[[#This Row],[Region]]="Dhaka",Table356[[#This Row],[Region]]="Rajshahi"),Table356[[#This Row],[Status]]="Completed"),"Priority","Normal")</f>
        <v>Priority</v>
      </c>
      <c r="P21" s="27" t="str">
        <f t="shared" si="0"/>
        <v>High Value</v>
      </c>
    </row>
    <row r="22" spans="1:16" x14ac:dyDescent="0.25">
      <c r="A22" s="11">
        <v>1022</v>
      </c>
      <c r="B22" s="12">
        <v>46166</v>
      </c>
      <c r="C22" s="13" t="s">
        <v>20</v>
      </c>
      <c r="D22" s="13" t="s">
        <v>24</v>
      </c>
      <c r="E22" s="13" t="s">
        <v>26</v>
      </c>
      <c r="F22" s="13" t="s">
        <v>23</v>
      </c>
      <c r="G22" s="11">
        <v>8</v>
      </c>
      <c r="H22" s="14">
        <v>1171</v>
      </c>
      <c r="I22" s="11">
        <v>15</v>
      </c>
      <c r="J22" s="13" t="s">
        <v>19</v>
      </c>
      <c r="K22" s="26" t="str">
        <f>IF(AND(Table356[[#This Row],[Qty]]&gt;=5,Table356[[#This Row],[Discount]]&gt;=10),"Premium Offer","Regular")</f>
        <v>Premium Offer</v>
      </c>
      <c r="L22" s="26" t="str">
        <f>IF(OR(Table356[[#This Row],[Region]]="Dhaka",Table356[[#This Row],[Region]]="Chattogram"),"Metro Area","Other")</f>
        <v>Other</v>
      </c>
      <c r="M22" s="26" t="str">
        <f>IF(AND(Table356[[#This Row],[Status]]="Completed",Table356[[#This Row],[Qty]]&gt;=5),"Top Sale","Normal Sale")</f>
        <v>Normal Sale</v>
      </c>
      <c r="N22" s="27" t="str">
        <f>IF(AND(Table356[[#This Row],[Category]]="Electronic",Table356[[#This Row],[UnitPrice]]&gt;=1000),"Premium Electronics","Not Premium Electronics")</f>
        <v>Not Premium Electronics</v>
      </c>
      <c r="O22" s="27" t="str">
        <f>IF(AND(OR(Table356[[#This Row],[Region]]="Dhaka",Table356[[#This Row],[Region]]="Rajshahi"),Table356[[#This Row],[Status]]="Completed"),"Priority","Normal")</f>
        <v>Normal</v>
      </c>
      <c r="P22" s="27" t="str">
        <f t="shared" si="0"/>
        <v>Others</v>
      </c>
    </row>
    <row r="23" spans="1:16" x14ac:dyDescent="0.25">
      <c r="A23" s="16">
        <v>1023</v>
      </c>
      <c r="B23" s="17">
        <v>46184</v>
      </c>
      <c r="C23" s="18" t="s">
        <v>15</v>
      </c>
      <c r="D23" s="18" t="s">
        <v>21</v>
      </c>
      <c r="E23" s="18" t="s">
        <v>22</v>
      </c>
      <c r="F23" s="18" t="s">
        <v>23</v>
      </c>
      <c r="G23" s="16">
        <v>6</v>
      </c>
      <c r="H23" s="19">
        <v>529</v>
      </c>
      <c r="I23" s="16">
        <v>10</v>
      </c>
      <c r="J23" s="18" t="s">
        <v>19</v>
      </c>
      <c r="K23" s="26" t="str">
        <f>IF(AND(Table356[[#This Row],[Qty]]&gt;=5,Table356[[#This Row],[Discount]]&gt;=10),"Premium Offer","Regular")</f>
        <v>Premium Offer</v>
      </c>
      <c r="L23" s="26" t="str">
        <f>IF(OR(Table356[[#This Row],[Region]]="Dhaka",Table356[[#This Row],[Region]]="Chattogram"),"Metro Area","Other")</f>
        <v>Metro Area</v>
      </c>
      <c r="M23" s="26" t="str">
        <f>IF(AND(Table356[[#This Row],[Status]]="Completed",Table356[[#This Row],[Qty]]&gt;=5),"Top Sale","Normal Sale")</f>
        <v>Normal Sale</v>
      </c>
      <c r="N23" s="27" t="str">
        <f>IF(AND(Table356[[#This Row],[Category]]="Electronic",Table356[[#This Row],[UnitPrice]]&gt;=1000),"Premium Electronics","Not Premium Electronics")</f>
        <v>Not Premium Electronics</v>
      </c>
      <c r="O23" s="27" t="str">
        <f>IF(AND(OR(Table356[[#This Row],[Region]]="Dhaka",Table356[[#This Row],[Region]]="Rajshahi"),Table356[[#This Row],[Status]]="Completed"),"Priority","Normal")</f>
        <v>Normal</v>
      </c>
      <c r="P23" s="27" t="str">
        <f t="shared" si="0"/>
        <v>Others</v>
      </c>
    </row>
    <row r="24" spans="1:16" x14ac:dyDescent="0.25">
      <c r="A24" s="11">
        <v>1024</v>
      </c>
      <c r="B24" s="12">
        <v>46100</v>
      </c>
      <c r="C24" s="13" t="s">
        <v>15</v>
      </c>
      <c r="D24" s="13" t="s">
        <v>21</v>
      </c>
      <c r="E24" s="13" t="s">
        <v>12</v>
      </c>
      <c r="F24" s="13" t="s">
        <v>13</v>
      </c>
      <c r="G24" s="11">
        <v>5</v>
      </c>
      <c r="H24" s="14">
        <v>1578</v>
      </c>
      <c r="I24" s="11">
        <v>15</v>
      </c>
      <c r="J24" s="13" t="s">
        <v>27</v>
      </c>
      <c r="K24" s="26" t="str">
        <f>IF(AND(Table356[[#This Row],[Qty]]&gt;=5,Table356[[#This Row],[Discount]]&gt;=10),"Premium Offer","Regular")</f>
        <v>Premium Offer</v>
      </c>
      <c r="L24" s="26" t="str">
        <f>IF(OR(Table356[[#This Row],[Region]]="Dhaka",Table356[[#This Row],[Region]]="Chattogram"),"Metro Area","Other")</f>
        <v>Metro Area</v>
      </c>
      <c r="M24" s="26" t="str">
        <f>IF(AND(Table356[[#This Row],[Status]]="Completed",Table356[[#This Row],[Qty]]&gt;=5),"Top Sale","Normal Sale")</f>
        <v>Top Sale</v>
      </c>
      <c r="N24" s="27" t="str">
        <f>IF(AND(Table356[[#This Row],[Category]]="Electronic",Table356[[#This Row],[UnitPrice]]&gt;=1000),"Premium Electronics","Not Premium Electronics")</f>
        <v>Not Premium Electronics</v>
      </c>
      <c r="O24" s="27" t="str">
        <f>IF(AND(OR(Table356[[#This Row],[Region]]="Dhaka",Table356[[#This Row],[Region]]="Rajshahi"),Table356[[#This Row],[Status]]="Completed"),"Priority","Normal")</f>
        <v>Priority</v>
      </c>
      <c r="P24" s="27" t="str">
        <f t="shared" si="0"/>
        <v>Furniture Item</v>
      </c>
    </row>
    <row r="25" spans="1:16" x14ac:dyDescent="0.25">
      <c r="A25" s="16">
        <v>1025</v>
      </c>
      <c r="B25" s="17">
        <v>46142</v>
      </c>
      <c r="C25" s="18" t="s">
        <v>10</v>
      </c>
      <c r="D25" s="18" t="s">
        <v>16</v>
      </c>
      <c r="E25" s="18" t="s">
        <v>12</v>
      </c>
      <c r="F25" s="18" t="s">
        <v>13</v>
      </c>
      <c r="G25" s="16">
        <v>1</v>
      </c>
      <c r="H25" s="19">
        <v>1953</v>
      </c>
      <c r="I25" s="16">
        <v>5</v>
      </c>
      <c r="J25" s="18" t="s">
        <v>19</v>
      </c>
      <c r="K25" s="26" t="str">
        <f>IF(AND(Table356[[#This Row],[Qty]]&gt;=5,Table356[[#This Row],[Discount]]&gt;=10),"Premium Offer","Regular")</f>
        <v>Regular</v>
      </c>
      <c r="L25" s="26" t="str">
        <f>IF(OR(Table356[[#This Row],[Region]]="Dhaka",Table356[[#This Row],[Region]]="Chattogram"),"Metro Area","Other")</f>
        <v>Other</v>
      </c>
      <c r="M25" s="26" t="str">
        <f>IF(AND(Table356[[#This Row],[Status]]="Completed",Table356[[#This Row],[Qty]]&gt;=5),"Top Sale","Normal Sale")</f>
        <v>Normal Sale</v>
      </c>
      <c r="N25" s="27" t="str">
        <f>IF(AND(Table356[[#This Row],[Category]]="Electronic",Table356[[#This Row],[UnitPrice]]&gt;=1000),"Premium Electronics","Not Premium Electronics")</f>
        <v>Not Premium Electronics</v>
      </c>
      <c r="O25" s="27" t="str">
        <f>IF(AND(OR(Table356[[#This Row],[Region]]="Dhaka",Table356[[#This Row],[Region]]="Rajshahi"),Table356[[#This Row],[Status]]="Completed"),"Priority","Normal")</f>
        <v>Normal</v>
      </c>
      <c r="P25" s="27" t="str">
        <f t="shared" si="0"/>
        <v>Furniture Item</v>
      </c>
    </row>
    <row r="26" spans="1:16" x14ac:dyDescent="0.25">
      <c r="A26" s="11">
        <v>1026</v>
      </c>
      <c r="B26" s="12">
        <v>46195</v>
      </c>
      <c r="C26" s="13" t="s">
        <v>15</v>
      </c>
      <c r="D26" s="13" t="s">
        <v>21</v>
      </c>
      <c r="E26" s="13" t="s">
        <v>31</v>
      </c>
      <c r="F26" s="13" t="s">
        <v>13</v>
      </c>
      <c r="G26" s="11">
        <v>4</v>
      </c>
      <c r="H26" s="14">
        <v>1360</v>
      </c>
      <c r="I26" s="11">
        <v>15</v>
      </c>
      <c r="J26" s="13" t="s">
        <v>14</v>
      </c>
      <c r="K26" s="26" t="str">
        <f>IF(AND(Table356[[#This Row],[Qty]]&gt;=5,Table356[[#This Row],[Discount]]&gt;=10),"Premium Offer","Regular")</f>
        <v>Regular</v>
      </c>
      <c r="L26" s="26" t="str">
        <f>IF(OR(Table356[[#This Row],[Region]]="Dhaka",Table356[[#This Row],[Region]]="Chattogram"),"Metro Area","Other")</f>
        <v>Metro Area</v>
      </c>
      <c r="M26" s="26" t="str">
        <f>IF(AND(Table356[[#This Row],[Status]]="Completed",Table356[[#This Row],[Qty]]&gt;=5),"Top Sale","Normal Sale")</f>
        <v>Normal Sale</v>
      </c>
      <c r="N26" s="27" t="str">
        <f>IF(AND(Table356[[#This Row],[Category]]="Electronic",Table356[[#This Row],[UnitPrice]]&gt;=1000),"Premium Electronics","Not Premium Electronics")</f>
        <v>Not Premium Electronics</v>
      </c>
      <c r="O26" s="27" t="str">
        <f>IF(AND(OR(Table356[[#This Row],[Region]]="Dhaka",Table356[[#This Row],[Region]]="Rajshahi"),Table356[[#This Row],[Status]]="Completed"),"Priority","Normal")</f>
        <v>Normal</v>
      </c>
      <c r="P26" s="27" t="str">
        <f t="shared" si="0"/>
        <v>Furniture Item</v>
      </c>
    </row>
    <row r="27" spans="1:16" x14ac:dyDescent="0.25">
      <c r="A27" s="16">
        <v>1027</v>
      </c>
      <c r="B27" s="17">
        <v>46135</v>
      </c>
      <c r="C27" s="18" t="s">
        <v>29</v>
      </c>
      <c r="D27" s="18" t="s">
        <v>28</v>
      </c>
      <c r="E27" s="18" t="s">
        <v>17</v>
      </c>
      <c r="F27" s="18" t="s">
        <v>18</v>
      </c>
      <c r="G27" s="16">
        <v>3</v>
      </c>
      <c r="H27" s="19">
        <v>1195</v>
      </c>
      <c r="I27" s="16">
        <v>10</v>
      </c>
      <c r="J27" s="18" t="s">
        <v>14</v>
      </c>
      <c r="K27" s="26" t="str">
        <f>IF(AND(Table356[[#This Row],[Qty]]&gt;=5,Table356[[#This Row],[Discount]]&gt;=10),"Premium Offer","Regular")</f>
        <v>Regular</v>
      </c>
      <c r="L27" s="26" t="str">
        <f>IF(OR(Table356[[#This Row],[Region]]="Dhaka",Table356[[#This Row],[Region]]="Chattogram"),"Metro Area","Other")</f>
        <v>Metro Area</v>
      </c>
      <c r="M27" s="26" t="str">
        <f>IF(AND(Table356[[#This Row],[Status]]="Completed",Table356[[#This Row],[Qty]]&gt;=5),"Top Sale","Normal Sale")</f>
        <v>Normal Sale</v>
      </c>
      <c r="N27" s="27" t="str">
        <f>IF(AND(Table356[[#This Row],[Category]]="Electronic",Table356[[#This Row],[UnitPrice]]&gt;=1000),"Premium Electronics","Not Premium Electronics")</f>
        <v>Not Premium Electronics</v>
      </c>
      <c r="O27" s="27" t="str">
        <f>IF(AND(OR(Table356[[#This Row],[Region]]="Dhaka",Table356[[#This Row],[Region]]="Rajshahi"),Table356[[#This Row],[Status]]="Completed"),"Priority","Normal")</f>
        <v>Normal</v>
      </c>
      <c r="P27" s="27" t="str">
        <f t="shared" si="0"/>
        <v>High Value</v>
      </c>
    </row>
    <row r="28" spans="1:16" x14ac:dyDescent="0.25">
      <c r="A28" s="11">
        <v>1028</v>
      </c>
      <c r="B28" s="12">
        <v>46058</v>
      </c>
      <c r="C28" s="13" t="s">
        <v>10</v>
      </c>
      <c r="D28" s="13" t="s">
        <v>11</v>
      </c>
      <c r="E28" s="13" t="s">
        <v>12</v>
      </c>
      <c r="F28" s="13" t="s">
        <v>13</v>
      </c>
      <c r="G28" s="11">
        <v>8</v>
      </c>
      <c r="H28" s="14">
        <v>1103</v>
      </c>
      <c r="I28" s="11">
        <v>0</v>
      </c>
      <c r="J28" s="13" t="s">
        <v>14</v>
      </c>
      <c r="K28" s="26" t="str">
        <f>IF(AND(Table356[[#This Row],[Qty]]&gt;=5,Table356[[#This Row],[Discount]]&gt;=10),"Premium Offer","Regular")</f>
        <v>Regular</v>
      </c>
      <c r="L28" s="26" t="str">
        <f>IF(OR(Table356[[#This Row],[Region]]="Dhaka",Table356[[#This Row],[Region]]="Chattogram"),"Metro Area","Other")</f>
        <v>Other</v>
      </c>
      <c r="M28" s="26" t="str">
        <f>IF(AND(Table356[[#This Row],[Status]]="Completed",Table356[[#This Row],[Qty]]&gt;=5),"Top Sale","Normal Sale")</f>
        <v>Normal Sale</v>
      </c>
      <c r="N28" s="27" t="str">
        <f>IF(AND(Table356[[#This Row],[Category]]="Electronic",Table356[[#This Row],[UnitPrice]]&gt;=1000),"Premium Electronics","Not Premium Electronics")</f>
        <v>Not Premium Electronics</v>
      </c>
      <c r="O28" s="27" t="str">
        <f>IF(AND(OR(Table356[[#This Row],[Region]]="Dhaka",Table356[[#This Row],[Region]]="Rajshahi"),Table356[[#This Row],[Status]]="Completed"),"Priority","Normal")</f>
        <v>Normal</v>
      </c>
      <c r="P28" s="27" t="str">
        <f t="shared" si="0"/>
        <v>Furniture Item</v>
      </c>
    </row>
    <row r="29" spans="1:16" x14ac:dyDescent="0.25">
      <c r="A29" s="16">
        <v>1029</v>
      </c>
      <c r="B29" s="17">
        <v>46046</v>
      </c>
      <c r="C29" s="18" t="s">
        <v>29</v>
      </c>
      <c r="D29" s="18" t="s">
        <v>28</v>
      </c>
      <c r="E29" s="18" t="s">
        <v>31</v>
      </c>
      <c r="F29" s="18" t="s">
        <v>13</v>
      </c>
      <c r="G29" s="16">
        <v>10</v>
      </c>
      <c r="H29" s="19">
        <v>1244</v>
      </c>
      <c r="I29" s="16">
        <v>15</v>
      </c>
      <c r="J29" s="18" t="s">
        <v>19</v>
      </c>
      <c r="K29" s="26" t="str">
        <f>IF(AND(Table356[[#This Row],[Qty]]&gt;=5,Table356[[#This Row],[Discount]]&gt;=10),"Premium Offer","Regular")</f>
        <v>Premium Offer</v>
      </c>
      <c r="L29" s="26" t="str">
        <f>IF(OR(Table356[[#This Row],[Region]]="Dhaka",Table356[[#This Row],[Region]]="Chattogram"),"Metro Area","Other")</f>
        <v>Metro Area</v>
      </c>
      <c r="M29" s="26" t="str">
        <f>IF(AND(Table356[[#This Row],[Status]]="Completed",Table356[[#This Row],[Qty]]&gt;=5),"Top Sale","Normal Sale")</f>
        <v>Normal Sale</v>
      </c>
      <c r="N29" s="27" t="str">
        <f>IF(AND(Table356[[#This Row],[Category]]="Electronic",Table356[[#This Row],[UnitPrice]]&gt;=1000),"Premium Electronics","Not Premium Electronics")</f>
        <v>Not Premium Electronics</v>
      </c>
      <c r="O29" s="27" t="str">
        <f>IF(AND(OR(Table356[[#This Row],[Region]]="Dhaka",Table356[[#This Row],[Region]]="Rajshahi"),Table356[[#This Row],[Status]]="Completed"),"Priority","Normal")</f>
        <v>Normal</v>
      </c>
      <c r="P29" s="27" t="str">
        <f t="shared" si="0"/>
        <v>Furniture Item</v>
      </c>
    </row>
    <row r="30" spans="1:16" x14ac:dyDescent="0.25">
      <c r="A30" s="11">
        <v>1030</v>
      </c>
      <c r="B30" s="12">
        <v>46067</v>
      </c>
      <c r="C30" s="13" t="s">
        <v>10</v>
      </c>
      <c r="D30" s="13" t="s">
        <v>21</v>
      </c>
      <c r="E30" s="13" t="s">
        <v>26</v>
      </c>
      <c r="F30" s="13" t="s">
        <v>23</v>
      </c>
      <c r="G30" s="11">
        <v>2</v>
      </c>
      <c r="H30" s="14">
        <v>1531</v>
      </c>
      <c r="I30" s="11">
        <v>0</v>
      </c>
      <c r="J30" s="13" t="s">
        <v>27</v>
      </c>
      <c r="K30" s="26" t="str">
        <f>IF(AND(Table356[[#This Row],[Qty]]&gt;=5,Table356[[#This Row],[Discount]]&gt;=10),"Premium Offer","Regular")</f>
        <v>Regular</v>
      </c>
      <c r="L30" s="26" t="str">
        <f>IF(OR(Table356[[#This Row],[Region]]="Dhaka",Table356[[#This Row],[Region]]="Chattogram"),"Metro Area","Other")</f>
        <v>Other</v>
      </c>
      <c r="M30" s="26" t="str">
        <f>IF(AND(Table356[[#This Row],[Status]]="Completed",Table356[[#This Row],[Qty]]&gt;=5),"Top Sale","Normal Sale")</f>
        <v>Normal Sale</v>
      </c>
      <c r="N30" s="27" t="str">
        <f>IF(AND(Table356[[#This Row],[Category]]="Electronic",Table356[[#This Row],[UnitPrice]]&gt;=1000),"Premium Electronics","Not Premium Electronics")</f>
        <v>Not Premium Electronics</v>
      </c>
      <c r="O30" s="27" t="str">
        <f>IF(AND(OR(Table356[[#This Row],[Region]]="Dhaka",Table356[[#This Row],[Region]]="Rajshahi"),Table356[[#This Row],[Status]]="Completed"),"Priority","Normal")</f>
        <v>Normal</v>
      </c>
      <c r="P30" s="27" t="str">
        <f t="shared" si="0"/>
        <v>Others</v>
      </c>
    </row>
    <row r="31" spans="1:16" x14ac:dyDescent="0.25">
      <c r="A31" s="16">
        <v>1031</v>
      </c>
      <c r="B31" s="17">
        <v>46134</v>
      </c>
      <c r="C31" s="18" t="s">
        <v>29</v>
      </c>
      <c r="D31" s="18" t="s">
        <v>24</v>
      </c>
      <c r="E31" s="18" t="s">
        <v>22</v>
      </c>
      <c r="F31" s="18" t="s">
        <v>23</v>
      </c>
      <c r="G31" s="16">
        <v>8</v>
      </c>
      <c r="H31" s="19">
        <v>550</v>
      </c>
      <c r="I31" s="16">
        <v>10</v>
      </c>
      <c r="J31" s="18" t="s">
        <v>19</v>
      </c>
      <c r="K31" s="26" t="str">
        <f>IF(AND(Table356[[#This Row],[Qty]]&gt;=5,Table356[[#This Row],[Discount]]&gt;=10),"Premium Offer","Regular")</f>
        <v>Premium Offer</v>
      </c>
      <c r="L31" s="26" t="str">
        <f>IF(OR(Table356[[#This Row],[Region]]="Dhaka",Table356[[#This Row],[Region]]="Chattogram"),"Metro Area","Other")</f>
        <v>Metro Area</v>
      </c>
      <c r="M31" s="26" t="str">
        <f>IF(AND(Table356[[#This Row],[Status]]="Completed",Table356[[#This Row],[Qty]]&gt;=5),"Top Sale","Normal Sale")</f>
        <v>Normal Sale</v>
      </c>
      <c r="N31" s="27" t="str">
        <f>IF(AND(Table356[[#This Row],[Category]]="Electronic",Table356[[#This Row],[UnitPrice]]&gt;=1000),"Premium Electronics","Not Premium Electronics")</f>
        <v>Not Premium Electronics</v>
      </c>
      <c r="O31" s="27" t="str">
        <f>IF(AND(OR(Table356[[#This Row],[Region]]="Dhaka",Table356[[#This Row],[Region]]="Rajshahi"),Table356[[#This Row],[Status]]="Completed"),"Priority","Normal")</f>
        <v>Normal</v>
      </c>
      <c r="P31" s="27" t="str">
        <f t="shared" si="0"/>
        <v>Others</v>
      </c>
    </row>
    <row r="32" spans="1:16" x14ac:dyDescent="0.25">
      <c r="A32" s="11">
        <v>1032</v>
      </c>
      <c r="B32" s="12">
        <v>46121</v>
      </c>
      <c r="C32" s="13" t="s">
        <v>20</v>
      </c>
      <c r="D32" s="13" t="s">
        <v>30</v>
      </c>
      <c r="E32" s="13" t="s">
        <v>25</v>
      </c>
      <c r="F32" s="13" t="s">
        <v>18</v>
      </c>
      <c r="G32" s="11">
        <v>5</v>
      </c>
      <c r="H32" s="14">
        <v>758</v>
      </c>
      <c r="I32" s="11">
        <v>10</v>
      </c>
      <c r="J32" s="13" t="s">
        <v>19</v>
      </c>
      <c r="K32" s="26" t="str">
        <f>IF(AND(Table356[[#This Row],[Qty]]&gt;=5,Table356[[#This Row],[Discount]]&gt;=10),"Premium Offer","Regular")</f>
        <v>Premium Offer</v>
      </c>
      <c r="L32" s="26" t="str">
        <f>IF(OR(Table356[[#This Row],[Region]]="Dhaka",Table356[[#This Row],[Region]]="Chattogram"),"Metro Area","Other")</f>
        <v>Other</v>
      </c>
      <c r="M32" s="26" t="str">
        <f>IF(AND(Table356[[#This Row],[Status]]="Completed",Table356[[#This Row],[Qty]]&gt;=5),"Top Sale","Normal Sale")</f>
        <v>Normal Sale</v>
      </c>
      <c r="N32" s="27" t="str">
        <f>IF(AND(Table356[[#This Row],[Category]]="Electronic",Table356[[#This Row],[UnitPrice]]&gt;=1000),"Premium Electronics","Not Premium Electronics")</f>
        <v>Not Premium Electronics</v>
      </c>
      <c r="O32" s="27" t="str">
        <f>IF(AND(OR(Table356[[#This Row],[Region]]="Dhaka",Table356[[#This Row],[Region]]="Rajshahi"),Table356[[#This Row],[Status]]="Completed"),"Priority","Normal")</f>
        <v>Normal</v>
      </c>
      <c r="P32" s="27" t="str">
        <f t="shared" si="0"/>
        <v>High Value</v>
      </c>
    </row>
    <row r="33" spans="1:16" x14ac:dyDescent="0.25">
      <c r="A33" s="16">
        <v>1033</v>
      </c>
      <c r="B33" s="17">
        <v>46124</v>
      </c>
      <c r="C33" s="18" t="s">
        <v>15</v>
      </c>
      <c r="D33" s="18" t="s">
        <v>30</v>
      </c>
      <c r="E33" s="18" t="s">
        <v>26</v>
      </c>
      <c r="F33" s="18" t="s">
        <v>23</v>
      </c>
      <c r="G33" s="16">
        <v>1</v>
      </c>
      <c r="H33" s="19">
        <v>1961</v>
      </c>
      <c r="I33" s="16">
        <v>0</v>
      </c>
      <c r="J33" s="18" t="s">
        <v>14</v>
      </c>
      <c r="K33" s="26" t="str">
        <f>IF(AND(Table356[[#This Row],[Qty]]&gt;=5,Table356[[#This Row],[Discount]]&gt;=10),"Premium Offer","Regular")</f>
        <v>Regular</v>
      </c>
      <c r="L33" s="26" t="str">
        <f>IF(OR(Table356[[#This Row],[Region]]="Dhaka",Table356[[#This Row],[Region]]="Chattogram"),"Metro Area","Other")</f>
        <v>Metro Area</v>
      </c>
      <c r="M33" s="26" t="str">
        <f>IF(AND(Table356[[#This Row],[Status]]="Completed",Table356[[#This Row],[Qty]]&gt;=5),"Top Sale","Normal Sale")</f>
        <v>Normal Sale</v>
      </c>
      <c r="N33" s="27" t="str">
        <f>IF(AND(Table356[[#This Row],[Category]]="Electronic",Table356[[#This Row],[UnitPrice]]&gt;=1000),"Premium Electronics","Not Premium Electronics")</f>
        <v>Not Premium Electronics</v>
      </c>
      <c r="O33" s="27" t="str">
        <f>IF(AND(OR(Table356[[#This Row],[Region]]="Dhaka",Table356[[#This Row],[Region]]="Rajshahi"),Table356[[#This Row],[Status]]="Completed"),"Priority","Normal")</f>
        <v>Normal</v>
      </c>
      <c r="P33" s="27" t="str">
        <f t="shared" si="0"/>
        <v>Others</v>
      </c>
    </row>
    <row r="34" spans="1:16" x14ac:dyDescent="0.25">
      <c r="A34" s="11">
        <v>1034</v>
      </c>
      <c r="B34" s="12">
        <v>46041</v>
      </c>
      <c r="C34" s="13" t="s">
        <v>20</v>
      </c>
      <c r="D34" s="13" t="s">
        <v>24</v>
      </c>
      <c r="E34" s="13" t="s">
        <v>31</v>
      </c>
      <c r="F34" s="13" t="s">
        <v>13</v>
      </c>
      <c r="G34" s="11">
        <v>1</v>
      </c>
      <c r="H34" s="14">
        <v>1578</v>
      </c>
      <c r="I34" s="11">
        <v>15</v>
      </c>
      <c r="J34" s="13" t="s">
        <v>27</v>
      </c>
      <c r="K34" s="26" t="str">
        <f>IF(AND(Table356[[#This Row],[Qty]]&gt;=5,Table356[[#This Row],[Discount]]&gt;=10),"Premium Offer","Regular")</f>
        <v>Regular</v>
      </c>
      <c r="L34" s="26" t="str">
        <f>IF(OR(Table356[[#This Row],[Region]]="Dhaka",Table356[[#This Row],[Region]]="Chattogram"),"Metro Area","Other")</f>
        <v>Other</v>
      </c>
      <c r="M34" s="26" t="str">
        <f>IF(AND(Table356[[#This Row],[Status]]="Completed",Table356[[#This Row],[Qty]]&gt;=5),"Top Sale","Normal Sale")</f>
        <v>Normal Sale</v>
      </c>
      <c r="N34" s="27" t="str">
        <f>IF(AND(Table356[[#This Row],[Category]]="Electronic",Table356[[#This Row],[UnitPrice]]&gt;=1000),"Premium Electronics","Not Premium Electronics")</f>
        <v>Not Premium Electronics</v>
      </c>
      <c r="O34" s="27" t="str">
        <f>IF(AND(OR(Table356[[#This Row],[Region]]="Dhaka",Table356[[#This Row],[Region]]="Rajshahi"),Table356[[#This Row],[Status]]="Completed"),"Priority","Normal")</f>
        <v>Priority</v>
      </c>
      <c r="P34" s="27" t="str">
        <f t="shared" ref="P34:P65" si="1">IF(F34="Electronics",IF(I34&gt;=10,"High Value","Electronics"),IF(F34="Furniture","Furniture Item","Others"))</f>
        <v>Furniture Item</v>
      </c>
    </row>
    <row r="35" spans="1:16" x14ac:dyDescent="0.25">
      <c r="A35" s="16">
        <v>1035</v>
      </c>
      <c r="B35" s="17">
        <v>46173</v>
      </c>
      <c r="C35" s="18" t="s">
        <v>29</v>
      </c>
      <c r="D35" s="18" t="s">
        <v>21</v>
      </c>
      <c r="E35" s="18" t="s">
        <v>17</v>
      </c>
      <c r="F35" s="18" t="s">
        <v>18</v>
      </c>
      <c r="G35" s="16">
        <v>4</v>
      </c>
      <c r="H35" s="19">
        <v>1219</v>
      </c>
      <c r="I35" s="16">
        <v>10</v>
      </c>
      <c r="J35" s="18" t="s">
        <v>14</v>
      </c>
      <c r="K35" s="26" t="str">
        <f>IF(AND(Table356[[#This Row],[Qty]]&gt;=5,Table356[[#This Row],[Discount]]&gt;=10),"Premium Offer","Regular")</f>
        <v>Regular</v>
      </c>
      <c r="L35" s="26" t="str">
        <f>IF(OR(Table356[[#This Row],[Region]]="Dhaka",Table356[[#This Row],[Region]]="Chattogram"),"Metro Area","Other")</f>
        <v>Metro Area</v>
      </c>
      <c r="M35" s="26" t="str">
        <f>IF(AND(Table356[[#This Row],[Status]]="Completed",Table356[[#This Row],[Qty]]&gt;=5),"Top Sale","Normal Sale")</f>
        <v>Normal Sale</v>
      </c>
      <c r="N35" s="27" t="str">
        <f>IF(AND(Table356[[#This Row],[Category]]="Electronic",Table356[[#This Row],[UnitPrice]]&gt;=1000),"Premium Electronics","Not Premium Electronics")</f>
        <v>Not Premium Electronics</v>
      </c>
      <c r="O35" s="27" t="str">
        <f>IF(AND(OR(Table356[[#This Row],[Region]]="Dhaka",Table356[[#This Row],[Region]]="Rajshahi"),Table356[[#This Row],[Status]]="Completed"),"Priority","Normal")</f>
        <v>Normal</v>
      </c>
      <c r="P35" s="27" t="str">
        <f t="shared" si="1"/>
        <v>High Value</v>
      </c>
    </row>
    <row r="36" spans="1:16" x14ac:dyDescent="0.25">
      <c r="A36" s="11">
        <v>1036</v>
      </c>
      <c r="B36" s="12">
        <v>46168</v>
      </c>
      <c r="C36" s="13" t="s">
        <v>29</v>
      </c>
      <c r="D36" s="13" t="s">
        <v>30</v>
      </c>
      <c r="E36" s="13" t="s">
        <v>12</v>
      </c>
      <c r="F36" s="13" t="s">
        <v>13</v>
      </c>
      <c r="G36" s="11">
        <v>3</v>
      </c>
      <c r="H36" s="14">
        <v>1586</v>
      </c>
      <c r="I36" s="11">
        <v>5</v>
      </c>
      <c r="J36" s="13" t="s">
        <v>27</v>
      </c>
      <c r="K36" s="26" t="str">
        <f>IF(AND(Table356[[#This Row],[Qty]]&gt;=5,Table356[[#This Row],[Discount]]&gt;=10),"Premium Offer","Regular")</f>
        <v>Regular</v>
      </c>
      <c r="L36" s="26" t="str">
        <f>IF(OR(Table356[[#This Row],[Region]]="Dhaka",Table356[[#This Row],[Region]]="Chattogram"),"Metro Area","Other")</f>
        <v>Metro Area</v>
      </c>
      <c r="M36" s="26" t="str">
        <f>IF(AND(Table356[[#This Row],[Status]]="Completed",Table356[[#This Row],[Qty]]&gt;=5),"Top Sale","Normal Sale")</f>
        <v>Normal Sale</v>
      </c>
      <c r="N36" s="27" t="str">
        <f>IF(AND(Table356[[#This Row],[Category]]="Electronic",Table356[[#This Row],[UnitPrice]]&gt;=1000),"Premium Electronics","Not Premium Electronics")</f>
        <v>Not Premium Electronics</v>
      </c>
      <c r="O36" s="27" t="str">
        <f>IF(AND(OR(Table356[[#This Row],[Region]]="Dhaka",Table356[[#This Row],[Region]]="Rajshahi"),Table356[[#This Row],[Status]]="Completed"),"Priority","Normal")</f>
        <v>Normal</v>
      </c>
      <c r="P36" s="27" t="str">
        <f t="shared" si="1"/>
        <v>Furniture Item</v>
      </c>
    </row>
    <row r="37" spans="1:16" x14ac:dyDescent="0.25">
      <c r="A37" s="16">
        <v>1037</v>
      </c>
      <c r="B37" s="17">
        <v>46163</v>
      </c>
      <c r="C37" s="18" t="s">
        <v>15</v>
      </c>
      <c r="D37" s="18" t="s">
        <v>11</v>
      </c>
      <c r="E37" s="18" t="s">
        <v>26</v>
      </c>
      <c r="F37" s="18" t="s">
        <v>23</v>
      </c>
      <c r="G37" s="16">
        <v>10</v>
      </c>
      <c r="H37" s="19">
        <v>1260</v>
      </c>
      <c r="I37" s="16">
        <v>15</v>
      </c>
      <c r="J37" s="18" t="s">
        <v>19</v>
      </c>
      <c r="K37" s="26" t="str">
        <f>IF(AND(Table356[[#This Row],[Qty]]&gt;=5,Table356[[#This Row],[Discount]]&gt;=10),"Premium Offer","Regular")</f>
        <v>Premium Offer</v>
      </c>
      <c r="L37" s="26" t="str">
        <f>IF(OR(Table356[[#This Row],[Region]]="Dhaka",Table356[[#This Row],[Region]]="Chattogram"),"Metro Area","Other")</f>
        <v>Metro Area</v>
      </c>
      <c r="M37" s="26" t="str">
        <f>IF(AND(Table356[[#This Row],[Status]]="Completed",Table356[[#This Row],[Qty]]&gt;=5),"Top Sale","Normal Sale")</f>
        <v>Normal Sale</v>
      </c>
      <c r="N37" s="27" t="str">
        <f>IF(AND(Table356[[#This Row],[Category]]="Electronic",Table356[[#This Row],[UnitPrice]]&gt;=1000),"Premium Electronics","Not Premium Electronics")</f>
        <v>Not Premium Electronics</v>
      </c>
      <c r="O37" s="27" t="str">
        <f>IF(AND(OR(Table356[[#This Row],[Region]]="Dhaka",Table356[[#This Row],[Region]]="Rajshahi"),Table356[[#This Row],[Status]]="Completed"),"Priority","Normal")</f>
        <v>Normal</v>
      </c>
      <c r="P37" s="27" t="str">
        <f t="shared" si="1"/>
        <v>Others</v>
      </c>
    </row>
    <row r="38" spans="1:16" x14ac:dyDescent="0.25">
      <c r="A38" s="11">
        <v>1038</v>
      </c>
      <c r="B38" s="12">
        <v>46113</v>
      </c>
      <c r="C38" s="13" t="s">
        <v>29</v>
      </c>
      <c r="D38" s="13" t="s">
        <v>16</v>
      </c>
      <c r="E38" s="13" t="s">
        <v>12</v>
      </c>
      <c r="F38" s="13" t="s">
        <v>13</v>
      </c>
      <c r="G38" s="11">
        <v>1</v>
      </c>
      <c r="H38" s="14">
        <v>1671</v>
      </c>
      <c r="I38" s="11">
        <v>10</v>
      </c>
      <c r="J38" s="13" t="s">
        <v>27</v>
      </c>
      <c r="K38" s="26" t="str">
        <f>IF(AND(Table356[[#This Row],[Qty]]&gt;=5,Table356[[#This Row],[Discount]]&gt;=10),"Premium Offer","Regular")</f>
        <v>Regular</v>
      </c>
      <c r="L38" s="26" t="str">
        <f>IF(OR(Table356[[#This Row],[Region]]="Dhaka",Table356[[#This Row],[Region]]="Chattogram"),"Metro Area","Other")</f>
        <v>Metro Area</v>
      </c>
      <c r="M38" s="26" t="str">
        <f>IF(AND(Table356[[#This Row],[Status]]="Completed",Table356[[#This Row],[Qty]]&gt;=5),"Top Sale","Normal Sale")</f>
        <v>Normal Sale</v>
      </c>
      <c r="N38" s="27" t="str">
        <f>IF(AND(Table356[[#This Row],[Category]]="Electronic",Table356[[#This Row],[UnitPrice]]&gt;=1000),"Premium Electronics","Not Premium Electronics")</f>
        <v>Not Premium Electronics</v>
      </c>
      <c r="O38" s="27" t="str">
        <f>IF(AND(OR(Table356[[#This Row],[Region]]="Dhaka",Table356[[#This Row],[Region]]="Rajshahi"),Table356[[#This Row],[Status]]="Completed"),"Priority","Normal")</f>
        <v>Normal</v>
      </c>
      <c r="P38" s="27" t="str">
        <f t="shared" si="1"/>
        <v>Furniture Item</v>
      </c>
    </row>
    <row r="39" spans="1:16" x14ac:dyDescent="0.25">
      <c r="A39" s="16">
        <v>1039</v>
      </c>
      <c r="B39" s="17">
        <v>46064</v>
      </c>
      <c r="C39" s="18" t="s">
        <v>15</v>
      </c>
      <c r="D39" s="18" t="s">
        <v>30</v>
      </c>
      <c r="E39" s="18" t="s">
        <v>31</v>
      </c>
      <c r="F39" s="18" t="s">
        <v>13</v>
      </c>
      <c r="G39" s="16">
        <v>5</v>
      </c>
      <c r="H39" s="19">
        <v>1309</v>
      </c>
      <c r="I39" s="16">
        <v>10</v>
      </c>
      <c r="J39" s="18" t="s">
        <v>14</v>
      </c>
      <c r="K39" s="26" t="str">
        <f>IF(AND(Table356[[#This Row],[Qty]]&gt;=5,Table356[[#This Row],[Discount]]&gt;=10),"Premium Offer","Regular")</f>
        <v>Premium Offer</v>
      </c>
      <c r="L39" s="26" t="str">
        <f>IF(OR(Table356[[#This Row],[Region]]="Dhaka",Table356[[#This Row],[Region]]="Chattogram"),"Metro Area","Other")</f>
        <v>Metro Area</v>
      </c>
      <c r="M39" s="26" t="str">
        <f>IF(AND(Table356[[#This Row],[Status]]="Completed",Table356[[#This Row],[Qty]]&gt;=5),"Top Sale","Normal Sale")</f>
        <v>Normal Sale</v>
      </c>
      <c r="N39" s="27" t="str">
        <f>IF(AND(Table356[[#This Row],[Category]]="Electronic",Table356[[#This Row],[UnitPrice]]&gt;=1000),"Premium Electronics","Not Premium Electronics")</f>
        <v>Not Premium Electronics</v>
      </c>
      <c r="O39" s="27" t="str">
        <f>IF(AND(OR(Table356[[#This Row],[Region]]="Dhaka",Table356[[#This Row],[Region]]="Rajshahi"),Table356[[#This Row],[Status]]="Completed"),"Priority","Normal")</f>
        <v>Normal</v>
      </c>
      <c r="P39" s="27" t="str">
        <f t="shared" si="1"/>
        <v>Furniture Item</v>
      </c>
    </row>
    <row r="40" spans="1:16" x14ac:dyDescent="0.25">
      <c r="A40" s="11">
        <v>1040</v>
      </c>
      <c r="B40" s="12">
        <v>46143</v>
      </c>
      <c r="C40" s="13" t="s">
        <v>15</v>
      </c>
      <c r="D40" s="13" t="s">
        <v>24</v>
      </c>
      <c r="E40" s="13" t="s">
        <v>12</v>
      </c>
      <c r="F40" s="13" t="s">
        <v>13</v>
      </c>
      <c r="G40" s="11">
        <v>9</v>
      </c>
      <c r="H40" s="14">
        <v>585</v>
      </c>
      <c r="I40" s="11">
        <v>15</v>
      </c>
      <c r="J40" s="13" t="s">
        <v>19</v>
      </c>
      <c r="K40" s="26" t="str">
        <f>IF(AND(Table356[[#This Row],[Qty]]&gt;=5,Table356[[#This Row],[Discount]]&gt;=10),"Premium Offer","Regular")</f>
        <v>Premium Offer</v>
      </c>
      <c r="L40" s="26" t="str">
        <f>IF(OR(Table356[[#This Row],[Region]]="Dhaka",Table356[[#This Row],[Region]]="Chattogram"),"Metro Area","Other")</f>
        <v>Metro Area</v>
      </c>
      <c r="M40" s="26" t="str">
        <f>IF(AND(Table356[[#This Row],[Status]]="Completed",Table356[[#This Row],[Qty]]&gt;=5),"Top Sale","Normal Sale")</f>
        <v>Normal Sale</v>
      </c>
      <c r="N40" s="27" t="str">
        <f>IF(AND(Table356[[#This Row],[Category]]="Electronic",Table356[[#This Row],[UnitPrice]]&gt;=1000),"Premium Electronics","Not Premium Electronics")</f>
        <v>Not Premium Electronics</v>
      </c>
      <c r="O40" s="27" t="str">
        <f>IF(AND(OR(Table356[[#This Row],[Region]]="Dhaka",Table356[[#This Row],[Region]]="Rajshahi"),Table356[[#This Row],[Status]]="Completed"),"Priority","Normal")</f>
        <v>Normal</v>
      </c>
      <c r="P40" s="27" t="str">
        <f t="shared" si="1"/>
        <v>Furniture Item</v>
      </c>
    </row>
    <row r="41" spans="1:16" x14ac:dyDescent="0.25">
      <c r="A41" s="16">
        <v>1041</v>
      </c>
      <c r="B41" s="17">
        <v>46128</v>
      </c>
      <c r="C41" s="18" t="s">
        <v>15</v>
      </c>
      <c r="D41" s="18" t="s">
        <v>21</v>
      </c>
      <c r="E41" s="18" t="s">
        <v>17</v>
      </c>
      <c r="F41" s="18" t="s">
        <v>18</v>
      </c>
      <c r="G41" s="16">
        <v>10</v>
      </c>
      <c r="H41" s="19">
        <v>1600</v>
      </c>
      <c r="I41" s="16">
        <v>15</v>
      </c>
      <c r="J41" s="18" t="s">
        <v>14</v>
      </c>
      <c r="K41" s="26" t="str">
        <f>IF(AND(Table356[[#This Row],[Qty]]&gt;=5,Table356[[#This Row],[Discount]]&gt;=10),"Premium Offer","Regular")</f>
        <v>Premium Offer</v>
      </c>
      <c r="L41" s="26" t="str">
        <f>IF(OR(Table356[[#This Row],[Region]]="Dhaka",Table356[[#This Row],[Region]]="Chattogram"),"Metro Area","Other")</f>
        <v>Metro Area</v>
      </c>
      <c r="M41" s="26" t="str">
        <f>IF(AND(Table356[[#This Row],[Status]]="Completed",Table356[[#This Row],[Qty]]&gt;=5),"Top Sale","Normal Sale")</f>
        <v>Normal Sale</v>
      </c>
      <c r="N41" s="27" t="str">
        <f>IF(AND(Table356[[#This Row],[Category]]="Electronic",Table356[[#This Row],[UnitPrice]]&gt;=1000),"Premium Electronics","Not Premium Electronics")</f>
        <v>Not Premium Electronics</v>
      </c>
      <c r="O41" s="27" t="str">
        <f>IF(AND(OR(Table356[[#This Row],[Region]]="Dhaka",Table356[[#This Row],[Region]]="Rajshahi"),Table356[[#This Row],[Status]]="Completed"),"Priority","Normal")</f>
        <v>Normal</v>
      </c>
      <c r="P41" s="27" t="str">
        <f t="shared" si="1"/>
        <v>High Value</v>
      </c>
    </row>
    <row r="42" spans="1:16" x14ac:dyDescent="0.25">
      <c r="A42" s="11">
        <v>1042</v>
      </c>
      <c r="B42" s="12">
        <v>46029</v>
      </c>
      <c r="C42" s="13" t="s">
        <v>29</v>
      </c>
      <c r="D42" s="13" t="s">
        <v>21</v>
      </c>
      <c r="E42" s="13" t="s">
        <v>22</v>
      </c>
      <c r="F42" s="13" t="s">
        <v>23</v>
      </c>
      <c r="G42" s="11">
        <v>7</v>
      </c>
      <c r="H42" s="14">
        <v>793</v>
      </c>
      <c r="I42" s="11">
        <v>0</v>
      </c>
      <c r="J42" s="13" t="s">
        <v>19</v>
      </c>
      <c r="K42" s="26" t="str">
        <f>IF(AND(Table356[[#This Row],[Qty]]&gt;=5,Table356[[#This Row],[Discount]]&gt;=10),"Premium Offer","Regular")</f>
        <v>Regular</v>
      </c>
      <c r="L42" s="26" t="str">
        <f>IF(OR(Table356[[#This Row],[Region]]="Dhaka",Table356[[#This Row],[Region]]="Chattogram"),"Metro Area","Other")</f>
        <v>Metro Area</v>
      </c>
      <c r="M42" s="26" t="str">
        <f>IF(AND(Table356[[#This Row],[Status]]="Completed",Table356[[#This Row],[Qty]]&gt;=5),"Top Sale","Normal Sale")</f>
        <v>Normal Sale</v>
      </c>
      <c r="N42" s="27" t="str">
        <f>IF(AND(Table356[[#This Row],[Category]]="Electronic",Table356[[#This Row],[UnitPrice]]&gt;=1000),"Premium Electronics","Not Premium Electronics")</f>
        <v>Not Premium Electronics</v>
      </c>
      <c r="O42" s="27" t="str">
        <f>IF(AND(OR(Table356[[#This Row],[Region]]="Dhaka",Table356[[#This Row],[Region]]="Rajshahi"),Table356[[#This Row],[Status]]="Completed"),"Priority","Normal")</f>
        <v>Normal</v>
      </c>
      <c r="P42" s="27" t="str">
        <f t="shared" si="1"/>
        <v>Others</v>
      </c>
    </row>
    <row r="43" spans="1:16" x14ac:dyDescent="0.25">
      <c r="A43" s="16">
        <v>1043</v>
      </c>
      <c r="B43" s="17">
        <v>46190</v>
      </c>
      <c r="C43" s="18" t="s">
        <v>15</v>
      </c>
      <c r="D43" s="18" t="s">
        <v>28</v>
      </c>
      <c r="E43" s="18" t="s">
        <v>26</v>
      </c>
      <c r="F43" s="18" t="s">
        <v>23</v>
      </c>
      <c r="G43" s="16">
        <v>8</v>
      </c>
      <c r="H43" s="19">
        <v>103</v>
      </c>
      <c r="I43" s="16">
        <v>5</v>
      </c>
      <c r="J43" s="18" t="s">
        <v>27</v>
      </c>
      <c r="K43" s="26" t="str">
        <f>IF(AND(Table356[[#This Row],[Qty]]&gt;=5,Table356[[#This Row],[Discount]]&gt;=10),"Premium Offer","Regular")</f>
        <v>Regular</v>
      </c>
      <c r="L43" s="26" t="str">
        <f>IF(OR(Table356[[#This Row],[Region]]="Dhaka",Table356[[#This Row],[Region]]="Chattogram"),"Metro Area","Other")</f>
        <v>Metro Area</v>
      </c>
      <c r="M43" s="26" t="str">
        <f>IF(AND(Table356[[#This Row],[Status]]="Completed",Table356[[#This Row],[Qty]]&gt;=5),"Top Sale","Normal Sale")</f>
        <v>Top Sale</v>
      </c>
      <c r="N43" s="27" t="str">
        <f>IF(AND(Table356[[#This Row],[Category]]="Electronic",Table356[[#This Row],[UnitPrice]]&gt;=1000),"Premium Electronics","Not Premium Electronics")</f>
        <v>Not Premium Electronics</v>
      </c>
      <c r="O43" s="27" t="str">
        <f>IF(AND(OR(Table356[[#This Row],[Region]]="Dhaka",Table356[[#This Row],[Region]]="Rajshahi"),Table356[[#This Row],[Status]]="Completed"),"Priority","Normal")</f>
        <v>Priority</v>
      </c>
      <c r="P43" s="27" t="str">
        <f t="shared" si="1"/>
        <v>Others</v>
      </c>
    </row>
    <row r="44" spans="1:16" x14ac:dyDescent="0.25">
      <c r="A44" s="11">
        <v>1044</v>
      </c>
      <c r="B44" s="12">
        <v>46082</v>
      </c>
      <c r="C44" s="13" t="s">
        <v>10</v>
      </c>
      <c r="D44" s="13" t="s">
        <v>11</v>
      </c>
      <c r="E44" s="13" t="s">
        <v>12</v>
      </c>
      <c r="F44" s="13" t="s">
        <v>13</v>
      </c>
      <c r="G44" s="11">
        <v>9</v>
      </c>
      <c r="H44" s="14">
        <v>230</v>
      </c>
      <c r="I44" s="11">
        <v>0</v>
      </c>
      <c r="J44" s="13" t="s">
        <v>14</v>
      </c>
      <c r="K44" s="26" t="str">
        <f>IF(AND(Table356[[#This Row],[Qty]]&gt;=5,Table356[[#This Row],[Discount]]&gt;=10),"Premium Offer","Regular")</f>
        <v>Regular</v>
      </c>
      <c r="L44" s="26" t="str">
        <f>IF(OR(Table356[[#This Row],[Region]]="Dhaka",Table356[[#This Row],[Region]]="Chattogram"),"Metro Area","Other")</f>
        <v>Other</v>
      </c>
      <c r="M44" s="26" t="str">
        <f>IF(AND(Table356[[#This Row],[Status]]="Completed",Table356[[#This Row],[Qty]]&gt;=5),"Top Sale","Normal Sale")</f>
        <v>Normal Sale</v>
      </c>
      <c r="N44" s="27" t="str">
        <f>IF(AND(Table356[[#This Row],[Category]]="Electronic",Table356[[#This Row],[UnitPrice]]&gt;=1000),"Premium Electronics","Not Premium Electronics")</f>
        <v>Not Premium Electronics</v>
      </c>
      <c r="O44" s="27" t="str">
        <f>IF(AND(OR(Table356[[#This Row],[Region]]="Dhaka",Table356[[#This Row],[Region]]="Rajshahi"),Table356[[#This Row],[Status]]="Completed"),"Priority","Normal")</f>
        <v>Normal</v>
      </c>
      <c r="P44" s="27" t="str">
        <f t="shared" si="1"/>
        <v>Furniture Item</v>
      </c>
    </row>
    <row r="45" spans="1:16" x14ac:dyDescent="0.25">
      <c r="A45" s="16">
        <v>1045</v>
      </c>
      <c r="B45" s="17">
        <v>46129</v>
      </c>
      <c r="C45" s="18" t="s">
        <v>10</v>
      </c>
      <c r="D45" s="18" t="s">
        <v>30</v>
      </c>
      <c r="E45" s="18" t="s">
        <v>26</v>
      </c>
      <c r="F45" s="18" t="s">
        <v>23</v>
      </c>
      <c r="G45" s="16">
        <v>8</v>
      </c>
      <c r="H45" s="19">
        <v>1544</v>
      </c>
      <c r="I45" s="16">
        <v>10</v>
      </c>
      <c r="J45" s="18" t="s">
        <v>27</v>
      </c>
      <c r="K45" s="26" t="str">
        <f>IF(AND(Table356[[#This Row],[Qty]]&gt;=5,Table356[[#This Row],[Discount]]&gt;=10),"Premium Offer","Regular")</f>
        <v>Premium Offer</v>
      </c>
      <c r="L45" s="26" t="str">
        <f>IF(OR(Table356[[#This Row],[Region]]="Dhaka",Table356[[#This Row],[Region]]="Chattogram"),"Metro Area","Other")</f>
        <v>Other</v>
      </c>
      <c r="M45" s="26" t="str">
        <f>IF(AND(Table356[[#This Row],[Status]]="Completed",Table356[[#This Row],[Qty]]&gt;=5),"Top Sale","Normal Sale")</f>
        <v>Top Sale</v>
      </c>
      <c r="N45" s="27" t="str">
        <f>IF(AND(Table356[[#This Row],[Category]]="Electronic",Table356[[#This Row],[UnitPrice]]&gt;=1000),"Premium Electronics","Not Premium Electronics")</f>
        <v>Not Premium Electronics</v>
      </c>
      <c r="O45" s="27" t="str">
        <f>IF(AND(OR(Table356[[#This Row],[Region]]="Dhaka",Table356[[#This Row],[Region]]="Rajshahi"),Table356[[#This Row],[Status]]="Completed"),"Priority","Normal")</f>
        <v>Normal</v>
      </c>
      <c r="P45" s="27" t="str">
        <f t="shared" si="1"/>
        <v>Others</v>
      </c>
    </row>
    <row r="46" spans="1:16" x14ac:dyDescent="0.25">
      <c r="A46" s="11">
        <v>1046</v>
      </c>
      <c r="B46" s="12">
        <v>46194</v>
      </c>
      <c r="C46" s="13" t="s">
        <v>20</v>
      </c>
      <c r="D46" s="13" t="s">
        <v>11</v>
      </c>
      <c r="E46" s="13" t="s">
        <v>25</v>
      </c>
      <c r="F46" s="13" t="s">
        <v>18</v>
      </c>
      <c r="G46" s="11">
        <v>7</v>
      </c>
      <c r="H46" s="14">
        <v>808</v>
      </c>
      <c r="I46" s="11">
        <v>5</v>
      </c>
      <c r="J46" s="13" t="s">
        <v>27</v>
      </c>
      <c r="K46" s="26" t="str">
        <f>IF(AND(Table356[[#This Row],[Qty]]&gt;=5,Table356[[#This Row],[Discount]]&gt;=10),"Premium Offer","Regular")</f>
        <v>Regular</v>
      </c>
      <c r="L46" s="26" t="str">
        <f>IF(OR(Table356[[#This Row],[Region]]="Dhaka",Table356[[#This Row],[Region]]="Chattogram"),"Metro Area","Other")</f>
        <v>Other</v>
      </c>
      <c r="M46" s="26" t="str">
        <f>IF(AND(Table356[[#This Row],[Status]]="Completed",Table356[[#This Row],[Qty]]&gt;=5),"Top Sale","Normal Sale")</f>
        <v>Top Sale</v>
      </c>
      <c r="N46" s="27" t="str">
        <f>IF(AND(Table356[[#This Row],[Category]]="Electronic",Table356[[#This Row],[UnitPrice]]&gt;=1000),"Premium Electronics","Not Premium Electronics")</f>
        <v>Not Premium Electronics</v>
      </c>
      <c r="O46" s="27" t="str">
        <f>IF(AND(OR(Table356[[#This Row],[Region]]="Dhaka",Table356[[#This Row],[Region]]="Rajshahi"),Table356[[#This Row],[Status]]="Completed"),"Priority","Normal")</f>
        <v>Priority</v>
      </c>
      <c r="P46" s="27" t="str">
        <f t="shared" si="1"/>
        <v>Electronics</v>
      </c>
    </row>
    <row r="47" spans="1:16" x14ac:dyDescent="0.25">
      <c r="A47" s="16">
        <v>1047</v>
      </c>
      <c r="B47" s="17">
        <v>46125</v>
      </c>
      <c r="C47" s="18" t="s">
        <v>20</v>
      </c>
      <c r="D47" s="18" t="s">
        <v>30</v>
      </c>
      <c r="E47" s="18" t="s">
        <v>26</v>
      </c>
      <c r="F47" s="18" t="s">
        <v>23</v>
      </c>
      <c r="G47" s="16">
        <v>7</v>
      </c>
      <c r="H47" s="19">
        <v>1860</v>
      </c>
      <c r="I47" s="16">
        <v>10</v>
      </c>
      <c r="J47" s="18" t="s">
        <v>27</v>
      </c>
      <c r="K47" s="26" t="str">
        <f>IF(AND(Table356[[#This Row],[Qty]]&gt;=5,Table356[[#This Row],[Discount]]&gt;=10),"Premium Offer","Regular")</f>
        <v>Premium Offer</v>
      </c>
      <c r="L47" s="26" t="str">
        <f>IF(OR(Table356[[#This Row],[Region]]="Dhaka",Table356[[#This Row],[Region]]="Chattogram"),"Metro Area","Other")</f>
        <v>Other</v>
      </c>
      <c r="M47" s="26" t="str">
        <f>IF(AND(Table356[[#This Row],[Status]]="Completed",Table356[[#This Row],[Qty]]&gt;=5),"Top Sale","Normal Sale")</f>
        <v>Top Sale</v>
      </c>
      <c r="N47" s="27" t="str">
        <f>IF(AND(Table356[[#This Row],[Category]]="Electronic",Table356[[#This Row],[UnitPrice]]&gt;=1000),"Premium Electronics","Not Premium Electronics")</f>
        <v>Not Premium Electronics</v>
      </c>
      <c r="O47" s="27" t="str">
        <f>IF(AND(OR(Table356[[#This Row],[Region]]="Dhaka",Table356[[#This Row],[Region]]="Rajshahi"),Table356[[#This Row],[Status]]="Completed"),"Priority","Normal")</f>
        <v>Priority</v>
      </c>
      <c r="P47" s="27" t="str">
        <f t="shared" si="1"/>
        <v>Others</v>
      </c>
    </row>
    <row r="48" spans="1:16" x14ac:dyDescent="0.25">
      <c r="A48" s="11">
        <v>1048</v>
      </c>
      <c r="B48" s="12">
        <v>46152</v>
      </c>
      <c r="C48" s="13" t="s">
        <v>20</v>
      </c>
      <c r="D48" s="13" t="s">
        <v>28</v>
      </c>
      <c r="E48" s="13" t="s">
        <v>17</v>
      </c>
      <c r="F48" s="13" t="s">
        <v>18</v>
      </c>
      <c r="G48" s="11">
        <v>4</v>
      </c>
      <c r="H48" s="14">
        <v>1521</v>
      </c>
      <c r="I48" s="11">
        <v>5</v>
      </c>
      <c r="J48" s="13" t="s">
        <v>19</v>
      </c>
      <c r="K48" s="26" t="str">
        <f>IF(AND(Table356[[#This Row],[Qty]]&gt;=5,Table356[[#This Row],[Discount]]&gt;=10),"Premium Offer","Regular")</f>
        <v>Regular</v>
      </c>
      <c r="L48" s="26" t="str">
        <f>IF(OR(Table356[[#This Row],[Region]]="Dhaka",Table356[[#This Row],[Region]]="Chattogram"),"Metro Area","Other")</f>
        <v>Other</v>
      </c>
      <c r="M48" s="26" t="str">
        <f>IF(AND(Table356[[#This Row],[Status]]="Completed",Table356[[#This Row],[Qty]]&gt;=5),"Top Sale","Normal Sale")</f>
        <v>Normal Sale</v>
      </c>
      <c r="N48" s="27" t="str">
        <f>IF(AND(Table356[[#This Row],[Category]]="Electronic",Table356[[#This Row],[UnitPrice]]&gt;=1000),"Premium Electronics","Not Premium Electronics")</f>
        <v>Not Premium Electronics</v>
      </c>
      <c r="O48" s="27" t="str">
        <f>IF(AND(OR(Table356[[#This Row],[Region]]="Dhaka",Table356[[#This Row],[Region]]="Rajshahi"),Table356[[#This Row],[Status]]="Completed"),"Priority","Normal")</f>
        <v>Normal</v>
      </c>
      <c r="P48" s="27" t="str">
        <f t="shared" si="1"/>
        <v>Electronics</v>
      </c>
    </row>
    <row r="49" spans="1:16" x14ac:dyDescent="0.25">
      <c r="A49" s="16">
        <v>1049</v>
      </c>
      <c r="B49" s="17">
        <v>46168</v>
      </c>
      <c r="C49" s="18" t="s">
        <v>20</v>
      </c>
      <c r="D49" s="18" t="s">
        <v>21</v>
      </c>
      <c r="E49" s="18" t="s">
        <v>17</v>
      </c>
      <c r="F49" s="18" t="s">
        <v>18</v>
      </c>
      <c r="G49" s="16">
        <v>3</v>
      </c>
      <c r="H49" s="19">
        <v>1023</v>
      </c>
      <c r="I49" s="16">
        <v>15</v>
      </c>
      <c r="J49" s="18" t="s">
        <v>14</v>
      </c>
      <c r="K49" s="26" t="str">
        <f>IF(AND(Table356[[#This Row],[Qty]]&gt;=5,Table356[[#This Row],[Discount]]&gt;=10),"Premium Offer","Regular")</f>
        <v>Regular</v>
      </c>
      <c r="L49" s="26" t="str">
        <f>IF(OR(Table356[[#This Row],[Region]]="Dhaka",Table356[[#This Row],[Region]]="Chattogram"),"Metro Area","Other")</f>
        <v>Other</v>
      </c>
      <c r="M49" s="26" t="str">
        <f>IF(AND(Table356[[#This Row],[Status]]="Completed",Table356[[#This Row],[Qty]]&gt;=5),"Top Sale","Normal Sale")</f>
        <v>Normal Sale</v>
      </c>
      <c r="N49" s="27" t="str">
        <f>IF(AND(Table356[[#This Row],[Category]]="Electronic",Table356[[#This Row],[UnitPrice]]&gt;=1000),"Premium Electronics","Not Premium Electronics")</f>
        <v>Not Premium Electronics</v>
      </c>
      <c r="O49" s="27" t="str">
        <f>IF(AND(OR(Table356[[#This Row],[Region]]="Dhaka",Table356[[#This Row],[Region]]="Rajshahi"),Table356[[#This Row],[Status]]="Completed"),"Priority","Normal")</f>
        <v>Normal</v>
      </c>
      <c r="P49" s="27" t="str">
        <f t="shared" si="1"/>
        <v>High Value</v>
      </c>
    </row>
    <row r="50" spans="1:16" x14ac:dyDescent="0.25">
      <c r="A50" s="11">
        <v>1050</v>
      </c>
      <c r="B50" s="12">
        <v>46099</v>
      </c>
      <c r="C50" s="13" t="s">
        <v>10</v>
      </c>
      <c r="D50" s="13" t="s">
        <v>24</v>
      </c>
      <c r="E50" s="13" t="s">
        <v>31</v>
      </c>
      <c r="F50" s="13" t="s">
        <v>13</v>
      </c>
      <c r="G50" s="11">
        <v>2</v>
      </c>
      <c r="H50" s="14">
        <v>244</v>
      </c>
      <c r="I50" s="11">
        <v>10</v>
      </c>
      <c r="J50" s="13" t="s">
        <v>27</v>
      </c>
      <c r="K50" s="26" t="str">
        <f>IF(AND(Table356[[#This Row],[Qty]]&gt;=5,Table356[[#This Row],[Discount]]&gt;=10),"Premium Offer","Regular")</f>
        <v>Regular</v>
      </c>
      <c r="L50" s="26" t="str">
        <f>IF(OR(Table356[[#This Row],[Region]]="Dhaka",Table356[[#This Row],[Region]]="Chattogram"),"Metro Area","Other")</f>
        <v>Other</v>
      </c>
      <c r="M50" s="26" t="str">
        <f>IF(AND(Table356[[#This Row],[Status]]="Completed",Table356[[#This Row],[Qty]]&gt;=5),"Top Sale","Normal Sale")</f>
        <v>Normal Sale</v>
      </c>
      <c r="N50" s="27" t="str">
        <f>IF(AND(Table356[[#This Row],[Category]]="Electronic",Table356[[#This Row],[UnitPrice]]&gt;=1000),"Premium Electronics","Not Premium Electronics")</f>
        <v>Not Premium Electronics</v>
      </c>
      <c r="O50" s="27" t="str">
        <f>IF(AND(OR(Table356[[#This Row],[Region]]="Dhaka",Table356[[#This Row],[Region]]="Rajshahi"),Table356[[#This Row],[Status]]="Completed"),"Priority","Normal")</f>
        <v>Normal</v>
      </c>
      <c r="P50" s="27" t="str">
        <f t="shared" si="1"/>
        <v>Furniture Item</v>
      </c>
    </row>
    <row r="51" spans="1:16" x14ac:dyDescent="0.25">
      <c r="A51" s="16">
        <v>1051</v>
      </c>
      <c r="B51" s="17">
        <v>46106</v>
      </c>
      <c r="C51" s="18" t="s">
        <v>29</v>
      </c>
      <c r="D51" s="18" t="s">
        <v>24</v>
      </c>
      <c r="E51" s="18" t="s">
        <v>12</v>
      </c>
      <c r="F51" s="18" t="s">
        <v>13</v>
      </c>
      <c r="G51" s="16">
        <v>9</v>
      </c>
      <c r="H51" s="19">
        <v>1413</v>
      </c>
      <c r="I51" s="16">
        <v>5</v>
      </c>
      <c r="J51" s="18" t="s">
        <v>27</v>
      </c>
      <c r="K51" s="26" t="str">
        <f>IF(AND(Table356[[#This Row],[Qty]]&gt;=5,Table356[[#This Row],[Discount]]&gt;=10),"Premium Offer","Regular")</f>
        <v>Regular</v>
      </c>
      <c r="L51" s="26" t="str">
        <f>IF(OR(Table356[[#This Row],[Region]]="Dhaka",Table356[[#This Row],[Region]]="Chattogram"),"Metro Area","Other")</f>
        <v>Metro Area</v>
      </c>
      <c r="M51" s="26" t="str">
        <f>IF(AND(Table356[[#This Row],[Status]]="Completed",Table356[[#This Row],[Qty]]&gt;=5),"Top Sale","Normal Sale")</f>
        <v>Top Sale</v>
      </c>
      <c r="N51" s="27" t="str">
        <f>IF(AND(Table356[[#This Row],[Category]]="Electronic",Table356[[#This Row],[UnitPrice]]&gt;=1000),"Premium Electronics","Not Premium Electronics")</f>
        <v>Not Premium Electronics</v>
      </c>
      <c r="O51" s="27" t="str">
        <f>IF(AND(OR(Table356[[#This Row],[Region]]="Dhaka",Table356[[#This Row],[Region]]="Rajshahi"),Table356[[#This Row],[Status]]="Completed"),"Priority","Normal")</f>
        <v>Normal</v>
      </c>
      <c r="P51" s="27" t="str">
        <f t="shared" si="1"/>
        <v>Furniture Item</v>
      </c>
    </row>
    <row r="52" spans="1:16" x14ac:dyDescent="0.25">
      <c r="A52" s="11">
        <v>1052</v>
      </c>
      <c r="B52" s="12">
        <v>46126</v>
      </c>
      <c r="C52" s="13" t="s">
        <v>20</v>
      </c>
      <c r="D52" s="13" t="s">
        <v>30</v>
      </c>
      <c r="E52" s="13" t="s">
        <v>31</v>
      </c>
      <c r="F52" s="13" t="s">
        <v>13</v>
      </c>
      <c r="G52" s="11">
        <v>2</v>
      </c>
      <c r="H52" s="14">
        <v>1431</v>
      </c>
      <c r="I52" s="11">
        <v>0</v>
      </c>
      <c r="J52" s="13" t="s">
        <v>14</v>
      </c>
      <c r="K52" s="26" t="str">
        <f>IF(AND(Table356[[#This Row],[Qty]]&gt;=5,Table356[[#This Row],[Discount]]&gt;=10),"Premium Offer","Regular")</f>
        <v>Regular</v>
      </c>
      <c r="L52" s="26" t="str">
        <f>IF(OR(Table356[[#This Row],[Region]]="Dhaka",Table356[[#This Row],[Region]]="Chattogram"),"Metro Area","Other")</f>
        <v>Other</v>
      </c>
      <c r="M52" s="26" t="str">
        <f>IF(AND(Table356[[#This Row],[Status]]="Completed",Table356[[#This Row],[Qty]]&gt;=5),"Top Sale","Normal Sale")</f>
        <v>Normal Sale</v>
      </c>
      <c r="N52" s="27" t="str">
        <f>IF(AND(Table356[[#This Row],[Category]]="Electronic",Table356[[#This Row],[UnitPrice]]&gt;=1000),"Premium Electronics","Not Premium Electronics")</f>
        <v>Not Premium Electronics</v>
      </c>
      <c r="O52" s="27" t="str">
        <f>IF(AND(OR(Table356[[#This Row],[Region]]="Dhaka",Table356[[#This Row],[Region]]="Rajshahi"),Table356[[#This Row],[Status]]="Completed"),"Priority","Normal")</f>
        <v>Normal</v>
      </c>
      <c r="P52" s="27" t="str">
        <f t="shared" si="1"/>
        <v>Furniture Item</v>
      </c>
    </row>
    <row r="53" spans="1:16" x14ac:dyDescent="0.25">
      <c r="A53" s="16">
        <v>1053</v>
      </c>
      <c r="B53" s="17">
        <v>46126</v>
      </c>
      <c r="C53" s="18" t="s">
        <v>20</v>
      </c>
      <c r="D53" s="18" t="s">
        <v>30</v>
      </c>
      <c r="E53" s="18" t="s">
        <v>31</v>
      </c>
      <c r="F53" s="18" t="s">
        <v>13</v>
      </c>
      <c r="G53" s="16">
        <v>2</v>
      </c>
      <c r="H53" s="19">
        <v>1573</v>
      </c>
      <c r="I53" s="16">
        <v>15</v>
      </c>
      <c r="J53" s="18" t="s">
        <v>27</v>
      </c>
      <c r="K53" s="26" t="str">
        <f>IF(AND(Table356[[#This Row],[Qty]]&gt;=5,Table356[[#This Row],[Discount]]&gt;=10),"Premium Offer","Regular")</f>
        <v>Regular</v>
      </c>
      <c r="L53" s="26" t="str">
        <f>IF(OR(Table356[[#This Row],[Region]]="Dhaka",Table356[[#This Row],[Region]]="Chattogram"),"Metro Area","Other")</f>
        <v>Other</v>
      </c>
      <c r="M53" s="26" t="str">
        <f>IF(AND(Table356[[#This Row],[Status]]="Completed",Table356[[#This Row],[Qty]]&gt;=5),"Top Sale","Normal Sale")</f>
        <v>Normal Sale</v>
      </c>
      <c r="N53" s="27" t="str">
        <f>IF(AND(Table356[[#This Row],[Category]]="Electronic",Table356[[#This Row],[UnitPrice]]&gt;=1000),"Premium Electronics","Not Premium Electronics")</f>
        <v>Not Premium Electronics</v>
      </c>
      <c r="O53" s="27" t="str">
        <f>IF(AND(OR(Table356[[#This Row],[Region]]="Dhaka",Table356[[#This Row],[Region]]="Rajshahi"),Table356[[#This Row],[Status]]="Completed"),"Priority","Normal")</f>
        <v>Priority</v>
      </c>
      <c r="P53" s="27" t="str">
        <f t="shared" si="1"/>
        <v>Furniture Item</v>
      </c>
    </row>
    <row r="54" spans="1:16" x14ac:dyDescent="0.25">
      <c r="A54" s="11">
        <v>1054</v>
      </c>
      <c r="B54" s="12">
        <v>46105</v>
      </c>
      <c r="C54" s="13" t="s">
        <v>20</v>
      </c>
      <c r="D54" s="13" t="s">
        <v>24</v>
      </c>
      <c r="E54" s="13" t="s">
        <v>12</v>
      </c>
      <c r="F54" s="13" t="s">
        <v>13</v>
      </c>
      <c r="G54" s="11">
        <v>7</v>
      </c>
      <c r="H54" s="14">
        <v>282</v>
      </c>
      <c r="I54" s="11">
        <v>0</v>
      </c>
      <c r="J54" s="13" t="s">
        <v>19</v>
      </c>
      <c r="K54" s="26" t="str">
        <f>IF(AND(Table356[[#This Row],[Qty]]&gt;=5,Table356[[#This Row],[Discount]]&gt;=10),"Premium Offer","Regular")</f>
        <v>Regular</v>
      </c>
      <c r="L54" s="26" t="str">
        <f>IF(OR(Table356[[#This Row],[Region]]="Dhaka",Table356[[#This Row],[Region]]="Chattogram"),"Metro Area","Other")</f>
        <v>Other</v>
      </c>
      <c r="M54" s="26" t="str">
        <f>IF(AND(Table356[[#This Row],[Status]]="Completed",Table356[[#This Row],[Qty]]&gt;=5),"Top Sale","Normal Sale")</f>
        <v>Normal Sale</v>
      </c>
      <c r="N54" s="27" t="str">
        <f>IF(AND(Table356[[#This Row],[Category]]="Electronic",Table356[[#This Row],[UnitPrice]]&gt;=1000),"Premium Electronics","Not Premium Electronics")</f>
        <v>Not Premium Electronics</v>
      </c>
      <c r="O54" s="27" t="str">
        <f>IF(AND(OR(Table356[[#This Row],[Region]]="Dhaka",Table356[[#This Row],[Region]]="Rajshahi"),Table356[[#This Row],[Status]]="Completed"),"Priority","Normal")</f>
        <v>Normal</v>
      </c>
      <c r="P54" s="27" t="str">
        <f t="shared" si="1"/>
        <v>Furniture Item</v>
      </c>
    </row>
    <row r="55" spans="1:16" x14ac:dyDescent="0.25">
      <c r="A55" s="16">
        <v>1055</v>
      </c>
      <c r="B55" s="17">
        <v>46174</v>
      </c>
      <c r="C55" s="18" t="s">
        <v>29</v>
      </c>
      <c r="D55" s="18" t="s">
        <v>24</v>
      </c>
      <c r="E55" s="18" t="s">
        <v>31</v>
      </c>
      <c r="F55" s="18" t="s">
        <v>13</v>
      </c>
      <c r="G55" s="16">
        <v>2</v>
      </c>
      <c r="H55" s="19">
        <v>597</v>
      </c>
      <c r="I55" s="16">
        <v>15</v>
      </c>
      <c r="J55" s="18" t="s">
        <v>27</v>
      </c>
      <c r="K55" s="26" t="str">
        <f>IF(AND(Table356[[#This Row],[Qty]]&gt;=5,Table356[[#This Row],[Discount]]&gt;=10),"Premium Offer","Regular")</f>
        <v>Regular</v>
      </c>
      <c r="L55" s="26" t="str">
        <f>IF(OR(Table356[[#This Row],[Region]]="Dhaka",Table356[[#This Row],[Region]]="Chattogram"),"Metro Area","Other")</f>
        <v>Metro Area</v>
      </c>
      <c r="M55" s="26" t="str">
        <f>IF(AND(Table356[[#This Row],[Status]]="Completed",Table356[[#This Row],[Qty]]&gt;=5),"Top Sale","Normal Sale")</f>
        <v>Normal Sale</v>
      </c>
      <c r="N55" s="27" t="str">
        <f>IF(AND(Table356[[#This Row],[Category]]="Electronic",Table356[[#This Row],[UnitPrice]]&gt;=1000),"Premium Electronics","Not Premium Electronics")</f>
        <v>Not Premium Electronics</v>
      </c>
      <c r="O55" s="27" t="str">
        <f>IF(AND(OR(Table356[[#This Row],[Region]]="Dhaka",Table356[[#This Row],[Region]]="Rajshahi"),Table356[[#This Row],[Status]]="Completed"),"Priority","Normal")</f>
        <v>Normal</v>
      </c>
      <c r="P55" s="27" t="str">
        <f t="shared" si="1"/>
        <v>Furniture Item</v>
      </c>
    </row>
    <row r="56" spans="1:16" x14ac:dyDescent="0.25">
      <c r="A56" s="11">
        <v>1056</v>
      </c>
      <c r="B56" s="12">
        <v>46089</v>
      </c>
      <c r="C56" s="13" t="s">
        <v>20</v>
      </c>
      <c r="D56" s="13" t="s">
        <v>16</v>
      </c>
      <c r="E56" s="13" t="s">
        <v>22</v>
      </c>
      <c r="F56" s="13" t="s">
        <v>23</v>
      </c>
      <c r="G56" s="11">
        <v>10</v>
      </c>
      <c r="H56" s="14">
        <v>450</v>
      </c>
      <c r="I56" s="11">
        <v>15</v>
      </c>
      <c r="J56" s="13" t="s">
        <v>27</v>
      </c>
      <c r="K56" s="26" t="str">
        <f>IF(AND(Table356[[#This Row],[Qty]]&gt;=5,Table356[[#This Row],[Discount]]&gt;=10),"Premium Offer","Regular")</f>
        <v>Premium Offer</v>
      </c>
      <c r="L56" s="26" t="str">
        <f>IF(OR(Table356[[#This Row],[Region]]="Dhaka",Table356[[#This Row],[Region]]="Chattogram"),"Metro Area","Other")</f>
        <v>Other</v>
      </c>
      <c r="M56" s="26" t="str">
        <f>IF(AND(Table356[[#This Row],[Status]]="Completed",Table356[[#This Row],[Qty]]&gt;=5),"Top Sale","Normal Sale")</f>
        <v>Top Sale</v>
      </c>
      <c r="N56" s="27" t="str">
        <f>IF(AND(Table356[[#This Row],[Category]]="Electronic",Table356[[#This Row],[UnitPrice]]&gt;=1000),"Premium Electronics","Not Premium Electronics")</f>
        <v>Not Premium Electronics</v>
      </c>
      <c r="O56" s="27" t="str">
        <f>IF(AND(OR(Table356[[#This Row],[Region]]="Dhaka",Table356[[#This Row],[Region]]="Rajshahi"),Table356[[#This Row],[Status]]="Completed"),"Priority","Normal")</f>
        <v>Priority</v>
      </c>
      <c r="P56" s="27" t="str">
        <f t="shared" si="1"/>
        <v>Others</v>
      </c>
    </row>
    <row r="57" spans="1:16" x14ac:dyDescent="0.25">
      <c r="A57" s="16">
        <v>1057</v>
      </c>
      <c r="B57" s="17">
        <v>46179</v>
      </c>
      <c r="C57" s="18" t="s">
        <v>10</v>
      </c>
      <c r="D57" s="18" t="s">
        <v>28</v>
      </c>
      <c r="E57" s="18" t="s">
        <v>17</v>
      </c>
      <c r="F57" s="18" t="s">
        <v>18</v>
      </c>
      <c r="G57" s="16">
        <v>2</v>
      </c>
      <c r="H57" s="19">
        <v>619</v>
      </c>
      <c r="I57" s="16">
        <v>0</v>
      </c>
      <c r="J57" s="18" t="s">
        <v>27</v>
      </c>
      <c r="K57" s="26" t="str">
        <f>IF(AND(Table356[[#This Row],[Qty]]&gt;=5,Table356[[#This Row],[Discount]]&gt;=10),"Premium Offer","Regular")</f>
        <v>Regular</v>
      </c>
      <c r="L57" s="26" t="str">
        <f>IF(OR(Table356[[#This Row],[Region]]="Dhaka",Table356[[#This Row],[Region]]="Chattogram"),"Metro Area","Other")</f>
        <v>Other</v>
      </c>
      <c r="M57" s="26" t="str">
        <f>IF(AND(Table356[[#This Row],[Status]]="Completed",Table356[[#This Row],[Qty]]&gt;=5),"Top Sale","Normal Sale")</f>
        <v>Normal Sale</v>
      </c>
      <c r="N57" s="27" t="str">
        <f>IF(AND(Table356[[#This Row],[Category]]="Electronic",Table356[[#This Row],[UnitPrice]]&gt;=1000),"Premium Electronics","Not Premium Electronics")</f>
        <v>Not Premium Electronics</v>
      </c>
      <c r="O57" s="27" t="str">
        <f>IF(AND(OR(Table356[[#This Row],[Region]]="Dhaka",Table356[[#This Row],[Region]]="Rajshahi"),Table356[[#This Row],[Status]]="Completed"),"Priority","Normal")</f>
        <v>Normal</v>
      </c>
      <c r="P57" s="27" t="str">
        <f t="shared" si="1"/>
        <v>Electronics</v>
      </c>
    </row>
    <row r="58" spans="1:16" x14ac:dyDescent="0.25">
      <c r="A58" s="11">
        <v>1058</v>
      </c>
      <c r="B58" s="12">
        <v>46134</v>
      </c>
      <c r="C58" s="13" t="s">
        <v>20</v>
      </c>
      <c r="D58" s="13" t="s">
        <v>16</v>
      </c>
      <c r="E58" s="13" t="s">
        <v>25</v>
      </c>
      <c r="F58" s="13" t="s">
        <v>18</v>
      </c>
      <c r="G58" s="11">
        <v>8</v>
      </c>
      <c r="H58" s="14">
        <v>426</v>
      </c>
      <c r="I58" s="11">
        <v>15</v>
      </c>
      <c r="J58" s="13" t="s">
        <v>27</v>
      </c>
      <c r="K58" s="26" t="str">
        <f>IF(AND(Table356[[#This Row],[Qty]]&gt;=5,Table356[[#This Row],[Discount]]&gt;=10),"Premium Offer","Regular")</f>
        <v>Premium Offer</v>
      </c>
      <c r="L58" s="26" t="str">
        <f>IF(OR(Table356[[#This Row],[Region]]="Dhaka",Table356[[#This Row],[Region]]="Chattogram"),"Metro Area","Other")</f>
        <v>Other</v>
      </c>
      <c r="M58" s="26" t="str">
        <f>IF(AND(Table356[[#This Row],[Status]]="Completed",Table356[[#This Row],[Qty]]&gt;=5),"Top Sale","Normal Sale")</f>
        <v>Top Sale</v>
      </c>
      <c r="N58" s="27" t="str">
        <f>IF(AND(Table356[[#This Row],[Category]]="Electronic",Table356[[#This Row],[UnitPrice]]&gt;=1000),"Premium Electronics","Not Premium Electronics")</f>
        <v>Not Premium Electronics</v>
      </c>
      <c r="O58" s="27" t="str">
        <f>IF(AND(OR(Table356[[#This Row],[Region]]="Dhaka",Table356[[#This Row],[Region]]="Rajshahi"),Table356[[#This Row],[Status]]="Completed"),"Priority","Normal")</f>
        <v>Priority</v>
      </c>
      <c r="P58" s="27" t="str">
        <f t="shared" si="1"/>
        <v>High Value</v>
      </c>
    </row>
    <row r="59" spans="1:16" x14ac:dyDescent="0.25">
      <c r="A59" s="16">
        <v>1059</v>
      </c>
      <c r="B59" s="17">
        <v>46108</v>
      </c>
      <c r="C59" s="18" t="s">
        <v>15</v>
      </c>
      <c r="D59" s="18" t="s">
        <v>11</v>
      </c>
      <c r="E59" s="18" t="s">
        <v>26</v>
      </c>
      <c r="F59" s="18" t="s">
        <v>23</v>
      </c>
      <c r="G59" s="16">
        <v>7</v>
      </c>
      <c r="H59" s="19">
        <v>1119</v>
      </c>
      <c r="I59" s="16">
        <v>15</v>
      </c>
      <c r="J59" s="18" t="s">
        <v>14</v>
      </c>
      <c r="K59" s="26" t="str">
        <f>IF(AND(Table356[[#This Row],[Qty]]&gt;=5,Table356[[#This Row],[Discount]]&gt;=10),"Premium Offer","Regular")</f>
        <v>Premium Offer</v>
      </c>
      <c r="L59" s="26" t="str">
        <f>IF(OR(Table356[[#This Row],[Region]]="Dhaka",Table356[[#This Row],[Region]]="Chattogram"),"Metro Area","Other")</f>
        <v>Metro Area</v>
      </c>
      <c r="M59" s="26" t="str">
        <f>IF(AND(Table356[[#This Row],[Status]]="Completed",Table356[[#This Row],[Qty]]&gt;=5),"Top Sale","Normal Sale")</f>
        <v>Normal Sale</v>
      </c>
      <c r="N59" s="27" t="str">
        <f>IF(AND(Table356[[#This Row],[Category]]="Electronic",Table356[[#This Row],[UnitPrice]]&gt;=1000),"Premium Electronics","Not Premium Electronics")</f>
        <v>Not Premium Electronics</v>
      </c>
      <c r="O59" s="27" t="str">
        <f>IF(AND(OR(Table356[[#This Row],[Region]]="Dhaka",Table356[[#This Row],[Region]]="Rajshahi"),Table356[[#This Row],[Status]]="Completed"),"Priority","Normal")</f>
        <v>Normal</v>
      </c>
      <c r="P59" s="27" t="str">
        <f t="shared" si="1"/>
        <v>Others</v>
      </c>
    </row>
    <row r="60" spans="1:16" x14ac:dyDescent="0.25">
      <c r="A60" s="11">
        <v>1060</v>
      </c>
      <c r="B60" s="12">
        <v>46026</v>
      </c>
      <c r="C60" s="13" t="s">
        <v>10</v>
      </c>
      <c r="D60" s="13" t="s">
        <v>16</v>
      </c>
      <c r="E60" s="13" t="s">
        <v>26</v>
      </c>
      <c r="F60" s="13" t="s">
        <v>23</v>
      </c>
      <c r="G60" s="11">
        <v>10</v>
      </c>
      <c r="H60" s="14">
        <v>1170</v>
      </c>
      <c r="I60" s="11">
        <v>10</v>
      </c>
      <c r="J60" s="13" t="s">
        <v>14</v>
      </c>
      <c r="K60" s="26" t="str">
        <f>IF(AND(Table356[[#This Row],[Qty]]&gt;=5,Table356[[#This Row],[Discount]]&gt;=10),"Premium Offer","Regular")</f>
        <v>Premium Offer</v>
      </c>
      <c r="L60" s="26" t="str">
        <f>IF(OR(Table356[[#This Row],[Region]]="Dhaka",Table356[[#This Row],[Region]]="Chattogram"),"Metro Area","Other")</f>
        <v>Other</v>
      </c>
      <c r="M60" s="26" t="str">
        <f>IF(AND(Table356[[#This Row],[Status]]="Completed",Table356[[#This Row],[Qty]]&gt;=5),"Top Sale","Normal Sale")</f>
        <v>Normal Sale</v>
      </c>
      <c r="N60" s="27" t="str">
        <f>IF(AND(Table356[[#This Row],[Category]]="Electronic",Table356[[#This Row],[UnitPrice]]&gt;=1000),"Premium Electronics","Not Premium Electronics")</f>
        <v>Not Premium Electronics</v>
      </c>
      <c r="O60" s="27" t="str">
        <f>IF(AND(OR(Table356[[#This Row],[Region]]="Dhaka",Table356[[#This Row],[Region]]="Rajshahi"),Table356[[#This Row],[Status]]="Completed"),"Priority","Normal")</f>
        <v>Normal</v>
      </c>
      <c r="P60" s="27" t="str">
        <f t="shared" si="1"/>
        <v>Others</v>
      </c>
    </row>
    <row r="61" spans="1:16" x14ac:dyDescent="0.25">
      <c r="A61" s="16">
        <v>1061</v>
      </c>
      <c r="B61" s="17">
        <v>46095</v>
      </c>
      <c r="C61" s="18" t="s">
        <v>15</v>
      </c>
      <c r="D61" s="18" t="s">
        <v>16</v>
      </c>
      <c r="E61" s="18" t="s">
        <v>12</v>
      </c>
      <c r="F61" s="18" t="s">
        <v>13</v>
      </c>
      <c r="G61" s="16">
        <v>5</v>
      </c>
      <c r="H61" s="19">
        <v>1714</v>
      </c>
      <c r="I61" s="16">
        <v>0</v>
      </c>
      <c r="J61" s="18" t="s">
        <v>27</v>
      </c>
      <c r="K61" s="26" t="str">
        <f>IF(AND(Table356[[#This Row],[Qty]]&gt;=5,Table356[[#This Row],[Discount]]&gt;=10),"Premium Offer","Regular")</f>
        <v>Regular</v>
      </c>
      <c r="L61" s="26" t="str">
        <f>IF(OR(Table356[[#This Row],[Region]]="Dhaka",Table356[[#This Row],[Region]]="Chattogram"),"Metro Area","Other")</f>
        <v>Metro Area</v>
      </c>
      <c r="M61" s="26" t="str">
        <f>IF(AND(Table356[[#This Row],[Status]]="Completed",Table356[[#This Row],[Qty]]&gt;=5),"Top Sale","Normal Sale")</f>
        <v>Top Sale</v>
      </c>
      <c r="N61" s="27" t="str">
        <f>IF(AND(Table356[[#This Row],[Category]]="Electronic",Table356[[#This Row],[UnitPrice]]&gt;=1000),"Premium Electronics","Not Premium Electronics")</f>
        <v>Not Premium Electronics</v>
      </c>
      <c r="O61" s="27" t="str">
        <f>IF(AND(OR(Table356[[#This Row],[Region]]="Dhaka",Table356[[#This Row],[Region]]="Rajshahi"),Table356[[#This Row],[Status]]="Completed"),"Priority","Normal")</f>
        <v>Priority</v>
      </c>
      <c r="P61" s="27" t="str">
        <f t="shared" si="1"/>
        <v>Furniture Item</v>
      </c>
    </row>
    <row r="62" spans="1:16" x14ac:dyDescent="0.25">
      <c r="A62" s="11">
        <v>1062</v>
      </c>
      <c r="B62" s="12">
        <v>46125</v>
      </c>
      <c r="C62" s="13" t="s">
        <v>10</v>
      </c>
      <c r="D62" s="13" t="s">
        <v>28</v>
      </c>
      <c r="E62" s="13" t="s">
        <v>25</v>
      </c>
      <c r="F62" s="13" t="s">
        <v>18</v>
      </c>
      <c r="G62" s="11">
        <v>9</v>
      </c>
      <c r="H62" s="14">
        <v>920</v>
      </c>
      <c r="I62" s="11">
        <v>0</v>
      </c>
      <c r="J62" s="13" t="s">
        <v>19</v>
      </c>
      <c r="K62" s="26" t="str">
        <f>IF(AND(Table356[[#This Row],[Qty]]&gt;=5,Table356[[#This Row],[Discount]]&gt;=10),"Premium Offer","Regular")</f>
        <v>Regular</v>
      </c>
      <c r="L62" s="26" t="str">
        <f>IF(OR(Table356[[#This Row],[Region]]="Dhaka",Table356[[#This Row],[Region]]="Chattogram"),"Metro Area","Other")</f>
        <v>Other</v>
      </c>
      <c r="M62" s="26" t="str">
        <f>IF(AND(Table356[[#This Row],[Status]]="Completed",Table356[[#This Row],[Qty]]&gt;=5),"Top Sale","Normal Sale")</f>
        <v>Normal Sale</v>
      </c>
      <c r="N62" s="27" t="str">
        <f>IF(AND(Table356[[#This Row],[Category]]="Electronic",Table356[[#This Row],[UnitPrice]]&gt;=1000),"Premium Electronics","Not Premium Electronics")</f>
        <v>Not Premium Electronics</v>
      </c>
      <c r="O62" s="27" t="str">
        <f>IF(AND(OR(Table356[[#This Row],[Region]]="Dhaka",Table356[[#This Row],[Region]]="Rajshahi"),Table356[[#This Row],[Status]]="Completed"),"Priority","Normal")</f>
        <v>Normal</v>
      </c>
      <c r="P62" s="27" t="str">
        <f t="shared" si="1"/>
        <v>Electronics</v>
      </c>
    </row>
    <row r="63" spans="1:16" x14ac:dyDescent="0.25">
      <c r="A63" s="16">
        <v>1063</v>
      </c>
      <c r="B63" s="17">
        <v>46164</v>
      </c>
      <c r="C63" s="18" t="s">
        <v>10</v>
      </c>
      <c r="D63" s="18" t="s">
        <v>24</v>
      </c>
      <c r="E63" s="18" t="s">
        <v>22</v>
      </c>
      <c r="F63" s="18" t="s">
        <v>23</v>
      </c>
      <c r="G63" s="16">
        <v>2</v>
      </c>
      <c r="H63" s="19">
        <v>1242</v>
      </c>
      <c r="I63" s="16">
        <v>10</v>
      </c>
      <c r="J63" s="18" t="s">
        <v>14</v>
      </c>
      <c r="K63" s="26" t="str">
        <f>IF(AND(Table356[[#This Row],[Qty]]&gt;=5,Table356[[#This Row],[Discount]]&gt;=10),"Premium Offer","Regular")</f>
        <v>Regular</v>
      </c>
      <c r="L63" s="26" t="str">
        <f>IF(OR(Table356[[#This Row],[Region]]="Dhaka",Table356[[#This Row],[Region]]="Chattogram"),"Metro Area","Other")</f>
        <v>Other</v>
      </c>
      <c r="M63" s="26" t="str">
        <f>IF(AND(Table356[[#This Row],[Status]]="Completed",Table356[[#This Row],[Qty]]&gt;=5),"Top Sale","Normal Sale")</f>
        <v>Normal Sale</v>
      </c>
      <c r="N63" s="27" t="str">
        <f>IF(AND(Table356[[#This Row],[Category]]="Electronic",Table356[[#This Row],[UnitPrice]]&gt;=1000),"Premium Electronics","Not Premium Electronics")</f>
        <v>Not Premium Electronics</v>
      </c>
      <c r="O63" s="27" t="str">
        <f>IF(AND(OR(Table356[[#This Row],[Region]]="Dhaka",Table356[[#This Row],[Region]]="Rajshahi"),Table356[[#This Row],[Status]]="Completed"),"Priority","Normal")</f>
        <v>Normal</v>
      </c>
      <c r="P63" s="27" t="str">
        <f t="shared" si="1"/>
        <v>Others</v>
      </c>
    </row>
    <row r="64" spans="1:16" x14ac:dyDescent="0.25">
      <c r="A64" s="11">
        <v>1064</v>
      </c>
      <c r="B64" s="12">
        <v>46081</v>
      </c>
      <c r="C64" s="13" t="s">
        <v>29</v>
      </c>
      <c r="D64" s="13" t="s">
        <v>28</v>
      </c>
      <c r="E64" s="13" t="s">
        <v>22</v>
      </c>
      <c r="F64" s="13" t="s">
        <v>23</v>
      </c>
      <c r="G64" s="11">
        <v>1</v>
      </c>
      <c r="H64" s="14">
        <v>500</v>
      </c>
      <c r="I64" s="11">
        <v>0</v>
      </c>
      <c r="J64" s="13" t="s">
        <v>19</v>
      </c>
      <c r="K64" s="26" t="str">
        <f>IF(AND(Table356[[#This Row],[Qty]]&gt;=5,Table356[[#This Row],[Discount]]&gt;=10),"Premium Offer","Regular")</f>
        <v>Regular</v>
      </c>
      <c r="L64" s="26" t="str">
        <f>IF(OR(Table356[[#This Row],[Region]]="Dhaka",Table356[[#This Row],[Region]]="Chattogram"),"Metro Area","Other")</f>
        <v>Metro Area</v>
      </c>
      <c r="M64" s="26" t="str">
        <f>IF(AND(Table356[[#This Row],[Status]]="Completed",Table356[[#This Row],[Qty]]&gt;=5),"Top Sale","Normal Sale")</f>
        <v>Normal Sale</v>
      </c>
      <c r="N64" s="27" t="str">
        <f>IF(AND(Table356[[#This Row],[Category]]="Electronic",Table356[[#This Row],[UnitPrice]]&gt;=1000),"Premium Electronics","Not Premium Electronics")</f>
        <v>Not Premium Electronics</v>
      </c>
      <c r="O64" s="27" t="str">
        <f>IF(AND(OR(Table356[[#This Row],[Region]]="Dhaka",Table356[[#This Row],[Region]]="Rajshahi"),Table356[[#This Row],[Status]]="Completed"),"Priority","Normal")</f>
        <v>Normal</v>
      </c>
      <c r="P64" s="27" t="str">
        <f t="shared" si="1"/>
        <v>Others</v>
      </c>
    </row>
    <row r="65" spans="1:16" x14ac:dyDescent="0.25">
      <c r="A65" s="16">
        <v>1065</v>
      </c>
      <c r="B65" s="17">
        <v>46157</v>
      </c>
      <c r="C65" s="18" t="s">
        <v>29</v>
      </c>
      <c r="D65" s="18" t="s">
        <v>16</v>
      </c>
      <c r="E65" s="18" t="s">
        <v>17</v>
      </c>
      <c r="F65" s="18" t="s">
        <v>18</v>
      </c>
      <c r="G65" s="16">
        <v>5</v>
      </c>
      <c r="H65" s="19">
        <v>1649</v>
      </c>
      <c r="I65" s="16">
        <v>15</v>
      </c>
      <c r="J65" s="18" t="s">
        <v>27</v>
      </c>
      <c r="K65" s="26" t="str">
        <f>IF(AND(Table356[[#This Row],[Qty]]&gt;=5,Table356[[#This Row],[Discount]]&gt;=10),"Premium Offer","Regular")</f>
        <v>Premium Offer</v>
      </c>
      <c r="L65" s="26" t="str">
        <f>IF(OR(Table356[[#This Row],[Region]]="Dhaka",Table356[[#This Row],[Region]]="Chattogram"),"Metro Area","Other")</f>
        <v>Metro Area</v>
      </c>
      <c r="M65" s="26" t="str">
        <f>IF(AND(Table356[[#This Row],[Status]]="Completed",Table356[[#This Row],[Qty]]&gt;=5),"Top Sale","Normal Sale")</f>
        <v>Top Sale</v>
      </c>
      <c r="N65" s="27" t="str">
        <f>IF(AND(Table356[[#This Row],[Category]]="Electronic",Table356[[#This Row],[UnitPrice]]&gt;=1000),"Premium Electronics","Not Premium Electronics")</f>
        <v>Not Premium Electronics</v>
      </c>
      <c r="O65" s="27" t="str">
        <f>IF(AND(OR(Table356[[#This Row],[Region]]="Dhaka",Table356[[#This Row],[Region]]="Rajshahi"),Table356[[#This Row],[Status]]="Completed"),"Priority","Normal")</f>
        <v>Normal</v>
      </c>
      <c r="P65" s="27" t="str">
        <f t="shared" si="1"/>
        <v>High Value</v>
      </c>
    </row>
    <row r="66" spans="1:16" x14ac:dyDescent="0.25">
      <c r="A66" s="11">
        <v>1066</v>
      </c>
      <c r="B66" s="12">
        <v>46169</v>
      </c>
      <c r="C66" s="13" t="s">
        <v>15</v>
      </c>
      <c r="D66" s="13" t="s">
        <v>28</v>
      </c>
      <c r="E66" s="13" t="s">
        <v>12</v>
      </c>
      <c r="F66" s="13" t="s">
        <v>13</v>
      </c>
      <c r="G66" s="11">
        <v>2</v>
      </c>
      <c r="H66" s="14">
        <v>900</v>
      </c>
      <c r="I66" s="11">
        <v>10</v>
      </c>
      <c r="J66" s="13" t="s">
        <v>27</v>
      </c>
      <c r="K66" s="26" t="str">
        <f>IF(AND(Table356[[#This Row],[Qty]]&gt;=5,Table356[[#This Row],[Discount]]&gt;=10),"Premium Offer","Regular")</f>
        <v>Regular</v>
      </c>
      <c r="L66" s="26" t="str">
        <f>IF(OR(Table356[[#This Row],[Region]]="Dhaka",Table356[[#This Row],[Region]]="Chattogram"),"Metro Area","Other")</f>
        <v>Metro Area</v>
      </c>
      <c r="M66" s="26" t="str">
        <f>IF(AND(Table356[[#This Row],[Status]]="Completed",Table356[[#This Row],[Qty]]&gt;=5),"Top Sale","Normal Sale")</f>
        <v>Normal Sale</v>
      </c>
      <c r="N66" s="27" t="str">
        <f>IF(AND(Table356[[#This Row],[Category]]="Electronic",Table356[[#This Row],[UnitPrice]]&gt;=1000),"Premium Electronics","Not Premium Electronics")</f>
        <v>Not Premium Electronics</v>
      </c>
      <c r="O66" s="27" t="str">
        <f>IF(AND(OR(Table356[[#This Row],[Region]]="Dhaka",Table356[[#This Row],[Region]]="Rajshahi"),Table356[[#This Row],[Status]]="Completed"),"Priority","Normal")</f>
        <v>Priority</v>
      </c>
      <c r="P66" s="27" t="str">
        <f t="shared" ref="P66:P101" si="2">IF(F66="Electronics",IF(I66&gt;=10,"High Value","Electronics"),IF(F66="Furniture","Furniture Item","Others"))</f>
        <v>Furniture Item</v>
      </c>
    </row>
    <row r="67" spans="1:16" x14ac:dyDescent="0.25">
      <c r="A67" s="16">
        <v>1067</v>
      </c>
      <c r="B67" s="17">
        <v>46146</v>
      </c>
      <c r="C67" s="18" t="s">
        <v>20</v>
      </c>
      <c r="D67" s="18" t="s">
        <v>28</v>
      </c>
      <c r="E67" s="18" t="s">
        <v>25</v>
      </c>
      <c r="F67" s="18" t="s">
        <v>18</v>
      </c>
      <c r="G67" s="16">
        <v>7</v>
      </c>
      <c r="H67" s="19">
        <v>1058</v>
      </c>
      <c r="I67" s="16">
        <v>10</v>
      </c>
      <c r="J67" s="18" t="s">
        <v>19</v>
      </c>
      <c r="K67" s="26" t="str">
        <f>IF(AND(Table356[[#This Row],[Qty]]&gt;=5,Table356[[#This Row],[Discount]]&gt;=10),"Premium Offer","Regular")</f>
        <v>Premium Offer</v>
      </c>
      <c r="L67" s="26" t="str">
        <f>IF(OR(Table356[[#This Row],[Region]]="Dhaka",Table356[[#This Row],[Region]]="Chattogram"),"Metro Area","Other")</f>
        <v>Other</v>
      </c>
      <c r="M67" s="26" t="str">
        <f>IF(AND(Table356[[#This Row],[Status]]="Completed",Table356[[#This Row],[Qty]]&gt;=5),"Top Sale","Normal Sale")</f>
        <v>Normal Sale</v>
      </c>
      <c r="N67" s="27" t="str">
        <f>IF(AND(Table356[[#This Row],[Category]]="Electronic",Table356[[#This Row],[UnitPrice]]&gt;=1000),"Premium Electronics","Not Premium Electronics")</f>
        <v>Not Premium Electronics</v>
      </c>
      <c r="O67" s="27" t="str">
        <f>IF(AND(OR(Table356[[#This Row],[Region]]="Dhaka",Table356[[#This Row],[Region]]="Rajshahi"),Table356[[#This Row],[Status]]="Completed"),"Priority","Normal")</f>
        <v>Normal</v>
      </c>
      <c r="P67" s="27" t="str">
        <f t="shared" si="2"/>
        <v>High Value</v>
      </c>
    </row>
    <row r="68" spans="1:16" x14ac:dyDescent="0.25">
      <c r="A68" s="11">
        <v>1068</v>
      </c>
      <c r="B68" s="12">
        <v>46175</v>
      </c>
      <c r="C68" s="13" t="s">
        <v>15</v>
      </c>
      <c r="D68" s="13" t="s">
        <v>28</v>
      </c>
      <c r="E68" s="13" t="s">
        <v>12</v>
      </c>
      <c r="F68" s="13" t="s">
        <v>13</v>
      </c>
      <c r="G68" s="11">
        <v>10</v>
      </c>
      <c r="H68" s="14">
        <v>1039</v>
      </c>
      <c r="I68" s="11">
        <v>5</v>
      </c>
      <c r="J68" s="13" t="s">
        <v>19</v>
      </c>
      <c r="K68" s="26" t="str">
        <f>IF(AND(Table356[[#This Row],[Qty]]&gt;=5,Table356[[#This Row],[Discount]]&gt;=10),"Premium Offer","Regular")</f>
        <v>Regular</v>
      </c>
      <c r="L68" s="26" t="str">
        <f>IF(OR(Table356[[#This Row],[Region]]="Dhaka",Table356[[#This Row],[Region]]="Chattogram"),"Metro Area","Other")</f>
        <v>Metro Area</v>
      </c>
      <c r="M68" s="26" t="str">
        <f>IF(AND(Table356[[#This Row],[Status]]="Completed",Table356[[#This Row],[Qty]]&gt;=5),"Top Sale","Normal Sale")</f>
        <v>Normal Sale</v>
      </c>
      <c r="N68" s="27" t="str">
        <f>IF(AND(Table356[[#This Row],[Category]]="Electronic",Table356[[#This Row],[UnitPrice]]&gt;=1000),"Premium Electronics","Not Premium Electronics")</f>
        <v>Not Premium Electronics</v>
      </c>
      <c r="O68" s="27" t="str">
        <f>IF(AND(OR(Table356[[#This Row],[Region]]="Dhaka",Table356[[#This Row],[Region]]="Rajshahi"),Table356[[#This Row],[Status]]="Completed"),"Priority","Normal")</f>
        <v>Normal</v>
      </c>
      <c r="P68" s="27" t="str">
        <f t="shared" si="2"/>
        <v>Furniture Item</v>
      </c>
    </row>
    <row r="69" spans="1:16" x14ac:dyDescent="0.25">
      <c r="A69" s="16">
        <v>1069</v>
      </c>
      <c r="B69" s="17">
        <v>46042</v>
      </c>
      <c r="C69" s="18" t="s">
        <v>20</v>
      </c>
      <c r="D69" s="18" t="s">
        <v>11</v>
      </c>
      <c r="E69" s="18" t="s">
        <v>26</v>
      </c>
      <c r="F69" s="18" t="s">
        <v>23</v>
      </c>
      <c r="G69" s="16">
        <v>4</v>
      </c>
      <c r="H69" s="19">
        <v>1008</v>
      </c>
      <c r="I69" s="16">
        <v>15</v>
      </c>
      <c r="J69" s="18" t="s">
        <v>19</v>
      </c>
      <c r="K69" s="26" t="str">
        <f>IF(AND(Table356[[#This Row],[Qty]]&gt;=5,Table356[[#This Row],[Discount]]&gt;=10),"Premium Offer","Regular")</f>
        <v>Regular</v>
      </c>
      <c r="L69" s="26" t="str">
        <f>IF(OR(Table356[[#This Row],[Region]]="Dhaka",Table356[[#This Row],[Region]]="Chattogram"),"Metro Area","Other")</f>
        <v>Other</v>
      </c>
      <c r="M69" s="26" t="str">
        <f>IF(AND(Table356[[#This Row],[Status]]="Completed",Table356[[#This Row],[Qty]]&gt;=5),"Top Sale","Normal Sale")</f>
        <v>Normal Sale</v>
      </c>
      <c r="N69" s="27" t="str">
        <f>IF(AND(Table356[[#This Row],[Category]]="Electronic",Table356[[#This Row],[UnitPrice]]&gt;=1000),"Premium Electronics","Not Premium Electronics")</f>
        <v>Not Premium Electronics</v>
      </c>
      <c r="O69" s="27" t="str">
        <f>IF(AND(OR(Table356[[#This Row],[Region]]="Dhaka",Table356[[#This Row],[Region]]="Rajshahi"),Table356[[#This Row],[Status]]="Completed"),"Priority","Normal")</f>
        <v>Normal</v>
      </c>
      <c r="P69" s="27" t="str">
        <f t="shared" si="2"/>
        <v>Others</v>
      </c>
    </row>
    <row r="70" spans="1:16" x14ac:dyDescent="0.25">
      <c r="A70" s="11">
        <v>1070</v>
      </c>
      <c r="B70" s="12">
        <v>46061</v>
      </c>
      <c r="C70" s="13" t="s">
        <v>15</v>
      </c>
      <c r="D70" s="13" t="s">
        <v>28</v>
      </c>
      <c r="E70" s="13" t="s">
        <v>31</v>
      </c>
      <c r="F70" s="13" t="s">
        <v>13</v>
      </c>
      <c r="G70" s="11">
        <v>8</v>
      </c>
      <c r="H70" s="14">
        <v>1318</v>
      </c>
      <c r="I70" s="11">
        <v>5</v>
      </c>
      <c r="J70" s="13" t="s">
        <v>19</v>
      </c>
      <c r="K70" s="26" t="str">
        <f>IF(AND(Table356[[#This Row],[Qty]]&gt;=5,Table356[[#This Row],[Discount]]&gt;=10),"Premium Offer","Regular")</f>
        <v>Regular</v>
      </c>
      <c r="L70" s="26" t="str">
        <f>IF(OR(Table356[[#This Row],[Region]]="Dhaka",Table356[[#This Row],[Region]]="Chattogram"),"Metro Area","Other")</f>
        <v>Metro Area</v>
      </c>
      <c r="M70" s="26" t="str">
        <f>IF(AND(Table356[[#This Row],[Status]]="Completed",Table356[[#This Row],[Qty]]&gt;=5),"Top Sale","Normal Sale")</f>
        <v>Normal Sale</v>
      </c>
      <c r="N70" s="27" t="str">
        <f>IF(AND(Table356[[#This Row],[Category]]="Electronic",Table356[[#This Row],[UnitPrice]]&gt;=1000),"Premium Electronics","Not Premium Electronics")</f>
        <v>Not Premium Electronics</v>
      </c>
      <c r="O70" s="27" t="str">
        <f>IF(AND(OR(Table356[[#This Row],[Region]]="Dhaka",Table356[[#This Row],[Region]]="Rajshahi"),Table356[[#This Row],[Status]]="Completed"),"Priority","Normal")</f>
        <v>Normal</v>
      </c>
      <c r="P70" s="27" t="str">
        <f t="shared" si="2"/>
        <v>Furniture Item</v>
      </c>
    </row>
    <row r="71" spans="1:16" x14ac:dyDescent="0.25">
      <c r="A71" s="16">
        <v>1071</v>
      </c>
      <c r="B71" s="17">
        <v>46190</v>
      </c>
      <c r="C71" s="18" t="s">
        <v>20</v>
      </c>
      <c r="D71" s="18" t="s">
        <v>11</v>
      </c>
      <c r="E71" s="18" t="s">
        <v>22</v>
      </c>
      <c r="F71" s="18" t="s">
        <v>23</v>
      </c>
      <c r="G71" s="16">
        <v>9</v>
      </c>
      <c r="H71" s="19">
        <v>1096</v>
      </c>
      <c r="I71" s="16">
        <v>5</v>
      </c>
      <c r="J71" s="18" t="s">
        <v>14</v>
      </c>
      <c r="K71" s="26" t="str">
        <f>IF(AND(Table356[[#This Row],[Qty]]&gt;=5,Table356[[#This Row],[Discount]]&gt;=10),"Premium Offer","Regular")</f>
        <v>Regular</v>
      </c>
      <c r="L71" s="26" t="str">
        <f>IF(OR(Table356[[#This Row],[Region]]="Dhaka",Table356[[#This Row],[Region]]="Chattogram"),"Metro Area","Other")</f>
        <v>Other</v>
      </c>
      <c r="M71" s="26" t="str">
        <f>IF(AND(Table356[[#This Row],[Status]]="Completed",Table356[[#This Row],[Qty]]&gt;=5),"Top Sale","Normal Sale")</f>
        <v>Normal Sale</v>
      </c>
      <c r="N71" s="27" t="str">
        <f>IF(AND(Table356[[#This Row],[Category]]="Electronic",Table356[[#This Row],[UnitPrice]]&gt;=1000),"Premium Electronics","Not Premium Electronics")</f>
        <v>Not Premium Electronics</v>
      </c>
      <c r="O71" s="27" t="str">
        <f>IF(AND(OR(Table356[[#This Row],[Region]]="Dhaka",Table356[[#This Row],[Region]]="Rajshahi"),Table356[[#This Row],[Status]]="Completed"),"Priority","Normal")</f>
        <v>Normal</v>
      </c>
      <c r="P71" s="27" t="str">
        <f t="shared" si="2"/>
        <v>Others</v>
      </c>
    </row>
    <row r="72" spans="1:16" x14ac:dyDescent="0.25">
      <c r="A72" s="11">
        <v>1072</v>
      </c>
      <c r="B72" s="12">
        <v>46152</v>
      </c>
      <c r="C72" s="13" t="s">
        <v>20</v>
      </c>
      <c r="D72" s="13" t="s">
        <v>16</v>
      </c>
      <c r="E72" s="13" t="s">
        <v>25</v>
      </c>
      <c r="F72" s="13" t="s">
        <v>18</v>
      </c>
      <c r="G72" s="11">
        <v>8</v>
      </c>
      <c r="H72" s="14">
        <v>263</v>
      </c>
      <c r="I72" s="11">
        <v>10</v>
      </c>
      <c r="J72" s="13" t="s">
        <v>19</v>
      </c>
      <c r="K72" s="26" t="str">
        <f>IF(AND(Table356[[#This Row],[Qty]]&gt;=5,Table356[[#This Row],[Discount]]&gt;=10),"Premium Offer","Regular")</f>
        <v>Premium Offer</v>
      </c>
      <c r="L72" s="26" t="str">
        <f>IF(OR(Table356[[#This Row],[Region]]="Dhaka",Table356[[#This Row],[Region]]="Chattogram"),"Metro Area","Other")</f>
        <v>Other</v>
      </c>
      <c r="M72" s="26" t="str">
        <f>IF(AND(Table356[[#This Row],[Status]]="Completed",Table356[[#This Row],[Qty]]&gt;=5),"Top Sale","Normal Sale")</f>
        <v>Normal Sale</v>
      </c>
      <c r="N72" s="27" t="str">
        <f>IF(AND(Table356[[#This Row],[Category]]="Electronic",Table356[[#This Row],[UnitPrice]]&gt;=1000),"Premium Electronics","Not Premium Electronics")</f>
        <v>Not Premium Electronics</v>
      </c>
      <c r="O72" s="27" t="str">
        <f>IF(AND(OR(Table356[[#This Row],[Region]]="Dhaka",Table356[[#This Row],[Region]]="Rajshahi"),Table356[[#This Row],[Status]]="Completed"),"Priority","Normal")</f>
        <v>Normal</v>
      </c>
      <c r="P72" s="27" t="str">
        <f t="shared" si="2"/>
        <v>High Value</v>
      </c>
    </row>
    <row r="73" spans="1:16" x14ac:dyDescent="0.25">
      <c r="A73" s="16">
        <v>1073</v>
      </c>
      <c r="B73" s="17">
        <v>46159</v>
      </c>
      <c r="C73" s="18" t="s">
        <v>10</v>
      </c>
      <c r="D73" s="18" t="s">
        <v>21</v>
      </c>
      <c r="E73" s="18" t="s">
        <v>12</v>
      </c>
      <c r="F73" s="18" t="s">
        <v>13</v>
      </c>
      <c r="G73" s="16">
        <v>4</v>
      </c>
      <c r="H73" s="19">
        <v>823</v>
      </c>
      <c r="I73" s="16">
        <v>0</v>
      </c>
      <c r="J73" s="18" t="s">
        <v>19</v>
      </c>
      <c r="K73" s="26" t="str">
        <f>IF(AND(Table356[[#This Row],[Qty]]&gt;=5,Table356[[#This Row],[Discount]]&gt;=10),"Premium Offer","Regular")</f>
        <v>Regular</v>
      </c>
      <c r="L73" s="26" t="str">
        <f>IF(OR(Table356[[#This Row],[Region]]="Dhaka",Table356[[#This Row],[Region]]="Chattogram"),"Metro Area","Other")</f>
        <v>Other</v>
      </c>
      <c r="M73" s="26" t="str">
        <f>IF(AND(Table356[[#This Row],[Status]]="Completed",Table356[[#This Row],[Qty]]&gt;=5),"Top Sale","Normal Sale")</f>
        <v>Normal Sale</v>
      </c>
      <c r="N73" s="27" t="str">
        <f>IF(AND(Table356[[#This Row],[Category]]="Electronic",Table356[[#This Row],[UnitPrice]]&gt;=1000),"Premium Electronics","Not Premium Electronics")</f>
        <v>Not Premium Electronics</v>
      </c>
      <c r="O73" s="27" t="str">
        <f>IF(AND(OR(Table356[[#This Row],[Region]]="Dhaka",Table356[[#This Row],[Region]]="Rajshahi"),Table356[[#This Row],[Status]]="Completed"),"Priority","Normal")</f>
        <v>Normal</v>
      </c>
      <c r="P73" s="27" t="str">
        <f t="shared" si="2"/>
        <v>Furniture Item</v>
      </c>
    </row>
    <row r="74" spans="1:16" x14ac:dyDescent="0.25">
      <c r="A74" s="11">
        <v>1074</v>
      </c>
      <c r="B74" s="12">
        <v>46099</v>
      </c>
      <c r="C74" s="13" t="s">
        <v>10</v>
      </c>
      <c r="D74" s="13" t="s">
        <v>24</v>
      </c>
      <c r="E74" s="13" t="s">
        <v>12</v>
      </c>
      <c r="F74" s="13" t="s">
        <v>13</v>
      </c>
      <c r="G74" s="11">
        <v>6</v>
      </c>
      <c r="H74" s="14">
        <v>452</v>
      </c>
      <c r="I74" s="11">
        <v>10</v>
      </c>
      <c r="J74" s="13" t="s">
        <v>14</v>
      </c>
      <c r="K74" s="26" t="str">
        <f>IF(AND(Table356[[#This Row],[Qty]]&gt;=5,Table356[[#This Row],[Discount]]&gt;=10),"Premium Offer","Regular")</f>
        <v>Premium Offer</v>
      </c>
      <c r="L74" s="26" t="str">
        <f>IF(OR(Table356[[#This Row],[Region]]="Dhaka",Table356[[#This Row],[Region]]="Chattogram"),"Metro Area","Other")</f>
        <v>Other</v>
      </c>
      <c r="M74" s="26" t="str">
        <f>IF(AND(Table356[[#This Row],[Status]]="Completed",Table356[[#This Row],[Qty]]&gt;=5),"Top Sale","Normal Sale")</f>
        <v>Normal Sale</v>
      </c>
      <c r="N74" s="27" t="str">
        <f>IF(AND(Table356[[#This Row],[Category]]="Electronic",Table356[[#This Row],[UnitPrice]]&gt;=1000),"Premium Electronics","Not Premium Electronics")</f>
        <v>Not Premium Electronics</v>
      </c>
      <c r="O74" s="27" t="str">
        <f>IF(AND(OR(Table356[[#This Row],[Region]]="Dhaka",Table356[[#This Row],[Region]]="Rajshahi"),Table356[[#This Row],[Status]]="Completed"),"Priority","Normal")</f>
        <v>Normal</v>
      </c>
      <c r="P74" s="27" t="str">
        <f t="shared" si="2"/>
        <v>Furniture Item</v>
      </c>
    </row>
    <row r="75" spans="1:16" x14ac:dyDescent="0.25">
      <c r="A75" s="16">
        <v>1075</v>
      </c>
      <c r="B75" s="17">
        <v>46165</v>
      </c>
      <c r="C75" s="18" t="s">
        <v>10</v>
      </c>
      <c r="D75" s="18" t="s">
        <v>24</v>
      </c>
      <c r="E75" s="18" t="s">
        <v>17</v>
      </c>
      <c r="F75" s="18" t="s">
        <v>18</v>
      </c>
      <c r="G75" s="16">
        <v>8</v>
      </c>
      <c r="H75" s="19">
        <v>1120</v>
      </c>
      <c r="I75" s="16">
        <v>15</v>
      </c>
      <c r="J75" s="18" t="s">
        <v>27</v>
      </c>
      <c r="K75" s="26" t="str">
        <f>IF(AND(Table356[[#This Row],[Qty]]&gt;=5,Table356[[#This Row],[Discount]]&gt;=10),"Premium Offer","Regular")</f>
        <v>Premium Offer</v>
      </c>
      <c r="L75" s="26" t="str">
        <f>IF(OR(Table356[[#This Row],[Region]]="Dhaka",Table356[[#This Row],[Region]]="Chattogram"),"Metro Area","Other")</f>
        <v>Other</v>
      </c>
      <c r="M75" s="26" t="str">
        <f>IF(AND(Table356[[#This Row],[Status]]="Completed",Table356[[#This Row],[Qty]]&gt;=5),"Top Sale","Normal Sale")</f>
        <v>Top Sale</v>
      </c>
      <c r="N75" s="27" t="str">
        <f>IF(AND(Table356[[#This Row],[Category]]="Electronic",Table356[[#This Row],[UnitPrice]]&gt;=1000),"Premium Electronics","Not Premium Electronics")</f>
        <v>Not Premium Electronics</v>
      </c>
      <c r="O75" s="27" t="str">
        <f>IF(AND(OR(Table356[[#This Row],[Region]]="Dhaka",Table356[[#This Row],[Region]]="Rajshahi"),Table356[[#This Row],[Status]]="Completed"),"Priority","Normal")</f>
        <v>Normal</v>
      </c>
      <c r="P75" s="27" t="str">
        <f t="shared" si="2"/>
        <v>High Value</v>
      </c>
    </row>
    <row r="76" spans="1:16" x14ac:dyDescent="0.25">
      <c r="A76" s="11">
        <v>1076</v>
      </c>
      <c r="B76" s="12">
        <v>46078</v>
      </c>
      <c r="C76" s="13" t="s">
        <v>20</v>
      </c>
      <c r="D76" s="13" t="s">
        <v>11</v>
      </c>
      <c r="E76" s="13" t="s">
        <v>31</v>
      </c>
      <c r="F76" s="13" t="s">
        <v>13</v>
      </c>
      <c r="G76" s="11">
        <v>3</v>
      </c>
      <c r="H76" s="14">
        <v>1778</v>
      </c>
      <c r="I76" s="11">
        <v>10</v>
      </c>
      <c r="J76" s="13" t="s">
        <v>19</v>
      </c>
      <c r="K76" s="26" t="str">
        <f>IF(AND(Table356[[#This Row],[Qty]]&gt;=5,Table356[[#This Row],[Discount]]&gt;=10),"Premium Offer","Regular")</f>
        <v>Regular</v>
      </c>
      <c r="L76" s="26" t="str">
        <f>IF(OR(Table356[[#This Row],[Region]]="Dhaka",Table356[[#This Row],[Region]]="Chattogram"),"Metro Area","Other")</f>
        <v>Other</v>
      </c>
      <c r="M76" s="26" t="str">
        <f>IF(AND(Table356[[#This Row],[Status]]="Completed",Table356[[#This Row],[Qty]]&gt;=5),"Top Sale","Normal Sale")</f>
        <v>Normal Sale</v>
      </c>
      <c r="N76" s="27" t="str">
        <f>IF(AND(Table356[[#This Row],[Category]]="Electronic",Table356[[#This Row],[UnitPrice]]&gt;=1000),"Premium Electronics","Not Premium Electronics")</f>
        <v>Not Premium Electronics</v>
      </c>
      <c r="O76" s="27" t="str">
        <f>IF(AND(OR(Table356[[#This Row],[Region]]="Dhaka",Table356[[#This Row],[Region]]="Rajshahi"),Table356[[#This Row],[Status]]="Completed"),"Priority","Normal")</f>
        <v>Normal</v>
      </c>
      <c r="P76" s="27" t="str">
        <f t="shared" si="2"/>
        <v>Furniture Item</v>
      </c>
    </row>
    <row r="77" spans="1:16" x14ac:dyDescent="0.25">
      <c r="A77" s="16">
        <v>1077</v>
      </c>
      <c r="B77" s="17">
        <v>46152</v>
      </c>
      <c r="C77" s="18" t="s">
        <v>15</v>
      </c>
      <c r="D77" s="18" t="s">
        <v>24</v>
      </c>
      <c r="E77" s="18" t="s">
        <v>22</v>
      </c>
      <c r="F77" s="18" t="s">
        <v>23</v>
      </c>
      <c r="G77" s="16">
        <v>3</v>
      </c>
      <c r="H77" s="19">
        <v>253</v>
      </c>
      <c r="I77" s="16">
        <v>10</v>
      </c>
      <c r="J77" s="18" t="s">
        <v>19</v>
      </c>
      <c r="K77" s="26" t="str">
        <f>IF(AND(Table356[[#This Row],[Qty]]&gt;=5,Table356[[#This Row],[Discount]]&gt;=10),"Premium Offer","Regular")</f>
        <v>Regular</v>
      </c>
      <c r="L77" s="26" t="str">
        <f>IF(OR(Table356[[#This Row],[Region]]="Dhaka",Table356[[#This Row],[Region]]="Chattogram"),"Metro Area","Other")</f>
        <v>Metro Area</v>
      </c>
      <c r="M77" s="26" t="str">
        <f>IF(AND(Table356[[#This Row],[Status]]="Completed",Table356[[#This Row],[Qty]]&gt;=5),"Top Sale","Normal Sale")</f>
        <v>Normal Sale</v>
      </c>
      <c r="N77" s="27" t="str">
        <f>IF(AND(Table356[[#This Row],[Category]]="Electronic",Table356[[#This Row],[UnitPrice]]&gt;=1000),"Premium Electronics","Not Premium Electronics")</f>
        <v>Not Premium Electronics</v>
      </c>
      <c r="O77" s="27" t="str">
        <f>IF(AND(OR(Table356[[#This Row],[Region]]="Dhaka",Table356[[#This Row],[Region]]="Rajshahi"),Table356[[#This Row],[Status]]="Completed"),"Priority","Normal")</f>
        <v>Normal</v>
      </c>
      <c r="P77" s="27" t="str">
        <f t="shared" si="2"/>
        <v>Others</v>
      </c>
    </row>
    <row r="78" spans="1:16" x14ac:dyDescent="0.25">
      <c r="A78" s="11">
        <v>1078</v>
      </c>
      <c r="B78" s="12">
        <v>46092</v>
      </c>
      <c r="C78" s="13" t="s">
        <v>15</v>
      </c>
      <c r="D78" s="13" t="s">
        <v>21</v>
      </c>
      <c r="E78" s="13" t="s">
        <v>31</v>
      </c>
      <c r="F78" s="13" t="s">
        <v>13</v>
      </c>
      <c r="G78" s="11">
        <v>5</v>
      </c>
      <c r="H78" s="14">
        <v>1023</v>
      </c>
      <c r="I78" s="11">
        <v>0</v>
      </c>
      <c r="J78" s="13" t="s">
        <v>14</v>
      </c>
      <c r="K78" s="26" t="str">
        <f>IF(AND(Table356[[#This Row],[Qty]]&gt;=5,Table356[[#This Row],[Discount]]&gt;=10),"Premium Offer","Regular")</f>
        <v>Regular</v>
      </c>
      <c r="L78" s="26" t="str">
        <f>IF(OR(Table356[[#This Row],[Region]]="Dhaka",Table356[[#This Row],[Region]]="Chattogram"),"Metro Area","Other")</f>
        <v>Metro Area</v>
      </c>
      <c r="M78" s="26" t="str">
        <f>IF(AND(Table356[[#This Row],[Status]]="Completed",Table356[[#This Row],[Qty]]&gt;=5),"Top Sale","Normal Sale")</f>
        <v>Normal Sale</v>
      </c>
      <c r="N78" s="27" t="str">
        <f>IF(AND(Table356[[#This Row],[Category]]="Electronic",Table356[[#This Row],[UnitPrice]]&gt;=1000),"Premium Electronics","Not Premium Electronics")</f>
        <v>Not Premium Electronics</v>
      </c>
      <c r="O78" s="27" t="str">
        <f>IF(AND(OR(Table356[[#This Row],[Region]]="Dhaka",Table356[[#This Row],[Region]]="Rajshahi"),Table356[[#This Row],[Status]]="Completed"),"Priority","Normal")</f>
        <v>Normal</v>
      </c>
      <c r="P78" s="27" t="str">
        <f t="shared" si="2"/>
        <v>Furniture Item</v>
      </c>
    </row>
    <row r="79" spans="1:16" x14ac:dyDescent="0.25">
      <c r="A79" s="16">
        <v>1079</v>
      </c>
      <c r="B79" s="17">
        <v>46168</v>
      </c>
      <c r="C79" s="18" t="s">
        <v>20</v>
      </c>
      <c r="D79" s="18" t="s">
        <v>21</v>
      </c>
      <c r="E79" s="18" t="s">
        <v>17</v>
      </c>
      <c r="F79" s="18" t="s">
        <v>18</v>
      </c>
      <c r="G79" s="16">
        <v>1</v>
      </c>
      <c r="H79" s="19">
        <v>768</v>
      </c>
      <c r="I79" s="16">
        <v>15</v>
      </c>
      <c r="J79" s="18" t="s">
        <v>19</v>
      </c>
      <c r="K79" s="26" t="str">
        <f>IF(AND(Table356[[#This Row],[Qty]]&gt;=5,Table356[[#This Row],[Discount]]&gt;=10),"Premium Offer","Regular")</f>
        <v>Regular</v>
      </c>
      <c r="L79" s="26" t="str">
        <f>IF(OR(Table356[[#This Row],[Region]]="Dhaka",Table356[[#This Row],[Region]]="Chattogram"),"Metro Area","Other")</f>
        <v>Other</v>
      </c>
      <c r="M79" s="26" t="str">
        <f>IF(AND(Table356[[#This Row],[Status]]="Completed",Table356[[#This Row],[Qty]]&gt;=5),"Top Sale","Normal Sale")</f>
        <v>Normal Sale</v>
      </c>
      <c r="N79" s="27" t="str">
        <f>IF(AND(Table356[[#This Row],[Category]]="Electronic",Table356[[#This Row],[UnitPrice]]&gt;=1000),"Premium Electronics","Not Premium Electronics")</f>
        <v>Not Premium Electronics</v>
      </c>
      <c r="O79" s="27" t="str">
        <f>IF(AND(OR(Table356[[#This Row],[Region]]="Dhaka",Table356[[#This Row],[Region]]="Rajshahi"),Table356[[#This Row],[Status]]="Completed"),"Priority","Normal")</f>
        <v>Normal</v>
      </c>
      <c r="P79" s="27" t="str">
        <f t="shared" si="2"/>
        <v>High Value</v>
      </c>
    </row>
    <row r="80" spans="1:16" x14ac:dyDescent="0.25">
      <c r="A80" s="11">
        <v>1080</v>
      </c>
      <c r="B80" s="12">
        <v>46154</v>
      </c>
      <c r="C80" s="13" t="s">
        <v>29</v>
      </c>
      <c r="D80" s="13" t="s">
        <v>16</v>
      </c>
      <c r="E80" s="13" t="s">
        <v>25</v>
      </c>
      <c r="F80" s="13" t="s">
        <v>18</v>
      </c>
      <c r="G80" s="11">
        <v>7</v>
      </c>
      <c r="H80" s="14">
        <v>1055</v>
      </c>
      <c r="I80" s="11">
        <v>5</v>
      </c>
      <c r="J80" s="13" t="s">
        <v>19</v>
      </c>
      <c r="K80" s="26" t="str">
        <f>IF(AND(Table356[[#This Row],[Qty]]&gt;=5,Table356[[#This Row],[Discount]]&gt;=10),"Premium Offer","Regular")</f>
        <v>Regular</v>
      </c>
      <c r="L80" s="26" t="str">
        <f>IF(OR(Table356[[#This Row],[Region]]="Dhaka",Table356[[#This Row],[Region]]="Chattogram"),"Metro Area","Other")</f>
        <v>Metro Area</v>
      </c>
      <c r="M80" s="26" t="str">
        <f>IF(AND(Table356[[#This Row],[Status]]="Completed",Table356[[#This Row],[Qty]]&gt;=5),"Top Sale","Normal Sale")</f>
        <v>Normal Sale</v>
      </c>
      <c r="N80" s="27" t="str">
        <f>IF(AND(Table356[[#This Row],[Category]]="Electronic",Table356[[#This Row],[UnitPrice]]&gt;=1000),"Premium Electronics","Not Premium Electronics")</f>
        <v>Not Premium Electronics</v>
      </c>
      <c r="O80" s="27" t="str">
        <f>IF(AND(OR(Table356[[#This Row],[Region]]="Dhaka",Table356[[#This Row],[Region]]="Rajshahi"),Table356[[#This Row],[Status]]="Completed"),"Priority","Normal")</f>
        <v>Normal</v>
      </c>
      <c r="P80" s="27" t="str">
        <f t="shared" si="2"/>
        <v>Electronics</v>
      </c>
    </row>
    <row r="81" spans="1:16" x14ac:dyDescent="0.25">
      <c r="A81" s="16">
        <v>1081</v>
      </c>
      <c r="B81" s="17">
        <v>46201</v>
      </c>
      <c r="C81" s="18" t="s">
        <v>29</v>
      </c>
      <c r="D81" s="18" t="s">
        <v>11</v>
      </c>
      <c r="E81" s="18" t="s">
        <v>31</v>
      </c>
      <c r="F81" s="18" t="s">
        <v>13</v>
      </c>
      <c r="G81" s="16">
        <v>2</v>
      </c>
      <c r="H81" s="19">
        <v>693</v>
      </c>
      <c r="I81" s="16">
        <v>5</v>
      </c>
      <c r="J81" s="18" t="s">
        <v>27</v>
      </c>
      <c r="K81" s="26" t="str">
        <f>IF(AND(Table356[[#This Row],[Qty]]&gt;=5,Table356[[#This Row],[Discount]]&gt;=10),"Premium Offer","Regular")</f>
        <v>Regular</v>
      </c>
      <c r="L81" s="26" t="str">
        <f>IF(OR(Table356[[#This Row],[Region]]="Dhaka",Table356[[#This Row],[Region]]="Chattogram"),"Metro Area","Other")</f>
        <v>Metro Area</v>
      </c>
      <c r="M81" s="26" t="str">
        <f>IF(AND(Table356[[#This Row],[Status]]="Completed",Table356[[#This Row],[Qty]]&gt;=5),"Top Sale","Normal Sale")</f>
        <v>Normal Sale</v>
      </c>
      <c r="N81" s="27" t="str">
        <f>IF(AND(Table356[[#This Row],[Category]]="Electronic",Table356[[#This Row],[UnitPrice]]&gt;=1000),"Premium Electronics","Not Premium Electronics")</f>
        <v>Not Premium Electronics</v>
      </c>
      <c r="O81" s="27" t="str">
        <f>IF(AND(OR(Table356[[#This Row],[Region]]="Dhaka",Table356[[#This Row],[Region]]="Rajshahi"),Table356[[#This Row],[Status]]="Completed"),"Priority","Normal")</f>
        <v>Normal</v>
      </c>
      <c r="P81" s="27" t="str">
        <f t="shared" si="2"/>
        <v>Furniture Item</v>
      </c>
    </row>
    <row r="82" spans="1:16" x14ac:dyDescent="0.25">
      <c r="A82" s="11">
        <v>1082</v>
      </c>
      <c r="B82" s="12">
        <v>46079</v>
      </c>
      <c r="C82" s="13" t="s">
        <v>15</v>
      </c>
      <c r="D82" s="13" t="s">
        <v>16</v>
      </c>
      <c r="E82" s="13" t="s">
        <v>17</v>
      </c>
      <c r="F82" s="13" t="s">
        <v>18</v>
      </c>
      <c r="G82" s="11">
        <v>10</v>
      </c>
      <c r="H82" s="14">
        <v>1898</v>
      </c>
      <c r="I82" s="11">
        <v>5</v>
      </c>
      <c r="J82" s="13" t="s">
        <v>27</v>
      </c>
      <c r="K82" s="26" t="str">
        <f>IF(AND(Table356[[#This Row],[Qty]]&gt;=5,Table356[[#This Row],[Discount]]&gt;=10),"Premium Offer","Regular")</f>
        <v>Regular</v>
      </c>
      <c r="L82" s="26" t="str">
        <f>IF(OR(Table356[[#This Row],[Region]]="Dhaka",Table356[[#This Row],[Region]]="Chattogram"),"Metro Area","Other")</f>
        <v>Metro Area</v>
      </c>
      <c r="M82" s="26" t="str">
        <f>IF(AND(Table356[[#This Row],[Status]]="Completed",Table356[[#This Row],[Qty]]&gt;=5),"Top Sale","Normal Sale")</f>
        <v>Top Sale</v>
      </c>
      <c r="N82" s="27" t="str">
        <f>IF(AND(Table356[[#This Row],[Category]]="Electronic",Table356[[#This Row],[UnitPrice]]&gt;=1000),"Premium Electronics","Not Premium Electronics")</f>
        <v>Not Premium Electronics</v>
      </c>
      <c r="O82" s="27" t="str">
        <f>IF(AND(OR(Table356[[#This Row],[Region]]="Dhaka",Table356[[#This Row],[Region]]="Rajshahi"),Table356[[#This Row],[Status]]="Completed"),"Priority","Normal")</f>
        <v>Priority</v>
      </c>
      <c r="P82" s="27" t="str">
        <f t="shared" si="2"/>
        <v>Electronics</v>
      </c>
    </row>
    <row r="83" spans="1:16" x14ac:dyDescent="0.25">
      <c r="A83" s="16">
        <v>1083</v>
      </c>
      <c r="B83" s="17">
        <v>46176</v>
      </c>
      <c r="C83" s="18" t="s">
        <v>20</v>
      </c>
      <c r="D83" s="18" t="s">
        <v>30</v>
      </c>
      <c r="E83" s="18" t="s">
        <v>31</v>
      </c>
      <c r="F83" s="18" t="s">
        <v>13</v>
      </c>
      <c r="G83" s="16">
        <v>4</v>
      </c>
      <c r="H83" s="19">
        <v>951</v>
      </c>
      <c r="I83" s="16">
        <v>10</v>
      </c>
      <c r="J83" s="18" t="s">
        <v>27</v>
      </c>
      <c r="K83" s="26" t="str">
        <f>IF(AND(Table356[[#This Row],[Qty]]&gt;=5,Table356[[#This Row],[Discount]]&gt;=10),"Premium Offer","Regular")</f>
        <v>Regular</v>
      </c>
      <c r="L83" s="26" t="str">
        <f>IF(OR(Table356[[#This Row],[Region]]="Dhaka",Table356[[#This Row],[Region]]="Chattogram"),"Metro Area","Other")</f>
        <v>Other</v>
      </c>
      <c r="M83" s="26" t="str">
        <f>IF(AND(Table356[[#This Row],[Status]]="Completed",Table356[[#This Row],[Qty]]&gt;=5),"Top Sale","Normal Sale")</f>
        <v>Normal Sale</v>
      </c>
      <c r="N83" s="27" t="str">
        <f>IF(AND(Table356[[#This Row],[Category]]="Electronic",Table356[[#This Row],[UnitPrice]]&gt;=1000),"Premium Electronics","Not Premium Electronics")</f>
        <v>Not Premium Electronics</v>
      </c>
      <c r="O83" s="27" t="str">
        <f>IF(AND(OR(Table356[[#This Row],[Region]]="Dhaka",Table356[[#This Row],[Region]]="Rajshahi"),Table356[[#This Row],[Status]]="Completed"),"Priority","Normal")</f>
        <v>Priority</v>
      </c>
      <c r="P83" s="27" t="str">
        <f t="shared" si="2"/>
        <v>Furniture Item</v>
      </c>
    </row>
    <row r="84" spans="1:16" x14ac:dyDescent="0.25">
      <c r="A84" s="11">
        <v>1084</v>
      </c>
      <c r="B84" s="12">
        <v>46091</v>
      </c>
      <c r="C84" s="13" t="s">
        <v>10</v>
      </c>
      <c r="D84" s="13" t="s">
        <v>30</v>
      </c>
      <c r="E84" s="13" t="s">
        <v>25</v>
      </c>
      <c r="F84" s="13" t="s">
        <v>18</v>
      </c>
      <c r="G84" s="11">
        <v>5</v>
      </c>
      <c r="H84" s="14">
        <v>106</v>
      </c>
      <c r="I84" s="11">
        <v>0</v>
      </c>
      <c r="J84" s="13" t="s">
        <v>19</v>
      </c>
      <c r="K84" s="26" t="str">
        <f>IF(AND(Table356[[#This Row],[Qty]]&gt;=5,Table356[[#This Row],[Discount]]&gt;=10),"Premium Offer","Regular")</f>
        <v>Regular</v>
      </c>
      <c r="L84" s="26" t="str">
        <f>IF(OR(Table356[[#This Row],[Region]]="Dhaka",Table356[[#This Row],[Region]]="Chattogram"),"Metro Area","Other")</f>
        <v>Other</v>
      </c>
      <c r="M84" s="26" t="str">
        <f>IF(AND(Table356[[#This Row],[Status]]="Completed",Table356[[#This Row],[Qty]]&gt;=5),"Top Sale","Normal Sale")</f>
        <v>Normal Sale</v>
      </c>
      <c r="N84" s="27" t="str">
        <f>IF(AND(Table356[[#This Row],[Category]]="Electronic",Table356[[#This Row],[UnitPrice]]&gt;=1000),"Premium Electronics","Not Premium Electronics")</f>
        <v>Not Premium Electronics</v>
      </c>
      <c r="O84" s="27" t="str">
        <f>IF(AND(OR(Table356[[#This Row],[Region]]="Dhaka",Table356[[#This Row],[Region]]="Rajshahi"),Table356[[#This Row],[Status]]="Completed"),"Priority","Normal")</f>
        <v>Normal</v>
      </c>
      <c r="P84" s="27" t="str">
        <f t="shared" si="2"/>
        <v>Electronics</v>
      </c>
    </row>
    <row r="85" spans="1:16" x14ac:dyDescent="0.25">
      <c r="A85" s="16">
        <v>1085</v>
      </c>
      <c r="B85" s="17">
        <v>46045</v>
      </c>
      <c r="C85" s="18" t="s">
        <v>29</v>
      </c>
      <c r="D85" s="18" t="s">
        <v>30</v>
      </c>
      <c r="E85" s="18" t="s">
        <v>26</v>
      </c>
      <c r="F85" s="18" t="s">
        <v>23</v>
      </c>
      <c r="G85" s="16">
        <v>2</v>
      </c>
      <c r="H85" s="19">
        <v>1041</v>
      </c>
      <c r="I85" s="16">
        <v>10</v>
      </c>
      <c r="J85" s="18" t="s">
        <v>14</v>
      </c>
      <c r="K85" s="26" t="str">
        <f>IF(AND(Table356[[#This Row],[Qty]]&gt;=5,Table356[[#This Row],[Discount]]&gt;=10),"Premium Offer","Regular")</f>
        <v>Regular</v>
      </c>
      <c r="L85" s="26" t="str">
        <f>IF(OR(Table356[[#This Row],[Region]]="Dhaka",Table356[[#This Row],[Region]]="Chattogram"),"Metro Area","Other")</f>
        <v>Metro Area</v>
      </c>
      <c r="M85" s="26" t="str">
        <f>IF(AND(Table356[[#This Row],[Status]]="Completed",Table356[[#This Row],[Qty]]&gt;=5),"Top Sale","Normal Sale")</f>
        <v>Normal Sale</v>
      </c>
      <c r="N85" s="27" t="str">
        <f>IF(AND(Table356[[#This Row],[Category]]="Electronic",Table356[[#This Row],[UnitPrice]]&gt;=1000),"Premium Electronics","Not Premium Electronics")</f>
        <v>Not Premium Electronics</v>
      </c>
      <c r="O85" s="27" t="str">
        <f>IF(AND(OR(Table356[[#This Row],[Region]]="Dhaka",Table356[[#This Row],[Region]]="Rajshahi"),Table356[[#This Row],[Status]]="Completed"),"Priority","Normal")</f>
        <v>Normal</v>
      </c>
      <c r="P85" s="27" t="str">
        <f t="shared" si="2"/>
        <v>Others</v>
      </c>
    </row>
    <row r="86" spans="1:16" x14ac:dyDescent="0.25">
      <c r="A86" s="11">
        <v>1086</v>
      </c>
      <c r="B86" s="12">
        <v>46130</v>
      </c>
      <c r="C86" s="13" t="s">
        <v>20</v>
      </c>
      <c r="D86" s="13" t="s">
        <v>21</v>
      </c>
      <c r="E86" s="13" t="s">
        <v>22</v>
      </c>
      <c r="F86" s="13" t="s">
        <v>23</v>
      </c>
      <c r="G86" s="11">
        <v>5</v>
      </c>
      <c r="H86" s="14">
        <v>1359</v>
      </c>
      <c r="I86" s="11">
        <v>5</v>
      </c>
      <c r="J86" s="13" t="s">
        <v>14</v>
      </c>
      <c r="K86" s="26" t="str">
        <f>IF(AND(Table356[[#This Row],[Qty]]&gt;=5,Table356[[#This Row],[Discount]]&gt;=10),"Premium Offer","Regular")</f>
        <v>Regular</v>
      </c>
      <c r="L86" s="26" t="str">
        <f>IF(OR(Table356[[#This Row],[Region]]="Dhaka",Table356[[#This Row],[Region]]="Chattogram"),"Metro Area","Other")</f>
        <v>Other</v>
      </c>
      <c r="M86" s="26" t="str">
        <f>IF(AND(Table356[[#This Row],[Status]]="Completed",Table356[[#This Row],[Qty]]&gt;=5),"Top Sale","Normal Sale")</f>
        <v>Normal Sale</v>
      </c>
      <c r="N86" s="27" t="str">
        <f>IF(AND(Table356[[#This Row],[Category]]="Electronic",Table356[[#This Row],[UnitPrice]]&gt;=1000),"Premium Electronics","Not Premium Electronics")</f>
        <v>Not Premium Electronics</v>
      </c>
      <c r="O86" s="27" t="str">
        <f>IF(AND(OR(Table356[[#This Row],[Region]]="Dhaka",Table356[[#This Row],[Region]]="Rajshahi"),Table356[[#This Row],[Status]]="Completed"),"Priority","Normal")</f>
        <v>Normal</v>
      </c>
      <c r="P86" s="27" t="str">
        <f t="shared" si="2"/>
        <v>Others</v>
      </c>
    </row>
    <row r="87" spans="1:16" x14ac:dyDescent="0.25">
      <c r="A87" s="16">
        <v>1087</v>
      </c>
      <c r="B87" s="17">
        <v>46191</v>
      </c>
      <c r="C87" s="18" t="s">
        <v>20</v>
      </c>
      <c r="D87" s="18" t="s">
        <v>30</v>
      </c>
      <c r="E87" s="18" t="s">
        <v>31</v>
      </c>
      <c r="F87" s="18" t="s">
        <v>13</v>
      </c>
      <c r="G87" s="16">
        <v>2</v>
      </c>
      <c r="H87" s="19">
        <v>1545</v>
      </c>
      <c r="I87" s="16">
        <v>0</v>
      </c>
      <c r="J87" s="18" t="s">
        <v>19</v>
      </c>
      <c r="K87" s="26" t="str">
        <f>IF(AND(Table356[[#This Row],[Qty]]&gt;=5,Table356[[#This Row],[Discount]]&gt;=10),"Premium Offer","Regular")</f>
        <v>Regular</v>
      </c>
      <c r="L87" s="26" t="str">
        <f>IF(OR(Table356[[#This Row],[Region]]="Dhaka",Table356[[#This Row],[Region]]="Chattogram"),"Metro Area","Other")</f>
        <v>Other</v>
      </c>
      <c r="M87" s="26" t="str">
        <f>IF(AND(Table356[[#This Row],[Status]]="Completed",Table356[[#This Row],[Qty]]&gt;=5),"Top Sale","Normal Sale")</f>
        <v>Normal Sale</v>
      </c>
      <c r="N87" s="27" t="str">
        <f>IF(AND(Table356[[#This Row],[Category]]="Electronic",Table356[[#This Row],[UnitPrice]]&gt;=1000),"Premium Electronics","Not Premium Electronics")</f>
        <v>Not Premium Electronics</v>
      </c>
      <c r="O87" s="27" t="str">
        <f>IF(AND(OR(Table356[[#This Row],[Region]]="Dhaka",Table356[[#This Row],[Region]]="Rajshahi"),Table356[[#This Row],[Status]]="Completed"),"Priority","Normal")</f>
        <v>Normal</v>
      </c>
      <c r="P87" s="27" t="str">
        <f t="shared" si="2"/>
        <v>Furniture Item</v>
      </c>
    </row>
    <row r="88" spans="1:16" x14ac:dyDescent="0.25">
      <c r="A88" s="11">
        <v>1088</v>
      </c>
      <c r="B88" s="12">
        <v>46108</v>
      </c>
      <c r="C88" s="13" t="s">
        <v>29</v>
      </c>
      <c r="D88" s="13" t="s">
        <v>16</v>
      </c>
      <c r="E88" s="13" t="s">
        <v>26</v>
      </c>
      <c r="F88" s="13" t="s">
        <v>23</v>
      </c>
      <c r="G88" s="11">
        <v>7</v>
      </c>
      <c r="H88" s="14">
        <v>553</v>
      </c>
      <c r="I88" s="11">
        <v>15</v>
      </c>
      <c r="J88" s="13" t="s">
        <v>14</v>
      </c>
      <c r="K88" s="26" t="str">
        <f>IF(AND(Table356[[#This Row],[Qty]]&gt;=5,Table356[[#This Row],[Discount]]&gt;=10),"Premium Offer","Regular")</f>
        <v>Premium Offer</v>
      </c>
      <c r="L88" s="26" t="str">
        <f>IF(OR(Table356[[#This Row],[Region]]="Dhaka",Table356[[#This Row],[Region]]="Chattogram"),"Metro Area","Other")</f>
        <v>Metro Area</v>
      </c>
      <c r="M88" s="26" t="str">
        <f>IF(AND(Table356[[#This Row],[Status]]="Completed",Table356[[#This Row],[Qty]]&gt;=5),"Top Sale","Normal Sale")</f>
        <v>Normal Sale</v>
      </c>
      <c r="N88" s="27" t="str">
        <f>IF(AND(Table356[[#This Row],[Category]]="Electronic",Table356[[#This Row],[UnitPrice]]&gt;=1000),"Premium Electronics","Not Premium Electronics")</f>
        <v>Not Premium Electronics</v>
      </c>
      <c r="O88" s="27" t="str">
        <f>IF(AND(OR(Table356[[#This Row],[Region]]="Dhaka",Table356[[#This Row],[Region]]="Rajshahi"),Table356[[#This Row],[Status]]="Completed"),"Priority","Normal")</f>
        <v>Normal</v>
      </c>
      <c r="P88" s="27" t="str">
        <f t="shared" si="2"/>
        <v>Others</v>
      </c>
    </row>
    <row r="89" spans="1:16" x14ac:dyDescent="0.25">
      <c r="A89" s="16">
        <v>1089</v>
      </c>
      <c r="B89" s="17">
        <v>46092</v>
      </c>
      <c r="C89" s="18" t="s">
        <v>10</v>
      </c>
      <c r="D89" s="18" t="s">
        <v>30</v>
      </c>
      <c r="E89" s="18" t="s">
        <v>17</v>
      </c>
      <c r="F89" s="18" t="s">
        <v>18</v>
      </c>
      <c r="G89" s="16">
        <v>9</v>
      </c>
      <c r="H89" s="19">
        <v>1572</v>
      </c>
      <c r="I89" s="16">
        <v>0</v>
      </c>
      <c r="J89" s="18" t="s">
        <v>27</v>
      </c>
      <c r="K89" s="26" t="str">
        <f>IF(AND(Table356[[#This Row],[Qty]]&gt;=5,Table356[[#This Row],[Discount]]&gt;=10),"Premium Offer","Regular")</f>
        <v>Regular</v>
      </c>
      <c r="L89" s="26" t="str">
        <f>IF(OR(Table356[[#This Row],[Region]]="Dhaka",Table356[[#This Row],[Region]]="Chattogram"),"Metro Area","Other")</f>
        <v>Other</v>
      </c>
      <c r="M89" s="26" t="str">
        <f>IF(AND(Table356[[#This Row],[Status]]="Completed",Table356[[#This Row],[Qty]]&gt;=5),"Top Sale","Normal Sale")</f>
        <v>Top Sale</v>
      </c>
      <c r="N89" s="27" t="str">
        <f>IF(AND(Table356[[#This Row],[Category]]="Electronic",Table356[[#This Row],[UnitPrice]]&gt;=1000),"Premium Electronics","Not Premium Electronics")</f>
        <v>Not Premium Electronics</v>
      </c>
      <c r="O89" s="27" t="str">
        <f>IF(AND(OR(Table356[[#This Row],[Region]]="Dhaka",Table356[[#This Row],[Region]]="Rajshahi"),Table356[[#This Row],[Status]]="Completed"),"Priority","Normal")</f>
        <v>Normal</v>
      </c>
      <c r="P89" s="27" t="str">
        <f t="shared" si="2"/>
        <v>Electronics</v>
      </c>
    </row>
    <row r="90" spans="1:16" x14ac:dyDescent="0.25">
      <c r="A90" s="11">
        <v>1090</v>
      </c>
      <c r="B90" s="12">
        <v>46166</v>
      </c>
      <c r="C90" s="13" t="s">
        <v>10</v>
      </c>
      <c r="D90" s="13" t="s">
        <v>21</v>
      </c>
      <c r="E90" s="13" t="s">
        <v>31</v>
      </c>
      <c r="F90" s="13" t="s">
        <v>13</v>
      </c>
      <c r="G90" s="11">
        <v>2</v>
      </c>
      <c r="H90" s="14">
        <v>156</v>
      </c>
      <c r="I90" s="11">
        <v>10</v>
      </c>
      <c r="J90" s="13" t="s">
        <v>27</v>
      </c>
      <c r="K90" s="26" t="str">
        <f>IF(AND(Table356[[#This Row],[Qty]]&gt;=5,Table356[[#This Row],[Discount]]&gt;=10),"Premium Offer","Regular")</f>
        <v>Regular</v>
      </c>
      <c r="L90" s="26" t="str">
        <f>IF(OR(Table356[[#This Row],[Region]]="Dhaka",Table356[[#This Row],[Region]]="Chattogram"),"Metro Area","Other")</f>
        <v>Other</v>
      </c>
      <c r="M90" s="26" t="str">
        <f>IF(AND(Table356[[#This Row],[Status]]="Completed",Table356[[#This Row],[Qty]]&gt;=5),"Top Sale","Normal Sale")</f>
        <v>Normal Sale</v>
      </c>
      <c r="N90" s="27" t="str">
        <f>IF(AND(Table356[[#This Row],[Category]]="Electronic",Table356[[#This Row],[UnitPrice]]&gt;=1000),"Premium Electronics","Not Premium Electronics")</f>
        <v>Not Premium Electronics</v>
      </c>
      <c r="O90" s="27" t="str">
        <f>IF(AND(OR(Table356[[#This Row],[Region]]="Dhaka",Table356[[#This Row],[Region]]="Rajshahi"),Table356[[#This Row],[Status]]="Completed"),"Priority","Normal")</f>
        <v>Normal</v>
      </c>
      <c r="P90" s="27" t="str">
        <f t="shared" si="2"/>
        <v>Furniture Item</v>
      </c>
    </row>
    <row r="91" spans="1:16" x14ac:dyDescent="0.25">
      <c r="A91" s="16">
        <v>1091</v>
      </c>
      <c r="B91" s="17">
        <v>46145</v>
      </c>
      <c r="C91" s="18" t="s">
        <v>29</v>
      </c>
      <c r="D91" s="18" t="s">
        <v>30</v>
      </c>
      <c r="E91" s="18" t="s">
        <v>26</v>
      </c>
      <c r="F91" s="18" t="s">
        <v>23</v>
      </c>
      <c r="G91" s="16">
        <v>2</v>
      </c>
      <c r="H91" s="19">
        <v>525</v>
      </c>
      <c r="I91" s="16">
        <v>5</v>
      </c>
      <c r="J91" s="18" t="s">
        <v>27</v>
      </c>
      <c r="K91" s="26" t="str">
        <f>IF(AND(Table356[[#This Row],[Qty]]&gt;=5,Table356[[#This Row],[Discount]]&gt;=10),"Premium Offer","Regular")</f>
        <v>Regular</v>
      </c>
      <c r="L91" s="26" t="str">
        <f>IF(OR(Table356[[#This Row],[Region]]="Dhaka",Table356[[#This Row],[Region]]="Chattogram"),"Metro Area","Other")</f>
        <v>Metro Area</v>
      </c>
      <c r="M91" s="26" t="str">
        <f>IF(AND(Table356[[#This Row],[Status]]="Completed",Table356[[#This Row],[Qty]]&gt;=5),"Top Sale","Normal Sale")</f>
        <v>Normal Sale</v>
      </c>
      <c r="N91" s="27" t="str">
        <f>IF(AND(Table356[[#This Row],[Category]]="Electronic",Table356[[#This Row],[UnitPrice]]&gt;=1000),"Premium Electronics","Not Premium Electronics")</f>
        <v>Not Premium Electronics</v>
      </c>
      <c r="O91" s="27" t="str">
        <f>IF(AND(OR(Table356[[#This Row],[Region]]="Dhaka",Table356[[#This Row],[Region]]="Rajshahi"),Table356[[#This Row],[Status]]="Completed"),"Priority","Normal")</f>
        <v>Normal</v>
      </c>
      <c r="P91" s="27" t="str">
        <f t="shared" si="2"/>
        <v>Others</v>
      </c>
    </row>
    <row r="92" spans="1:16" x14ac:dyDescent="0.25">
      <c r="A92" s="11">
        <v>1092</v>
      </c>
      <c r="B92" s="12">
        <v>46086</v>
      </c>
      <c r="C92" s="13" t="s">
        <v>20</v>
      </c>
      <c r="D92" s="13" t="s">
        <v>21</v>
      </c>
      <c r="E92" s="13" t="s">
        <v>22</v>
      </c>
      <c r="F92" s="13" t="s">
        <v>23</v>
      </c>
      <c r="G92" s="11">
        <v>6</v>
      </c>
      <c r="H92" s="14">
        <v>426</v>
      </c>
      <c r="I92" s="11">
        <v>10</v>
      </c>
      <c r="J92" s="13" t="s">
        <v>27</v>
      </c>
      <c r="K92" s="26" t="str">
        <f>IF(AND(Table356[[#This Row],[Qty]]&gt;=5,Table356[[#This Row],[Discount]]&gt;=10),"Premium Offer","Regular")</f>
        <v>Premium Offer</v>
      </c>
      <c r="L92" s="26" t="str">
        <f>IF(OR(Table356[[#This Row],[Region]]="Dhaka",Table356[[#This Row],[Region]]="Chattogram"),"Metro Area","Other")</f>
        <v>Other</v>
      </c>
      <c r="M92" s="26" t="str">
        <f>IF(AND(Table356[[#This Row],[Status]]="Completed",Table356[[#This Row],[Qty]]&gt;=5),"Top Sale","Normal Sale")</f>
        <v>Top Sale</v>
      </c>
      <c r="N92" s="27" t="str">
        <f>IF(AND(Table356[[#This Row],[Category]]="Electronic",Table356[[#This Row],[UnitPrice]]&gt;=1000),"Premium Electronics","Not Premium Electronics")</f>
        <v>Not Premium Electronics</v>
      </c>
      <c r="O92" s="27" t="str">
        <f>IF(AND(OR(Table356[[#This Row],[Region]]="Dhaka",Table356[[#This Row],[Region]]="Rajshahi"),Table356[[#This Row],[Status]]="Completed"),"Priority","Normal")</f>
        <v>Priority</v>
      </c>
      <c r="P92" s="27" t="str">
        <f t="shared" si="2"/>
        <v>Others</v>
      </c>
    </row>
    <row r="93" spans="1:16" x14ac:dyDescent="0.25">
      <c r="A93" s="16">
        <v>1093</v>
      </c>
      <c r="B93" s="17">
        <v>46033</v>
      </c>
      <c r="C93" s="18" t="s">
        <v>29</v>
      </c>
      <c r="D93" s="18" t="s">
        <v>30</v>
      </c>
      <c r="E93" s="18" t="s">
        <v>25</v>
      </c>
      <c r="F93" s="18" t="s">
        <v>18</v>
      </c>
      <c r="G93" s="16">
        <v>1</v>
      </c>
      <c r="H93" s="19">
        <v>1473</v>
      </c>
      <c r="I93" s="16">
        <v>0</v>
      </c>
      <c r="J93" s="18" t="s">
        <v>27</v>
      </c>
      <c r="K93" s="26" t="str">
        <f>IF(AND(Table356[[#This Row],[Qty]]&gt;=5,Table356[[#This Row],[Discount]]&gt;=10),"Premium Offer","Regular")</f>
        <v>Regular</v>
      </c>
      <c r="L93" s="26" t="str">
        <f>IF(OR(Table356[[#This Row],[Region]]="Dhaka",Table356[[#This Row],[Region]]="Chattogram"),"Metro Area","Other")</f>
        <v>Metro Area</v>
      </c>
      <c r="M93" s="26" t="str">
        <f>IF(AND(Table356[[#This Row],[Status]]="Completed",Table356[[#This Row],[Qty]]&gt;=5),"Top Sale","Normal Sale")</f>
        <v>Normal Sale</v>
      </c>
      <c r="N93" s="27" t="str">
        <f>IF(AND(Table356[[#This Row],[Category]]="Electronic",Table356[[#This Row],[UnitPrice]]&gt;=1000),"Premium Electronics","Not Premium Electronics")</f>
        <v>Not Premium Electronics</v>
      </c>
      <c r="O93" s="27" t="str">
        <f>IF(AND(OR(Table356[[#This Row],[Region]]="Dhaka",Table356[[#This Row],[Region]]="Rajshahi"),Table356[[#This Row],[Status]]="Completed"),"Priority","Normal")</f>
        <v>Normal</v>
      </c>
      <c r="P93" s="27" t="str">
        <f t="shared" si="2"/>
        <v>Electronics</v>
      </c>
    </row>
    <row r="94" spans="1:16" x14ac:dyDescent="0.25">
      <c r="A94" s="11">
        <v>1094</v>
      </c>
      <c r="B94" s="12">
        <v>46117</v>
      </c>
      <c r="C94" s="13" t="s">
        <v>15</v>
      </c>
      <c r="D94" s="13" t="s">
        <v>24</v>
      </c>
      <c r="E94" s="13" t="s">
        <v>26</v>
      </c>
      <c r="F94" s="13" t="s">
        <v>23</v>
      </c>
      <c r="G94" s="11">
        <v>9</v>
      </c>
      <c r="H94" s="14">
        <v>1895</v>
      </c>
      <c r="I94" s="11">
        <v>0</v>
      </c>
      <c r="J94" s="13" t="s">
        <v>27</v>
      </c>
      <c r="K94" s="26" t="str">
        <f>IF(AND(Table356[[#This Row],[Qty]]&gt;=5,Table356[[#This Row],[Discount]]&gt;=10),"Premium Offer","Regular")</f>
        <v>Regular</v>
      </c>
      <c r="L94" s="26" t="str">
        <f>IF(OR(Table356[[#This Row],[Region]]="Dhaka",Table356[[#This Row],[Region]]="Chattogram"),"Metro Area","Other")</f>
        <v>Metro Area</v>
      </c>
      <c r="M94" s="26" t="str">
        <f>IF(AND(Table356[[#This Row],[Status]]="Completed",Table356[[#This Row],[Qty]]&gt;=5),"Top Sale","Normal Sale")</f>
        <v>Top Sale</v>
      </c>
      <c r="N94" s="27" t="str">
        <f>IF(AND(Table356[[#This Row],[Category]]="Electronic",Table356[[#This Row],[UnitPrice]]&gt;=1000),"Premium Electronics","Not Premium Electronics")</f>
        <v>Not Premium Electronics</v>
      </c>
      <c r="O94" s="27" t="str">
        <f>IF(AND(OR(Table356[[#This Row],[Region]]="Dhaka",Table356[[#This Row],[Region]]="Rajshahi"),Table356[[#This Row],[Status]]="Completed"),"Priority","Normal")</f>
        <v>Priority</v>
      </c>
      <c r="P94" s="27" t="str">
        <f t="shared" si="2"/>
        <v>Others</v>
      </c>
    </row>
    <row r="95" spans="1:16" x14ac:dyDescent="0.25">
      <c r="A95" s="16">
        <v>1095</v>
      </c>
      <c r="B95" s="17">
        <v>46100</v>
      </c>
      <c r="C95" s="18" t="s">
        <v>20</v>
      </c>
      <c r="D95" s="18" t="s">
        <v>16</v>
      </c>
      <c r="E95" s="18" t="s">
        <v>12</v>
      </c>
      <c r="F95" s="18" t="s">
        <v>13</v>
      </c>
      <c r="G95" s="16">
        <v>5</v>
      </c>
      <c r="H95" s="19">
        <v>944</v>
      </c>
      <c r="I95" s="16">
        <v>10</v>
      </c>
      <c r="J95" s="18" t="s">
        <v>27</v>
      </c>
      <c r="K95" s="26" t="str">
        <f>IF(AND(Table356[[#This Row],[Qty]]&gt;=5,Table356[[#This Row],[Discount]]&gt;=10),"Premium Offer","Regular")</f>
        <v>Premium Offer</v>
      </c>
      <c r="L95" s="26" t="str">
        <f>IF(OR(Table356[[#This Row],[Region]]="Dhaka",Table356[[#This Row],[Region]]="Chattogram"),"Metro Area","Other")</f>
        <v>Other</v>
      </c>
      <c r="M95" s="26" t="str">
        <f>IF(AND(Table356[[#This Row],[Status]]="Completed",Table356[[#This Row],[Qty]]&gt;=5),"Top Sale","Normal Sale")</f>
        <v>Top Sale</v>
      </c>
      <c r="N95" s="27" t="str">
        <f>IF(AND(Table356[[#This Row],[Category]]="Electronic",Table356[[#This Row],[UnitPrice]]&gt;=1000),"Premium Electronics","Not Premium Electronics")</f>
        <v>Not Premium Electronics</v>
      </c>
      <c r="O95" s="27" t="str">
        <f>IF(AND(OR(Table356[[#This Row],[Region]]="Dhaka",Table356[[#This Row],[Region]]="Rajshahi"),Table356[[#This Row],[Status]]="Completed"),"Priority","Normal")</f>
        <v>Priority</v>
      </c>
      <c r="P95" s="27" t="str">
        <f t="shared" si="2"/>
        <v>Furniture Item</v>
      </c>
    </row>
    <row r="96" spans="1:16" x14ac:dyDescent="0.25">
      <c r="A96" s="11">
        <v>1096</v>
      </c>
      <c r="B96" s="12">
        <v>46106</v>
      </c>
      <c r="C96" s="13" t="s">
        <v>10</v>
      </c>
      <c r="D96" s="13" t="s">
        <v>11</v>
      </c>
      <c r="E96" s="13" t="s">
        <v>25</v>
      </c>
      <c r="F96" s="13" t="s">
        <v>18</v>
      </c>
      <c r="G96" s="11">
        <v>4</v>
      </c>
      <c r="H96" s="14">
        <v>1566</v>
      </c>
      <c r="I96" s="11">
        <v>5</v>
      </c>
      <c r="J96" s="13" t="s">
        <v>19</v>
      </c>
      <c r="K96" s="26" t="str">
        <f>IF(AND(Table356[[#This Row],[Qty]]&gt;=5,Table356[[#This Row],[Discount]]&gt;=10),"Premium Offer","Regular")</f>
        <v>Regular</v>
      </c>
      <c r="L96" s="26" t="str">
        <f>IF(OR(Table356[[#This Row],[Region]]="Dhaka",Table356[[#This Row],[Region]]="Chattogram"),"Metro Area","Other")</f>
        <v>Other</v>
      </c>
      <c r="M96" s="26" t="str">
        <f>IF(AND(Table356[[#This Row],[Status]]="Completed",Table356[[#This Row],[Qty]]&gt;=5),"Top Sale","Normal Sale")</f>
        <v>Normal Sale</v>
      </c>
      <c r="N96" s="27" t="str">
        <f>IF(AND(Table356[[#This Row],[Category]]="Electronic",Table356[[#This Row],[UnitPrice]]&gt;=1000),"Premium Electronics","Not Premium Electronics")</f>
        <v>Not Premium Electronics</v>
      </c>
      <c r="O96" s="27" t="str">
        <f>IF(AND(OR(Table356[[#This Row],[Region]]="Dhaka",Table356[[#This Row],[Region]]="Rajshahi"),Table356[[#This Row],[Status]]="Completed"),"Priority","Normal")</f>
        <v>Normal</v>
      </c>
      <c r="P96" s="27" t="str">
        <f t="shared" si="2"/>
        <v>Electronics</v>
      </c>
    </row>
    <row r="97" spans="1:16" x14ac:dyDescent="0.25">
      <c r="A97" s="16">
        <v>1097</v>
      </c>
      <c r="B97" s="17">
        <v>46169</v>
      </c>
      <c r="C97" s="18" t="s">
        <v>29</v>
      </c>
      <c r="D97" s="18" t="s">
        <v>16</v>
      </c>
      <c r="E97" s="18" t="s">
        <v>26</v>
      </c>
      <c r="F97" s="18" t="s">
        <v>23</v>
      </c>
      <c r="G97" s="16">
        <v>10</v>
      </c>
      <c r="H97" s="19">
        <v>1759</v>
      </c>
      <c r="I97" s="16">
        <v>5</v>
      </c>
      <c r="J97" s="18" t="s">
        <v>19</v>
      </c>
      <c r="K97" s="26" t="str">
        <f>IF(AND(Table356[[#This Row],[Qty]]&gt;=5,Table356[[#This Row],[Discount]]&gt;=10),"Premium Offer","Regular")</f>
        <v>Regular</v>
      </c>
      <c r="L97" s="26" t="str">
        <f>IF(OR(Table356[[#This Row],[Region]]="Dhaka",Table356[[#This Row],[Region]]="Chattogram"),"Metro Area","Other")</f>
        <v>Metro Area</v>
      </c>
      <c r="M97" s="26" t="str">
        <f>IF(AND(Table356[[#This Row],[Status]]="Completed",Table356[[#This Row],[Qty]]&gt;=5),"Top Sale","Normal Sale")</f>
        <v>Normal Sale</v>
      </c>
      <c r="N97" s="27" t="str">
        <f>IF(AND(Table356[[#This Row],[Category]]="Electronic",Table356[[#This Row],[UnitPrice]]&gt;=1000),"Premium Electronics","Not Premium Electronics")</f>
        <v>Not Premium Electronics</v>
      </c>
      <c r="O97" s="27" t="str">
        <f>IF(AND(OR(Table356[[#This Row],[Region]]="Dhaka",Table356[[#This Row],[Region]]="Rajshahi"),Table356[[#This Row],[Status]]="Completed"),"Priority","Normal")</f>
        <v>Normal</v>
      </c>
      <c r="P97" s="27" t="str">
        <f t="shared" si="2"/>
        <v>Others</v>
      </c>
    </row>
    <row r="98" spans="1:16" x14ac:dyDescent="0.25">
      <c r="A98" s="11">
        <v>1098</v>
      </c>
      <c r="B98" s="12">
        <v>46194</v>
      </c>
      <c r="C98" s="13" t="s">
        <v>29</v>
      </c>
      <c r="D98" s="13" t="s">
        <v>21</v>
      </c>
      <c r="E98" s="13" t="s">
        <v>31</v>
      </c>
      <c r="F98" s="13" t="s">
        <v>13</v>
      </c>
      <c r="G98" s="11">
        <v>3</v>
      </c>
      <c r="H98" s="14">
        <v>1473</v>
      </c>
      <c r="I98" s="11">
        <v>15</v>
      </c>
      <c r="J98" s="13" t="s">
        <v>19</v>
      </c>
      <c r="K98" s="26" t="str">
        <f>IF(AND(Table356[[#This Row],[Qty]]&gt;=5,Table356[[#This Row],[Discount]]&gt;=10),"Premium Offer","Regular")</f>
        <v>Regular</v>
      </c>
      <c r="L98" s="26" t="str">
        <f>IF(OR(Table356[[#This Row],[Region]]="Dhaka",Table356[[#This Row],[Region]]="Chattogram"),"Metro Area","Other")</f>
        <v>Metro Area</v>
      </c>
      <c r="M98" s="26" t="str">
        <f>IF(AND(Table356[[#This Row],[Status]]="Completed",Table356[[#This Row],[Qty]]&gt;=5),"Top Sale","Normal Sale")</f>
        <v>Normal Sale</v>
      </c>
      <c r="N98" s="27" t="str">
        <f>IF(AND(Table356[[#This Row],[Category]]="Electronic",Table356[[#This Row],[UnitPrice]]&gt;=1000),"Premium Electronics","Not Premium Electronics")</f>
        <v>Not Premium Electronics</v>
      </c>
      <c r="O98" s="27" t="str">
        <f>IF(AND(OR(Table356[[#This Row],[Region]]="Dhaka",Table356[[#This Row],[Region]]="Rajshahi"),Table356[[#This Row],[Status]]="Completed"),"Priority","Normal")</f>
        <v>Normal</v>
      </c>
      <c r="P98" s="27" t="str">
        <f t="shared" si="2"/>
        <v>Furniture Item</v>
      </c>
    </row>
    <row r="99" spans="1:16" x14ac:dyDescent="0.25">
      <c r="A99" s="16">
        <v>1099</v>
      </c>
      <c r="B99" s="17">
        <v>46077</v>
      </c>
      <c r="C99" s="18" t="s">
        <v>10</v>
      </c>
      <c r="D99" s="18" t="s">
        <v>28</v>
      </c>
      <c r="E99" s="18" t="s">
        <v>25</v>
      </c>
      <c r="F99" s="18" t="s">
        <v>18</v>
      </c>
      <c r="G99" s="16">
        <v>10</v>
      </c>
      <c r="H99" s="19">
        <v>455</v>
      </c>
      <c r="I99" s="16">
        <v>5</v>
      </c>
      <c r="J99" s="18" t="s">
        <v>14</v>
      </c>
      <c r="K99" s="26" t="str">
        <f>IF(AND(Table356[[#This Row],[Qty]]&gt;=5,Table356[[#This Row],[Discount]]&gt;=10),"Premium Offer","Regular")</f>
        <v>Regular</v>
      </c>
      <c r="L99" s="26" t="str">
        <f>IF(OR(Table356[[#This Row],[Region]]="Dhaka",Table356[[#This Row],[Region]]="Chattogram"),"Metro Area","Other")</f>
        <v>Other</v>
      </c>
      <c r="M99" s="26" t="str">
        <f>IF(AND(Table356[[#This Row],[Status]]="Completed",Table356[[#This Row],[Qty]]&gt;=5),"Top Sale","Normal Sale")</f>
        <v>Normal Sale</v>
      </c>
      <c r="N99" s="27" t="str">
        <f>IF(AND(Table356[[#This Row],[Category]]="Electronic",Table356[[#This Row],[UnitPrice]]&gt;=1000),"Premium Electronics","Not Premium Electronics")</f>
        <v>Not Premium Electronics</v>
      </c>
      <c r="O99" s="27" t="str">
        <f>IF(AND(OR(Table356[[#This Row],[Region]]="Dhaka",Table356[[#This Row],[Region]]="Rajshahi"),Table356[[#This Row],[Status]]="Completed"),"Priority","Normal")</f>
        <v>Normal</v>
      </c>
      <c r="P99" s="27" t="str">
        <f t="shared" si="2"/>
        <v>Electronics</v>
      </c>
    </row>
    <row r="100" spans="1:16" x14ac:dyDescent="0.25">
      <c r="A100" s="11">
        <v>1100</v>
      </c>
      <c r="B100" s="12">
        <v>46107</v>
      </c>
      <c r="C100" s="13" t="s">
        <v>15</v>
      </c>
      <c r="D100" s="13" t="s">
        <v>21</v>
      </c>
      <c r="E100" s="13" t="s">
        <v>22</v>
      </c>
      <c r="F100" s="13" t="s">
        <v>23</v>
      </c>
      <c r="G100" s="11">
        <v>8</v>
      </c>
      <c r="H100" s="14">
        <v>185</v>
      </c>
      <c r="I100" s="11">
        <v>5</v>
      </c>
      <c r="J100" s="13" t="s">
        <v>19</v>
      </c>
      <c r="K100" s="26" t="str">
        <f>IF(AND(Table356[[#This Row],[Qty]]&gt;=5,Table356[[#This Row],[Discount]]&gt;=10),"Premium Offer","Regular")</f>
        <v>Regular</v>
      </c>
      <c r="L100" s="26" t="str">
        <f>IF(OR(Table356[[#This Row],[Region]]="Dhaka",Table356[[#This Row],[Region]]="Chattogram"),"Metro Area","Other")</f>
        <v>Metro Area</v>
      </c>
      <c r="M100" s="26" t="str">
        <f>IF(AND(Table356[[#This Row],[Status]]="Completed",Table356[[#This Row],[Qty]]&gt;=5),"Top Sale","Normal Sale")</f>
        <v>Normal Sale</v>
      </c>
      <c r="N100" s="27" t="str">
        <f>IF(AND(Table356[[#This Row],[Category]]="Electronic",Table356[[#This Row],[UnitPrice]]&gt;=1000),"Premium Electronics","Not Premium Electronics")</f>
        <v>Not Premium Electronics</v>
      </c>
      <c r="O100" s="27" t="str">
        <f>IF(AND(OR(Table356[[#This Row],[Region]]="Dhaka",Table356[[#This Row],[Region]]="Rajshahi"),Table356[[#This Row],[Status]]="Completed"),"Priority","Normal")</f>
        <v>Normal</v>
      </c>
      <c r="P100" s="27" t="str">
        <f t="shared" si="2"/>
        <v>Others</v>
      </c>
    </row>
    <row r="101" spans="1:16" x14ac:dyDescent="0.25">
      <c r="A101" s="16">
        <v>1101</v>
      </c>
      <c r="B101" s="17">
        <v>46186</v>
      </c>
      <c r="C101" s="18" t="s">
        <v>29</v>
      </c>
      <c r="D101" s="18" t="s">
        <v>30</v>
      </c>
      <c r="E101" s="18" t="s">
        <v>31</v>
      </c>
      <c r="F101" s="18" t="s">
        <v>13</v>
      </c>
      <c r="G101" s="16">
        <v>4</v>
      </c>
      <c r="H101" s="19">
        <v>1570</v>
      </c>
      <c r="I101" s="16">
        <v>0</v>
      </c>
      <c r="J101" s="18" t="s">
        <v>19</v>
      </c>
      <c r="K101" s="26" t="str">
        <f>IF(AND(Table356[[#This Row],[Qty]]&gt;=5,Table356[[#This Row],[Discount]]&gt;=10),"Premium Offer","Regular")</f>
        <v>Regular</v>
      </c>
      <c r="L101" s="26" t="str">
        <f>IF(OR(Table356[[#This Row],[Region]]="Dhaka",Table356[[#This Row],[Region]]="Chattogram"),"Metro Area","Other")</f>
        <v>Metro Area</v>
      </c>
      <c r="M101" s="26" t="str">
        <f>IF(AND(Table356[[#This Row],[Status]]="Completed",Table356[[#This Row],[Qty]]&gt;=5),"Top Sale","Normal Sale")</f>
        <v>Normal Sale</v>
      </c>
      <c r="N101" s="27" t="str">
        <f>IF(AND(Table356[[#This Row],[Category]]="Electronic",Table356[[#This Row],[UnitPrice]]&gt;=1000),"Premium Electronics","Not Premium Electronics")</f>
        <v>Not Premium Electronics</v>
      </c>
      <c r="O101" s="27" t="str">
        <f>IF(AND(OR(Table356[[#This Row],[Region]]="Dhaka",Table356[[#This Row],[Region]]="Rajshahi"),Table356[[#This Row],[Status]]="Completed"),"Priority","Normal")</f>
        <v>Normal</v>
      </c>
      <c r="P101" s="27" t="str">
        <f t="shared" si="2"/>
        <v>Furniture Item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7799-693F-41C7-997F-A45B2CDF8225}">
  <dimension ref="A1:O101"/>
  <sheetViews>
    <sheetView tabSelected="1" workbookViewId="0">
      <selection activeCell="O2" sqref="O2"/>
    </sheetView>
  </sheetViews>
  <sheetFormatPr defaultRowHeight="15" x14ac:dyDescent="0.25"/>
  <cols>
    <col min="1" max="1" width="12.5703125" bestFit="1" customWidth="1"/>
    <col min="2" max="2" width="9.7109375" bestFit="1" customWidth="1"/>
    <col min="3" max="3" width="11.7109375" bestFit="1" customWidth="1"/>
    <col min="4" max="4" width="16.28515625" bestFit="1" customWidth="1"/>
    <col min="5" max="5" width="12.42578125" bestFit="1" customWidth="1"/>
    <col min="6" max="6" width="13.42578125" bestFit="1" customWidth="1"/>
    <col min="7" max="7" width="8.7109375" bestFit="1" customWidth="1"/>
    <col min="8" max="8" width="13.85546875" bestFit="1" customWidth="1"/>
    <col min="9" max="9" width="13.28515625" bestFit="1" customWidth="1"/>
    <col min="10" max="10" width="11" bestFit="1" customWidth="1"/>
  </cols>
  <sheetData>
    <row r="1" spans="1:15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5" x14ac:dyDescent="0.25">
      <c r="A2" s="11">
        <v>1002</v>
      </c>
      <c r="B2" s="12">
        <v>46174</v>
      </c>
      <c r="C2" s="13" t="s">
        <v>10</v>
      </c>
      <c r="D2" s="13" t="s">
        <v>11</v>
      </c>
      <c r="E2" s="13" t="s">
        <v>12</v>
      </c>
      <c r="F2" s="13" t="s">
        <v>13</v>
      </c>
      <c r="G2" s="11">
        <v>1</v>
      </c>
      <c r="H2" s="14">
        <v>351</v>
      </c>
      <c r="I2" s="11">
        <v>15</v>
      </c>
      <c r="J2" s="13" t="s">
        <v>14</v>
      </c>
      <c r="O2" t="e" cm="1">
        <f t="array" ref="O2">_xlfn._xlws.FILTER(A2:J101,(J2:J101="Completed")*(Table3567[[#All],[Region]]="Dhaka"))</f>
        <v>#VALUE!</v>
      </c>
    </row>
    <row r="3" spans="1:15" x14ac:dyDescent="0.25">
      <c r="A3" s="16">
        <v>1003</v>
      </c>
      <c r="B3" s="17">
        <v>46122</v>
      </c>
      <c r="C3" s="18" t="s">
        <v>15</v>
      </c>
      <c r="D3" s="18" t="s">
        <v>16</v>
      </c>
      <c r="E3" s="18" t="s">
        <v>17</v>
      </c>
      <c r="F3" s="18" t="s">
        <v>18</v>
      </c>
      <c r="G3" s="16">
        <v>3</v>
      </c>
      <c r="H3" s="19">
        <v>1736</v>
      </c>
      <c r="I3" s="16">
        <v>5</v>
      </c>
      <c r="J3" s="18" t="s">
        <v>19</v>
      </c>
    </row>
    <row r="4" spans="1:15" x14ac:dyDescent="0.25">
      <c r="A4" s="11">
        <v>1004</v>
      </c>
      <c r="B4" s="12">
        <v>46116</v>
      </c>
      <c r="C4" s="13" t="s">
        <v>20</v>
      </c>
      <c r="D4" s="13" t="s">
        <v>21</v>
      </c>
      <c r="E4" s="13" t="s">
        <v>22</v>
      </c>
      <c r="F4" s="13" t="s">
        <v>23</v>
      </c>
      <c r="G4" s="11">
        <v>4</v>
      </c>
      <c r="H4" s="14">
        <v>1799</v>
      </c>
      <c r="I4" s="11">
        <v>10</v>
      </c>
      <c r="J4" s="13" t="s">
        <v>14</v>
      </c>
    </row>
    <row r="5" spans="1:15" x14ac:dyDescent="0.25">
      <c r="A5" s="16">
        <v>1005</v>
      </c>
      <c r="B5" s="17">
        <v>46199</v>
      </c>
      <c r="C5" s="18" t="s">
        <v>10</v>
      </c>
      <c r="D5" s="18" t="s">
        <v>24</v>
      </c>
      <c r="E5" s="18" t="s">
        <v>25</v>
      </c>
      <c r="F5" s="18" t="s">
        <v>18</v>
      </c>
      <c r="G5" s="16">
        <v>5</v>
      </c>
      <c r="H5" s="19">
        <v>1140</v>
      </c>
      <c r="I5" s="16">
        <v>5</v>
      </c>
      <c r="J5" s="18" t="s">
        <v>14</v>
      </c>
    </row>
    <row r="6" spans="1:15" x14ac:dyDescent="0.25">
      <c r="A6" s="11">
        <v>1006</v>
      </c>
      <c r="B6" s="12">
        <v>46158</v>
      </c>
      <c r="C6" s="13" t="s">
        <v>20</v>
      </c>
      <c r="D6" s="13" t="s">
        <v>21</v>
      </c>
      <c r="E6" s="13" t="s">
        <v>25</v>
      </c>
      <c r="F6" s="13" t="s">
        <v>18</v>
      </c>
      <c r="G6" s="11">
        <v>8</v>
      </c>
      <c r="H6" s="14">
        <v>1618</v>
      </c>
      <c r="I6" s="11">
        <v>15</v>
      </c>
      <c r="J6" s="13" t="s">
        <v>19</v>
      </c>
    </row>
    <row r="7" spans="1:15" x14ac:dyDescent="0.25">
      <c r="A7" s="16">
        <v>1007</v>
      </c>
      <c r="B7" s="17">
        <v>46106</v>
      </c>
      <c r="C7" s="18" t="s">
        <v>10</v>
      </c>
      <c r="D7" s="18" t="s">
        <v>16</v>
      </c>
      <c r="E7" s="18" t="s">
        <v>26</v>
      </c>
      <c r="F7" s="18" t="s">
        <v>23</v>
      </c>
      <c r="G7" s="16">
        <v>8</v>
      </c>
      <c r="H7" s="19">
        <v>297</v>
      </c>
      <c r="I7" s="16">
        <v>10</v>
      </c>
      <c r="J7" s="18" t="s">
        <v>27</v>
      </c>
    </row>
    <row r="8" spans="1:15" x14ac:dyDescent="0.25">
      <c r="A8" s="11">
        <v>1008</v>
      </c>
      <c r="B8" s="12">
        <v>46127</v>
      </c>
      <c r="C8" s="13" t="s">
        <v>15</v>
      </c>
      <c r="D8" s="13" t="s">
        <v>28</v>
      </c>
      <c r="E8" s="13" t="s">
        <v>17</v>
      </c>
      <c r="F8" s="13" t="s">
        <v>18</v>
      </c>
      <c r="G8" s="11">
        <v>1</v>
      </c>
      <c r="H8" s="14">
        <v>1768</v>
      </c>
      <c r="I8" s="11">
        <v>5</v>
      </c>
      <c r="J8" s="13" t="s">
        <v>19</v>
      </c>
    </row>
    <row r="9" spans="1:15" x14ac:dyDescent="0.25">
      <c r="A9" s="16">
        <v>1009</v>
      </c>
      <c r="B9" s="17">
        <v>46192</v>
      </c>
      <c r="C9" s="18" t="s">
        <v>29</v>
      </c>
      <c r="D9" s="18" t="s">
        <v>24</v>
      </c>
      <c r="E9" s="18" t="s">
        <v>12</v>
      </c>
      <c r="F9" s="18" t="s">
        <v>13</v>
      </c>
      <c r="G9" s="16">
        <v>3</v>
      </c>
      <c r="H9" s="19">
        <v>1291</v>
      </c>
      <c r="I9" s="16">
        <v>15</v>
      </c>
      <c r="J9" s="18" t="s">
        <v>19</v>
      </c>
    </row>
    <row r="10" spans="1:15" x14ac:dyDescent="0.25">
      <c r="A10" s="11">
        <v>1010</v>
      </c>
      <c r="B10" s="12">
        <v>46167</v>
      </c>
      <c r="C10" s="13" t="s">
        <v>29</v>
      </c>
      <c r="D10" s="13" t="s">
        <v>11</v>
      </c>
      <c r="E10" s="13" t="s">
        <v>17</v>
      </c>
      <c r="F10" s="13" t="s">
        <v>18</v>
      </c>
      <c r="G10" s="11">
        <v>3</v>
      </c>
      <c r="H10" s="14">
        <v>1332</v>
      </c>
      <c r="I10" s="11">
        <v>5</v>
      </c>
      <c r="J10" s="13" t="s">
        <v>27</v>
      </c>
    </row>
    <row r="11" spans="1:15" x14ac:dyDescent="0.25">
      <c r="A11" s="16">
        <v>1011</v>
      </c>
      <c r="B11" s="17">
        <v>46090</v>
      </c>
      <c r="C11" s="18" t="s">
        <v>15</v>
      </c>
      <c r="D11" s="18" t="s">
        <v>16</v>
      </c>
      <c r="E11" s="18" t="s">
        <v>12</v>
      </c>
      <c r="F11" s="18" t="s">
        <v>13</v>
      </c>
      <c r="G11" s="16">
        <v>5</v>
      </c>
      <c r="H11" s="19">
        <v>1764</v>
      </c>
      <c r="I11" s="16">
        <v>10</v>
      </c>
      <c r="J11" s="18" t="s">
        <v>19</v>
      </c>
    </row>
    <row r="12" spans="1:15" x14ac:dyDescent="0.25">
      <c r="A12" s="11">
        <v>1012</v>
      </c>
      <c r="B12" s="12">
        <v>46034</v>
      </c>
      <c r="C12" s="13" t="s">
        <v>10</v>
      </c>
      <c r="D12" s="13" t="s">
        <v>30</v>
      </c>
      <c r="E12" s="13" t="s">
        <v>12</v>
      </c>
      <c r="F12" s="13" t="s">
        <v>13</v>
      </c>
      <c r="G12" s="11">
        <v>3</v>
      </c>
      <c r="H12" s="14">
        <v>139</v>
      </c>
      <c r="I12" s="11">
        <v>10</v>
      </c>
      <c r="J12" s="13" t="s">
        <v>19</v>
      </c>
    </row>
    <row r="13" spans="1:15" x14ac:dyDescent="0.25">
      <c r="A13" s="16">
        <v>1013</v>
      </c>
      <c r="B13" s="17">
        <v>46087</v>
      </c>
      <c r="C13" s="18" t="s">
        <v>29</v>
      </c>
      <c r="D13" s="18" t="s">
        <v>11</v>
      </c>
      <c r="E13" s="18" t="s">
        <v>31</v>
      </c>
      <c r="F13" s="18" t="s">
        <v>13</v>
      </c>
      <c r="G13" s="16">
        <v>8</v>
      </c>
      <c r="H13" s="19">
        <v>130</v>
      </c>
      <c r="I13" s="16">
        <v>10</v>
      </c>
      <c r="J13" s="18" t="s">
        <v>27</v>
      </c>
    </row>
    <row r="14" spans="1:15" x14ac:dyDescent="0.25">
      <c r="A14" s="11">
        <v>1014</v>
      </c>
      <c r="B14" s="12">
        <v>46061</v>
      </c>
      <c r="C14" s="13" t="s">
        <v>15</v>
      </c>
      <c r="D14" s="13" t="s">
        <v>24</v>
      </c>
      <c r="E14" s="13" t="s">
        <v>12</v>
      </c>
      <c r="F14" s="13" t="s">
        <v>13</v>
      </c>
      <c r="G14" s="11">
        <v>10</v>
      </c>
      <c r="H14" s="14">
        <v>1571</v>
      </c>
      <c r="I14" s="11">
        <v>15</v>
      </c>
      <c r="J14" s="13" t="s">
        <v>19</v>
      </c>
    </row>
    <row r="15" spans="1:15" x14ac:dyDescent="0.25">
      <c r="A15" s="16">
        <v>1015</v>
      </c>
      <c r="B15" s="17">
        <v>46102</v>
      </c>
      <c r="C15" s="18" t="s">
        <v>29</v>
      </c>
      <c r="D15" s="18" t="s">
        <v>21</v>
      </c>
      <c r="E15" s="18" t="s">
        <v>12</v>
      </c>
      <c r="F15" s="18" t="s">
        <v>13</v>
      </c>
      <c r="G15" s="16">
        <v>3</v>
      </c>
      <c r="H15" s="19">
        <v>285</v>
      </c>
      <c r="I15" s="16">
        <v>0</v>
      </c>
      <c r="J15" s="18" t="s">
        <v>14</v>
      </c>
    </row>
    <row r="16" spans="1:15" x14ac:dyDescent="0.25">
      <c r="A16" s="11">
        <v>1016</v>
      </c>
      <c r="B16" s="12">
        <v>46169</v>
      </c>
      <c r="C16" s="13" t="s">
        <v>10</v>
      </c>
      <c r="D16" s="13" t="s">
        <v>16</v>
      </c>
      <c r="E16" s="13" t="s">
        <v>12</v>
      </c>
      <c r="F16" s="13" t="s">
        <v>13</v>
      </c>
      <c r="G16" s="11">
        <v>3</v>
      </c>
      <c r="H16" s="14">
        <v>1228</v>
      </c>
      <c r="I16" s="11">
        <v>0</v>
      </c>
      <c r="J16" s="13" t="s">
        <v>19</v>
      </c>
    </row>
    <row r="17" spans="1:10" x14ac:dyDescent="0.25">
      <c r="A17" s="16">
        <v>1017</v>
      </c>
      <c r="B17" s="17">
        <v>46101</v>
      </c>
      <c r="C17" s="18" t="s">
        <v>10</v>
      </c>
      <c r="D17" s="18" t="s">
        <v>21</v>
      </c>
      <c r="E17" s="18" t="s">
        <v>17</v>
      </c>
      <c r="F17" s="18" t="s">
        <v>18</v>
      </c>
      <c r="G17" s="16">
        <v>9</v>
      </c>
      <c r="H17" s="19">
        <v>1797</v>
      </c>
      <c r="I17" s="16">
        <v>15</v>
      </c>
      <c r="J17" s="18" t="s">
        <v>27</v>
      </c>
    </row>
    <row r="18" spans="1:10" x14ac:dyDescent="0.25">
      <c r="A18" s="11">
        <v>1018</v>
      </c>
      <c r="B18" s="12">
        <v>46144</v>
      </c>
      <c r="C18" s="13" t="s">
        <v>20</v>
      </c>
      <c r="D18" s="13" t="s">
        <v>24</v>
      </c>
      <c r="E18" s="13" t="s">
        <v>31</v>
      </c>
      <c r="F18" s="13" t="s">
        <v>13</v>
      </c>
      <c r="G18" s="11">
        <v>5</v>
      </c>
      <c r="H18" s="14">
        <v>537</v>
      </c>
      <c r="I18" s="11">
        <v>15</v>
      </c>
      <c r="J18" s="13" t="s">
        <v>27</v>
      </c>
    </row>
    <row r="19" spans="1:10" x14ac:dyDescent="0.25">
      <c r="A19" s="16">
        <v>1019</v>
      </c>
      <c r="B19" s="17">
        <v>46046</v>
      </c>
      <c r="C19" s="18" t="s">
        <v>20</v>
      </c>
      <c r="D19" s="18" t="s">
        <v>11</v>
      </c>
      <c r="E19" s="18" t="s">
        <v>17</v>
      </c>
      <c r="F19" s="18" t="s">
        <v>18</v>
      </c>
      <c r="G19" s="16">
        <v>8</v>
      </c>
      <c r="H19" s="19">
        <v>1454</v>
      </c>
      <c r="I19" s="16">
        <v>5</v>
      </c>
      <c r="J19" s="18" t="s">
        <v>19</v>
      </c>
    </row>
    <row r="20" spans="1:10" x14ac:dyDescent="0.25">
      <c r="A20" s="11">
        <v>1020</v>
      </c>
      <c r="B20" s="12">
        <v>46125</v>
      </c>
      <c r="C20" s="13" t="s">
        <v>20</v>
      </c>
      <c r="D20" s="13" t="s">
        <v>21</v>
      </c>
      <c r="E20" s="13" t="s">
        <v>12</v>
      </c>
      <c r="F20" s="13" t="s">
        <v>13</v>
      </c>
      <c r="G20" s="11">
        <v>3</v>
      </c>
      <c r="H20" s="14">
        <v>1365</v>
      </c>
      <c r="I20" s="11">
        <v>10</v>
      </c>
      <c r="J20" s="13" t="s">
        <v>27</v>
      </c>
    </row>
    <row r="21" spans="1:10" x14ac:dyDescent="0.25">
      <c r="A21" s="16">
        <v>1021</v>
      </c>
      <c r="B21" s="17">
        <v>46118</v>
      </c>
      <c r="C21" s="18" t="s">
        <v>20</v>
      </c>
      <c r="D21" s="18" t="s">
        <v>24</v>
      </c>
      <c r="E21" s="18" t="s">
        <v>17</v>
      </c>
      <c r="F21" s="18" t="s">
        <v>18</v>
      </c>
      <c r="G21" s="16">
        <v>9</v>
      </c>
      <c r="H21" s="19">
        <v>231</v>
      </c>
      <c r="I21" s="16">
        <v>15</v>
      </c>
      <c r="J21" s="18" t="s">
        <v>27</v>
      </c>
    </row>
    <row r="22" spans="1:10" x14ac:dyDescent="0.25">
      <c r="A22" s="11">
        <v>1022</v>
      </c>
      <c r="B22" s="12">
        <v>46166</v>
      </c>
      <c r="C22" s="13" t="s">
        <v>20</v>
      </c>
      <c r="D22" s="13" t="s">
        <v>24</v>
      </c>
      <c r="E22" s="13" t="s">
        <v>26</v>
      </c>
      <c r="F22" s="13" t="s">
        <v>23</v>
      </c>
      <c r="G22" s="11">
        <v>8</v>
      </c>
      <c r="H22" s="14">
        <v>1171</v>
      </c>
      <c r="I22" s="11">
        <v>15</v>
      </c>
      <c r="J22" s="13" t="s">
        <v>19</v>
      </c>
    </row>
    <row r="23" spans="1:10" x14ac:dyDescent="0.25">
      <c r="A23" s="16">
        <v>1023</v>
      </c>
      <c r="B23" s="17">
        <v>46184</v>
      </c>
      <c r="C23" s="18" t="s">
        <v>15</v>
      </c>
      <c r="D23" s="18" t="s">
        <v>21</v>
      </c>
      <c r="E23" s="18" t="s">
        <v>22</v>
      </c>
      <c r="F23" s="18" t="s">
        <v>23</v>
      </c>
      <c r="G23" s="16">
        <v>6</v>
      </c>
      <c r="H23" s="19">
        <v>529</v>
      </c>
      <c r="I23" s="16">
        <v>10</v>
      </c>
      <c r="J23" s="18" t="s">
        <v>19</v>
      </c>
    </row>
    <row r="24" spans="1:10" x14ac:dyDescent="0.25">
      <c r="A24" s="11">
        <v>1024</v>
      </c>
      <c r="B24" s="12">
        <v>46100</v>
      </c>
      <c r="C24" s="13" t="s">
        <v>15</v>
      </c>
      <c r="D24" s="13" t="s">
        <v>21</v>
      </c>
      <c r="E24" s="13" t="s">
        <v>12</v>
      </c>
      <c r="F24" s="13" t="s">
        <v>13</v>
      </c>
      <c r="G24" s="11">
        <v>5</v>
      </c>
      <c r="H24" s="14">
        <v>1578</v>
      </c>
      <c r="I24" s="11">
        <v>15</v>
      </c>
      <c r="J24" s="13" t="s">
        <v>27</v>
      </c>
    </row>
    <row r="25" spans="1:10" x14ac:dyDescent="0.25">
      <c r="A25" s="16">
        <v>1025</v>
      </c>
      <c r="B25" s="17">
        <v>46142</v>
      </c>
      <c r="C25" s="18" t="s">
        <v>10</v>
      </c>
      <c r="D25" s="18" t="s">
        <v>16</v>
      </c>
      <c r="E25" s="18" t="s">
        <v>12</v>
      </c>
      <c r="F25" s="18" t="s">
        <v>13</v>
      </c>
      <c r="G25" s="16">
        <v>1</v>
      </c>
      <c r="H25" s="19">
        <v>1953</v>
      </c>
      <c r="I25" s="16">
        <v>5</v>
      </c>
      <c r="J25" s="18" t="s">
        <v>19</v>
      </c>
    </row>
    <row r="26" spans="1:10" x14ac:dyDescent="0.25">
      <c r="A26" s="11">
        <v>1026</v>
      </c>
      <c r="B26" s="12">
        <v>46195</v>
      </c>
      <c r="C26" s="13" t="s">
        <v>15</v>
      </c>
      <c r="D26" s="13" t="s">
        <v>21</v>
      </c>
      <c r="E26" s="13" t="s">
        <v>31</v>
      </c>
      <c r="F26" s="13" t="s">
        <v>13</v>
      </c>
      <c r="G26" s="11">
        <v>4</v>
      </c>
      <c r="H26" s="14">
        <v>1360</v>
      </c>
      <c r="I26" s="11">
        <v>15</v>
      </c>
      <c r="J26" s="13" t="s">
        <v>14</v>
      </c>
    </row>
    <row r="27" spans="1:10" x14ac:dyDescent="0.25">
      <c r="A27" s="16">
        <v>1027</v>
      </c>
      <c r="B27" s="17">
        <v>46135</v>
      </c>
      <c r="C27" s="18" t="s">
        <v>29</v>
      </c>
      <c r="D27" s="18" t="s">
        <v>28</v>
      </c>
      <c r="E27" s="18" t="s">
        <v>17</v>
      </c>
      <c r="F27" s="18" t="s">
        <v>18</v>
      </c>
      <c r="G27" s="16">
        <v>3</v>
      </c>
      <c r="H27" s="19">
        <v>1195</v>
      </c>
      <c r="I27" s="16">
        <v>10</v>
      </c>
      <c r="J27" s="18" t="s">
        <v>14</v>
      </c>
    </row>
    <row r="28" spans="1:10" x14ac:dyDescent="0.25">
      <c r="A28" s="11">
        <v>1028</v>
      </c>
      <c r="B28" s="12">
        <v>46058</v>
      </c>
      <c r="C28" s="13" t="s">
        <v>10</v>
      </c>
      <c r="D28" s="13" t="s">
        <v>11</v>
      </c>
      <c r="E28" s="13" t="s">
        <v>12</v>
      </c>
      <c r="F28" s="13" t="s">
        <v>13</v>
      </c>
      <c r="G28" s="11">
        <v>8</v>
      </c>
      <c r="H28" s="14">
        <v>1103</v>
      </c>
      <c r="I28" s="11">
        <v>0</v>
      </c>
      <c r="J28" s="13" t="s">
        <v>14</v>
      </c>
    </row>
    <row r="29" spans="1:10" x14ac:dyDescent="0.25">
      <c r="A29" s="16">
        <v>1029</v>
      </c>
      <c r="B29" s="17">
        <v>46046</v>
      </c>
      <c r="C29" s="18" t="s">
        <v>29</v>
      </c>
      <c r="D29" s="18" t="s">
        <v>28</v>
      </c>
      <c r="E29" s="18" t="s">
        <v>31</v>
      </c>
      <c r="F29" s="18" t="s">
        <v>13</v>
      </c>
      <c r="G29" s="16">
        <v>10</v>
      </c>
      <c r="H29" s="19">
        <v>1244</v>
      </c>
      <c r="I29" s="16">
        <v>15</v>
      </c>
      <c r="J29" s="18" t="s">
        <v>19</v>
      </c>
    </row>
    <row r="30" spans="1:10" x14ac:dyDescent="0.25">
      <c r="A30" s="11">
        <v>1030</v>
      </c>
      <c r="B30" s="12">
        <v>46067</v>
      </c>
      <c r="C30" s="13" t="s">
        <v>10</v>
      </c>
      <c r="D30" s="13" t="s">
        <v>21</v>
      </c>
      <c r="E30" s="13" t="s">
        <v>26</v>
      </c>
      <c r="F30" s="13" t="s">
        <v>23</v>
      </c>
      <c r="G30" s="11">
        <v>2</v>
      </c>
      <c r="H30" s="14">
        <v>1531</v>
      </c>
      <c r="I30" s="11">
        <v>0</v>
      </c>
      <c r="J30" s="13" t="s">
        <v>27</v>
      </c>
    </row>
    <row r="31" spans="1:10" x14ac:dyDescent="0.25">
      <c r="A31" s="16">
        <v>1031</v>
      </c>
      <c r="B31" s="17">
        <v>46134</v>
      </c>
      <c r="C31" s="18" t="s">
        <v>29</v>
      </c>
      <c r="D31" s="18" t="s">
        <v>24</v>
      </c>
      <c r="E31" s="18" t="s">
        <v>22</v>
      </c>
      <c r="F31" s="18" t="s">
        <v>23</v>
      </c>
      <c r="G31" s="16">
        <v>8</v>
      </c>
      <c r="H31" s="19">
        <v>550</v>
      </c>
      <c r="I31" s="16">
        <v>10</v>
      </c>
      <c r="J31" s="18" t="s">
        <v>19</v>
      </c>
    </row>
    <row r="32" spans="1:10" x14ac:dyDescent="0.25">
      <c r="A32" s="11">
        <v>1032</v>
      </c>
      <c r="B32" s="12">
        <v>46121</v>
      </c>
      <c r="C32" s="13" t="s">
        <v>20</v>
      </c>
      <c r="D32" s="13" t="s">
        <v>30</v>
      </c>
      <c r="E32" s="13" t="s">
        <v>25</v>
      </c>
      <c r="F32" s="13" t="s">
        <v>18</v>
      </c>
      <c r="G32" s="11">
        <v>5</v>
      </c>
      <c r="H32" s="14">
        <v>758</v>
      </c>
      <c r="I32" s="11">
        <v>10</v>
      </c>
      <c r="J32" s="13" t="s">
        <v>19</v>
      </c>
    </row>
    <row r="33" spans="1:10" x14ac:dyDescent="0.25">
      <c r="A33" s="16">
        <v>1033</v>
      </c>
      <c r="B33" s="17">
        <v>46124</v>
      </c>
      <c r="C33" s="18" t="s">
        <v>15</v>
      </c>
      <c r="D33" s="18" t="s">
        <v>30</v>
      </c>
      <c r="E33" s="18" t="s">
        <v>26</v>
      </c>
      <c r="F33" s="18" t="s">
        <v>23</v>
      </c>
      <c r="G33" s="16">
        <v>1</v>
      </c>
      <c r="H33" s="19">
        <v>1961</v>
      </c>
      <c r="I33" s="16">
        <v>0</v>
      </c>
      <c r="J33" s="18" t="s">
        <v>14</v>
      </c>
    </row>
    <row r="34" spans="1:10" x14ac:dyDescent="0.25">
      <c r="A34" s="11">
        <v>1034</v>
      </c>
      <c r="B34" s="12">
        <v>46041</v>
      </c>
      <c r="C34" s="13" t="s">
        <v>20</v>
      </c>
      <c r="D34" s="13" t="s">
        <v>24</v>
      </c>
      <c r="E34" s="13" t="s">
        <v>31</v>
      </c>
      <c r="F34" s="13" t="s">
        <v>13</v>
      </c>
      <c r="G34" s="11">
        <v>1</v>
      </c>
      <c r="H34" s="14">
        <v>1578</v>
      </c>
      <c r="I34" s="11">
        <v>15</v>
      </c>
      <c r="J34" s="13" t="s">
        <v>27</v>
      </c>
    </row>
    <row r="35" spans="1:10" x14ac:dyDescent="0.25">
      <c r="A35" s="16">
        <v>1035</v>
      </c>
      <c r="B35" s="17">
        <v>46173</v>
      </c>
      <c r="C35" s="18" t="s">
        <v>29</v>
      </c>
      <c r="D35" s="18" t="s">
        <v>21</v>
      </c>
      <c r="E35" s="18" t="s">
        <v>17</v>
      </c>
      <c r="F35" s="18" t="s">
        <v>18</v>
      </c>
      <c r="G35" s="16">
        <v>4</v>
      </c>
      <c r="H35" s="19">
        <v>1219</v>
      </c>
      <c r="I35" s="16">
        <v>10</v>
      </c>
      <c r="J35" s="18" t="s">
        <v>14</v>
      </c>
    </row>
    <row r="36" spans="1:10" x14ac:dyDescent="0.25">
      <c r="A36" s="11">
        <v>1036</v>
      </c>
      <c r="B36" s="12">
        <v>46168</v>
      </c>
      <c r="C36" s="13" t="s">
        <v>29</v>
      </c>
      <c r="D36" s="13" t="s">
        <v>30</v>
      </c>
      <c r="E36" s="13" t="s">
        <v>12</v>
      </c>
      <c r="F36" s="13" t="s">
        <v>13</v>
      </c>
      <c r="G36" s="11">
        <v>3</v>
      </c>
      <c r="H36" s="14">
        <v>1586</v>
      </c>
      <c r="I36" s="11">
        <v>5</v>
      </c>
      <c r="J36" s="13" t="s">
        <v>27</v>
      </c>
    </row>
    <row r="37" spans="1:10" x14ac:dyDescent="0.25">
      <c r="A37" s="16">
        <v>1037</v>
      </c>
      <c r="B37" s="17">
        <v>46163</v>
      </c>
      <c r="C37" s="18" t="s">
        <v>15</v>
      </c>
      <c r="D37" s="18" t="s">
        <v>11</v>
      </c>
      <c r="E37" s="18" t="s">
        <v>26</v>
      </c>
      <c r="F37" s="18" t="s">
        <v>23</v>
      </c>
      <c r="G37" s="16">
        <v>10</v>
      </c>
      <c r="H37" s="19">
        <v>1260</v>
      </c>
      <c r="I37" s="16">
        <v>15</v>
      </c>
      <c r="J37" s="18" t="s">
        <v>19</v>
      </c>
    </row>
    <row r="38" spans="1:10" x14ac:dyDescent="0.25">
      <c r="A38" s="11">
        <v>1038</v>
      </c>
      <c r="B38" s="12">
        <v>46113</v>
      </c>
      <c r="C38" s="13" t="s">
        <v>29</v>
      </c>
      <c r="D38" s="13" t="s">
        <v>16</v>
      </c>
      <c r="E38" s="13" t="s">
        <v>12</v>
      </c>
      <c r="F38" s="13" t="s">
        <v>13</v>
      </c>
      <c r="G38" s="11">
        <v>1</v>
      </c>
      <c r="H38" s="14">
        <v>1671</v>
      </c>
      <c r="I38" s="11">
        <v>10</v>
      </c>
      <c r="J38" s="13" t="s">
        <v>27</v>
      </c>
    </row>
    <row r="39" spans="1:10" x14ac:dyDescent="0.25">
      <c r="A39" s="16">
        <v>1039</v>
      </c>
      <c r="B39" s="17">
        <v>46064</v>
      </c>
      <c r="C39" s="18" t="s">
        <v>15</v>
      </c>
      <c r="D39" s="18" t="s">
        <v>30</v>
      </c>
      <c r="E39" s="18" t="s">
        <v>31</v>
      </c>
      <c r="F39" s="18" t="s">
        <v>13</v>
      </c>
      <c r="G39" s="16">
        <v>5</v>
      </c>
      <c r="H39" s="19">
        <v>1309</v>
      </c>
      <c r="I39" s="16">
        <v>10</v>
      </c>
      <c r="J39" s="18" t="s">
        <v>14</v>
      </c>
    </row>
    <row r="40" spans="1:10" x14ac:dyDescent="0.25">
      <c r="A40" s="11">
        <v>1040</v>
      </c>
      <c r="B40" s="12">
        <v>46143</v>
      </c>
      <c r="C40" s="13" t="s">
        <v>15</v>
      </c>
      <c r="D40" s="13" t="s">
        <v>24</v>
      </c>
      <c r="E40" s="13" t="s">
        <v>12</v>
      </c>
      <c r="F40" s="13" t="s">
        <v>13</v>
      </c>
      <c r="G40" s="11">
        <v>9</v>
      </c>
      <c r="H40" s="14">
        <v>585</v>
      </c>
      <c r="I40" s="11">
        <v>15</v>
      </c>
      <c r="J40" s="13" t="s">
        <v>19</v>
      </c>
    </row>
    <row r="41" spans="1:10" x14ac:dyDescent="0.25">
      <c r="A41" s="16">
        <v>1041</v>
      </c>
      <c r="B41" s="17">
        <v>46128</v>
      </c>
      <c r="C41" s="18" t="s">
        <v>15</v>
      </c>
      <c r="D41" s="18" t="s">
        <v>21</v>
      </c>
      <c r="E41" s="18" t="s">
        <v>17</v>
      </c>
      <c r="F41" s="18" t="s">
        <v>18</v>
      </c>
      <c r="G41" s="16">
        <v>10</v>
      </c>
      <c r="H41" s="19">
        <v>1600</v>
      </c>
      <c r="I41" s="16">
        <v>15</v>
      </c>
      <c r="J41" s="18" t="s">
        <v>14</v>
      </c>
    </row>
    <row r="42" spans="1:10" x14ac:dyDescent="0.25">
      <c r="A42" s="11">
        <v>1042</v>
      </c>
      <c r="B42" s="12">
        <v>46029</v>
      </c>
      <c r="C42" s="13" t="s">
        <v>29</v>
      </c>
      <c r="D42" s="13" t="s">
        <v>21</v>
      </c>
      <c r="E42" s="13" t="s">
        <v>22</v>
      </c>
      <c r="F42" s="13" t="s">
        <v>23</v>
      </c>
      <c r="G42" s="11">
        <v>7</v>
      </c>
      <c r="H42" s="14">
        <v>793</v>
      </c>
      <c r="I42" s="11">
        <v>0</v>
      </c>
      <c r="J42" s="13" t="s">
        <v>19</v>
      </c>
    </row>
    <row r="43" spans="1:10" x14ac:dyDescent="0.25">
      <c r="A43" s="16">
        <v>1043</v>
      </c>
      <c r="B43" s="17">
        <v>46190</v>
      </c>
      <c r="C43" s="18" t="s">
        <v>15</v>
      </c>
      <c r="D43" s="18" t="s">
        <v>28</v>
      </c>
      <c r="E43" s="18" t="s">
        <v>26</v>
      </c>
      <c r="F43" s="18" t="s">
        <v>23</v>
      </c>
      <c r="G43" s="16">
        <v>8</v>
      </c>
      <c r="H43" s="19">
        <v>103</v>
      </c>
      <c r="I43" s="16">
        <v>5</v>
      </c>
      <c r="J43" s="18" t="s">
        <v>27</v>
      </c>
    </row>
    <row r="44" spans="1:10" x14ac:dyDescent="0.25">
      <c r="A44" s="11">
        <v>1044</v>
      </c>
      <c r="B44" s="12">
        <v>46082</v>
      </c>
      <c r="C44" s="13" t="s">
        <v>10</v>
      </c>
      <c r="D44" s="13" t="s">
        <v>11</v>
      </c>
      <c r="E44" s="13" t="s">
        <v>12</v>
      </c>
      <c r="F44" s="13" t="s">
        <v>13</v>
      </c>
      <c r="G44" s="11">
        <v>9</v>
      </c>
      <c r="H44" s="14">
        <v>230</v>
      </c>
      <c r="I44" s="11">
        <v>0</v>
      </c>
      <c r="J44" s="13" t="s">
        <v>14</v>
      </c>
    </row>
    <row r="45" spans="1:10" x14ac:dyDescent="0.25">
      <c r="A45" s="16">
        <v>1045</v>
      </c>
      <c r="B45" s="17">
        <v>46129</v>
      </c>
      <c r="C45" s="18" t="s">
        <v>10</v>
      </c>
      <c r="D45" s="18" t="s">
        <v>30</v>
      </c>
      <c r="E45" s="18" t="s">
        <v>26</v>
      </c>
      <c r="F45" s="18" t="s">
        <v>23</v>
      </c>
      <c r="G45" s="16">
        <v>8</v>
      </c>
      <c r="H45" s="19">
        <v>1544</v>
      </c>
      <c r="I45" s="16">
        <v>10</v>
      </c>
      <c r="J45" s="18" t="s">
        <v>27</v>
      </c>
    </row>
    <row r="46" spans="1:10" x14ac:dyDescent="0.25">
      <c r="A46" s="11">
        <v>1046</v>
      </c>
      <c r="B46" s="12">
        <v>46194</v>
      </c>
      <c r="C46" s="13" t="s">
        <v>20</v>
      </c>
      <c r="D46" s="13" t="s">
        <v>11</v>
      </c>
      <c r="E46" s="13" t="s">
        <v>25</v>
      </c>
      <c r="F46" s="13" t="s">
        <v>18</v>
      </c>
      <c r="G46" s="11">
        <v>7</v>
      </c>
      <c r="H46" s="14">
        <v>808</v>
      </c>
      <c r="I46" s="11">
        <v>5</v>
      </c>
      <c r="J46" s="13" t="s">
        <v>27</v>
      </c>
    </row>
    <row r="47" spans="1:10" x14ac:dyDescent="0.25">
      <c r="A47" s="16">
        <v>1047</v>
      </c>
      <c r="B47" s="17">
        <v>46125</v>
      </c>
      <c r="C47" s="18" t="s">
        <v>20</v>
      </c>
      <c r="D47" s="18" t="s">
        <v>30</v>
      </c>
      <c r="E47" s="18" t="s">
        <v>26</v>
      </c>
      <c r="F47" s="18" t="s">
        <v>23</v>
      </c>
      <c r="G47" s="16">
        <v>7</v>
      </c>
      <c r="H47" s="19">
        <v>1860</v>
      </c>
      <c r="I47" s="16">
        <v>10</v>
      </c>
      <c r="J47" s="18" t="s">
        <v>27</v>
      </c>
    </row>
    <row r="48" spans="1:10" x14ac:dyDescent="0.25">
      <c r="A48" s="11">
        <v>1048</v>
      </c>
      <c r="B48" s="12">
        <v>46152</v>
      </c>
      <c r="C48" s="13" t="s">
        <v>20</v>
      </c>
      <c r="D48" s="13" t="s">
        <v>28</v>
      </c>
      <c r="E48" s="13" t="s">
        <v>17</v>
      </c>
      <c r="F48" s="13" t="s">
        <v>18</v>
      </c>
      <c r="G48" s="11">
        <v>4</v>
      </c>
      <c r="H48" s="14">
        <v>1521</v>
      </c>
      <c r="I48" s="11">
        <v>5</v>
      </c>
      <c r="J48" s="13" t="s">
        <v>19</v>
      </c>
    </row>
    <row r="49" spans="1:10" x14ac:dyDescent="0.25">
      <c r="A49" s="16">
        <v>1049</v>
      </c>
      <c r="B49" s="17">
        <v>46168</v>
      </c>
      <c r="C49" s="18" t="s">
        <v>20</v>
      </c>
      <c r="D49" s="18" t="s">
        <v>21</v>
      </c>
      <c r="E49" s="18" t="s">
        <v>17</v>
      </c>
      <c r="F49" s="18" t="s">
        <v>18</v>
      </c>
      <c r="G49" s="16">
        <v>3</v>
      </c>
      <c r="H49" s="19">
        <v>1023</v>
      </c>
      <c r="I49" s="16">
        <v>15</v>
      </c>
      <c r="J49" s="18" t="s">
        <v>14</v>
      </c>
    </row>
    <row r="50" spans="1:10" x14ac:dyDescent="0.25">
      <c r="A50" s="11">
        <v>1050</v>
      </c>
      <c r="B50" s="12">
        <v>46099</v>
      </c>
      <c r="C50" s="13" t="s">
        <v>10</v>
      </c>
      <c r="D50" s="13" t="s">
        <v>24</v>
      </c>
      <c r="E50" s="13" t="s">
        <v>31</v>
      </c>
      <c r="F50" s="13" t="s">
        <v>13</v>
      </c>
      <c r="G50" s="11">
        <v>2</v>
      </c>
      <c r="H50" s="14">
        <v>244</v>
      </c>
      <c r="I50" s="11">
        <v>10</v>
      </c>
      <c r="J50" s="13" t="s">
        <v>27</v>
      </c>
    </row>
    <row r="51" spans="1:10" x14ac:dyDescent="0.25">
      <c r="A51" s="16">
        <v>1051</v>
      </c>
      <c r="B51" s="17">
        <v>46106</v>
      </c>
      <c r="C51" s="18" t="s">
        <v>29</v>
      </c>
      <c r="D51" s="18" t="s">
        <v>24</v>
      </c>
      <c r="E51" s="18" t="s">
        <v>12</v>
      </c>
      <c r="F51" s="18" t="s">
        <v>13</v>
      </c>
      <c r="G51" s="16">
        <v>9</v>
      </c>
      <c r="H51" s="19">
        <v>1413</v>
      </c>
      <c r="I51" s="16">
        <v>5</v>
      </c>
      <c r="J51" s="18" t="s">
        <v>27</v>
      </c>
    </row>
    <row r="52" spans="1:10" x14ac:dyDescent="0.25">
      <c r="A52" s="11">
        <v>1052</v>
      </c>
      <c r="B52" s="12">
        <v>46126</v>
      </c>
      <c r="C52" s="13" t="s">
        <v>20</v>
      </c>
      <c r="D52" s="13" t="s">
        <v>30</v>
      </c>
      <c r="E52" s="13" t="s">
        <v>31</v>
      </c>
      <c r="F52" s="13" t="s">
        <v>13</v>
      </c>
      <c r="G52" s="11">
        <v>2</v>
      </c>
      <c r="H52" s="14">
        <v>1431</v>
      </c>
      <c r="I52" s="11">
        <v>0</v>
      </c>
      <c r="J52" s="13" t="s">
        <v>14</v>
      </c>
    </row>
    <row r="53" spans="1:10" x14ac:dyDescent="0.25">
      <c r="A53" s="16">
        <v>1053</v>
      </c>
      <c r="B53" s="17">
        <v>46126</v>
      </c>
      <c r="C53" s="18" t="s">
        <v>20</v>
      </c>
      <c r="D53" s="18" t="s">
        <v>30</v>
      </c>
      <c r="E53" s="18" t="s">
        <v>31</v>
      </c>
      <c r="F53" s="18" t="s">
        <v>13</v>
      </c>
      <c r="G53" s="16">
        <v>2</v>
      </c>
      <c r="H53" s="19">
        <v>1573</v>
      </c>
      <c r="I53" s="16">
        <v>15</v>
      </c>
      <c r="J53" s="18" t="s">
        <v>27</v>
      </c>
    </row>
    <row r="54" spans="1:10" x14ac:dyDescent="0.25">
      <c r="A54" s="11">
        <v>1054</v>
      </c>
      <c r="B54" s="12">
        <v>46105</v>
      </c>
      <c r="C54" s="13" t="s">
        <v>20</v>
      </c>
      <c r="D54" s="13" t="s">
        <v>24</v>
      </c>
      <c r="E54" s="13" t="s">
        <v>12</v>
      </c>
      <c r="F54" s="13" t="s">
        <v>13</v>
      </c>
      <c r="G54" s="11">
        <v>7</v>
      </c>
      <c r="H54" s="14">
        <v>282</v>
      </c>
      <c r="I54" s="11">
        <v>0</v>
      </c>
      <c r="J54" s="13" t="s">
        <v>19</v>
      </c>
    </row>
    <row r="55" spans="1:10" x14ac:dyDescent="0.25">
      <c r="A55" s="16">
        <v>1055</v>
      </c>
      <c r="B55" s="17">
        <v>46174</v>
      </c>
      <c r="C55" s="18" t="s">
        <v>29</v>
      </c>
      <c r="D55" s="18" t="s">
        <v>24</v>
      </c>
      <c r="E55" s="18" t="s">
        <v>31</v>
      </c>
      <c r="F55" s="18" t="s">
        <v>13</v>
      </c>
      <c r="G55" s="16">
        <v>2</v>
      </c>
      <c r="H55" s="19">
        <v>597</v>
      </c>
      <c r="I55" s="16">
        <v>15</v>
      </c>
      <c r="J55" s="18" t="s">
        <v>27</v>
      </c>
    </row>
    <row r="56" spans="1:10" x14ac:dyDescent="0.25">
      <c r="A56" s="11">
        <v>1056</v>
      </c>
      <c r="B56" s="12">
        <v>46089</v>
      </c>
      <c r="C56" s="13" t="s">
        <v>20</v>
      </c>
      <c r="D56" s="13" t="s">
        <v>16</v>
      </c>
      <c r="E56" s="13" t="s">
        <v>22</v>
      </c>
      <c r="F56" s="13" t="s">
        <v>23</v>
      </c>
      <c r="G56" s="11">
        <v>10</v>
      </c>
      <c r="H56" s="14">
        <v>450</v>
      </c>
      <c r="I56" s="11">
        <v>15</v>
      </c>
      <c r="J56" s="13" t="s">
        <v>27</v>
      </c>
    </row>
    <row r="57" spans="1:10" x14ac:dyDescent="0.25">
      <c r="A57" s="16">
        <v>1057</v>
      </c>
      <c r="B57" s="17">
        <v>46179</v>
      </c>
      <c r="C57" s="18" t="s">
        <v>10</v>
      </c>
      <c r="D57" s="18" t="s">
        <v>28</v>
      </c>
      <c r="E57" s="18" t="s">
        <v>17</v>
      </c>
      <c r="F57" s="18" t="s">
        <v>18</v>
      </c>
      <c r="G57" s="16">
        <v>2</v>
      </c>
      <c r="H57" s="19">
        <v>619</v>
      </c>
      <c r="I57" s="16">
        <v>0</v>
      </c>
      <c r="J57" s="18" t="s">
        <v>27</v>
      </c>
    </row>
    <row r="58" spans="1:10" x14ac:dyDescent="0.25">
      <c r="A58" s="11">
        <v>1058</v>
      </c>
      <c r="B58" s="12">
        <v>46134</v>
      </c>
      <c r="C58" s="13" t="s">
        <v>20</v>
      </c>
      <c r="D58" s="13" t="s">
        <v>16</v>
      </c>
      <c r="E58" s="13" t="s">
        <v>25</v>
      </c>
      <c r="F58" s="13" t="s">
        <v>18</v>
      </c>
      <c r="G58" s="11">
        <v>8</v>
      </c>
      <c r="H58" s="14">
        <v>426</v>
      </c>
      <c r="I58" s="11">
        <v>15</v>
      </c>
      <c r="J58" s="13" t="s">
        <v>27</v>
      </c>
    </row>
    <row r="59" spans="1:10" x14ac:dyDescent="0.25">
      <c r="A59" s="16">
        <v>1059</v>
      </c>
      <c r="B59" s="17">
        <v>46108</v>
      </c>
      <c r="C59" s="18" t="s">
        <v>15</v>
      </c>
      <c r="D59" s="18" t="s">
        <v>11</v>
      </c>
      <c r="E59" s="18" t="s">
        <v>26</v>
      </c>
      <c r="F59" s="18" t="s">
        <v>23</v>
      </c>
      <c r="G59" s="16">
        <v>7</v>
      </c>
      <c r="H59" s="19">
        <v>1119</v>
      </c>
      <c r="I59" s="16">
        <v>15</v>
      </c>
      <c r="J59" s="18" t="s">
        <v>14</v>
      </c>
    </row>
    <row r="60" spans="1:10" x14ac:dyDescent="0.25">
      <c r="A60" s="11">
        <v>1060</v>
      </c>
      <c r="B60" s="12">
        <v>46026</v>
      </c>
      <c r="C60" s="13" t="s">
        <v>10</v>
      </c>
      <c r="D60" s="13" t="s">
        <v>16</v>
      </c>
      <c r="E60" s="13" t="s">
        <v>26</v>
      </c>
      <c r="F60" s="13" t="s">
        <v>23</v>
      </c>
      <c r="G60" s="11">
        <v>10</v>
      </c>
      <c r="H60" s="14">
        <v>1170</v>
      </c>
      <c r="I60" s="11">
        <v>10</v>
      </c>
      <c r="J60" s="13" t="s">
        <v>14</v>
      </c>
    </row>
    <row r="61" spans="1:10" x14ac:dyDescent="0.25">
      <c r="A61" s="16">
        <v>1061</v>
      </c>
      <c r="B61" s="17">
        <v>46095</v>
      </c>
      <c r="C61" s="18" t="s">
        <v>15</v>
      </c>
      <c r="D61" s="18" t="s">
        <v>16</v>
      </c>
      <c r="E61" s="18" t="s">
        <v>12</v>
      </c>
      <c r="F61" s="18" t="s">
        <v>13</v>
      </c>
      <c r="G61" s="16">
        <v>5</v>
      </c>
      <c r="H61" s="19">
        <v>1714</v>
      </c>
      <c r="I61" s="16">
        <v>0</v>
      </c>
      <c r="J61" s="18" t="s">
        <v>27</v>
      </c>
    </row>
    <row r="62" spans="1:10" x14ac:dyDescent="0.25">
      <c r="A62" s="11">
        <v>1062</v>
      </c>
      <c r="B62" s="12">
        <v>46125</v>
      </c>
      <c r="C62" s="13" t="s">
        <v>10</v>
      </c>
      <c r="D62" s="13" t="s">
        <v>28</v>
      </c>
      <c r="E62" s="13" t="s">
        <v>25</v>
      </c>
      <c r="F62" s="13" t="s">
        <v>18</v>
      </c>
      <c r="G62" s="11">
        <v>9</v>
      </c>
      <c r="H62" s="14">
        <v>920</v>
      </c>
      <c r="I62" s="11">
        <v>0</v>
      </c>
      <c r="J62" s="13" t="s">
        <v>19</v>
      </c>
    </row>
    <row r="63" spans="1:10" x14ac:dyDescent="0.25">
      <c r="A63" s="16">
        <v>1063</v>
      </c>
      <c r="B63" s="17">
        <v>46164</v>
      </c>
      <c r="C63" s="18" t="s">
        <v>10</v>
      </c>
      <c r="D63" s="18" t="s">
        <v>24</v>
      </c>
      <c r="E63" s="18" t="s">
        <v>22</v>
      </c>
      <c r="F63" s="18" t="s">
        <v>23</v>
      </c>
      <c r="G63" s="16">
        <v>2</v>
      </c>
      <c r="H63" s="19">
        <v>1242</v>
      </c>
      <c r="I63" s="16">
        <v>10</v>
      </c>
      <c r="J63" s="18" t="s">
        <v>14</v>
      </c>
    </row>
    <row r="64" spans="1:10" x14ac:dyDescent="0.25">
      <c r="A64" s="11">
        <v>1064</v>
      </c>
      <c r="B64" s="12">
        <v>46081</v>
      </c>
      <c r="C64" s="13" t="s">
        <v>29</v>
      </c>
      <c r="D64" s="13" t="s">
        <v>28</v>
      </c>
      <c r="E64" s="13" t="s">
        <v>22</v>
      </c>
      <c r="F64" s="13" t="s">
        <v>23</v>
      </c>
      <c r="G64" s="11">
        <v>1</v>
      </c>
      <c r="H64" s="14">
        <v>500</v>
      </c>
      <c r="I64" s="11">
        <v>0</v>
      </c>
      <c r="J64" s="13" t="s">
        <v>19</v>
      </c>
    </row>
    <row r="65" spans="1:10" x14ac:dyDescent="0.25">
      <c r="A65" s="16">
        <v>1065</v>
      </c>
      <c r="B65" s="17">
        <v>46157</v>
      </c>
      <c r="C65" s="18" t="s">
        <v>29</v>
      </c>
      <c r="D65" s="18" t="s">
        <v>16</v>
      </c>
      <c r="E65" s="18" t="s">
        <v>17</v>
      </c>
      <c r="F65" s="18" t="s">
        <v>18</v>
      </c>
      <c r="G65" s="16">
        <v>5</v>
      </c>
      <c r="H65" s="19">
        <v>1649</v>
      </c>
      <c r="I65" s="16">
        <v>15</v>
      </c>
      <c r="J65" s="18" t="s">
        <v>27</v>
      </c>
    </row>
    <row r="66" spans="1:10" x14ac:dyDescent="0.25">
      <c r="A66" s="11">
        <v>1066</v>
      </c>
      <c r="B66" s="12">
        <v>46169</v>
      </c>
      <c r="C66" s="13" t="s">
        <v>15</v>
      </c>
      <c r="D66" s="13" t="s">
        <v>28</v>
      </c>
      <c r="E66" s="13" t="s">
        <v>12</v>
      </c>
      <c r="F66" s="13" t="s">
        <v>13</v>
      </c>
      <c r="G66" s="11">
        <v>2</v>
      </c>
      <c r="H66" s="14">
        <v>900</v>
      </c>
      <c r="I66" s="11">
        <v>10</v>
      </c>
      <c r="J66" s="13" t="s">
        <v>27</v>
      </c>
    </row>
    <row r="67" spans="1:10" x14ac:dyDescent="0.25">
      <c r="A67" s="16">
        <v>1067</v>
      </c>
      <c r="B67" s="17">
        <v>46146</v>
      </c>
      <c r="C67" s="18" t="s">
        <v>20</v>
      </c>
      <c r="D67" s="18" t="s">
        <v>28</v>
      </c>
      <c r="E67" s="18" t="s">
        <v>25</v>
      </c>
      <c r="F67" s="18" t="s">
        <v>18</v>
      </c>
      <c r="G67" s="16">
        <v>7</v>
      </c>
      <c r="H67" s="19">
        <v>1058</v>
      </c>
      <c r="I67" s="16">
        <v>10</v>
      </c>
      <c r="J67" s="18" t="s">
        <v>19</v>
      </c>
    </row>
    <row r="68" spans="1:10" x14ac:dyDescent="0.25">
      <c r="A68" s="11">
        <v>1068</v>
      </c>
      <c r="B68" s="12">
        <v>46175</v>
      </c>
      <c r="C68" s="13" t="s">
        <v>15</v>
      </c>
      <c r="D68" s="13" t="s">
        <v>28</v>
      </c>
      <c r="E68" s="13" t="s">
        <v>12</v>
      </c>
      <c r="F68" s="13" t="s">
        <v>13</v>
      </c>
      <c r="G68" s="11">
        <v>10</v>
      </c>
      <c r="H68" s="14">
        <v>1039</v>
      </c>
      <c r="I68" s="11">
        <v>5</v>
      </c>
      <c r="J68" s="13" t="s">
        <v>19</v>
      </c>
    </row>
    <row r="69" spans="1:10" x14ac:dyDescent="0.25">
      <c r="A69" s="16">
        <v>1069</v>
      </c>
      <c r="B69" s="17">
        <v>46042</v>
      </c>
      <c r="C69" s="18" t="s">
        <v>20</v>
      </c>
      <c r="D69" s="18" t="s">
        <v>11</v>
      </c>
      <c r="E69" s="18" t="s">
        <v>26</v>
      </c>
      <c r="F69" s="18" t="s">
        <v>23</v>
      </c>
      <c r="G69" s="16">
        <v>4</v>
      </c>
      <c r="H69" s="19">
        <v>1008</v>
      </c>
      <c r="I69" s="16">
        <v>15</v>
      </c>
      <c r="J69" s="18" t="s">
        <v>19</v>
      </c>
    </row>
    <row r="70" spans="1:10" x14ac:dyDescent="0.25">
      <c r="A70" s="11">
        <v>1070</v>
      </c>
      <c r="B70" s="12">
        <v>46061</v>
      </c>
      <c r="C70" s="13" t="s">
        <v>15</v>
      </c>
      <c r="D70" s="13" t="s">
        <v>28</v>
      </c>
      <c r="E70" s="13" t="s">
        <v>31</v>
      </c>
      <c r="F70" s="13" t="s">
        <v>13</v>
      </c>
      <c r="G70" s="11">
        <v>8</v>
      </c>
      <c r="H70" s="14">
        <v>1318</v>
      </c>
      <c r="I70" s="11">
        <v>5</v>
      </c>
      <c r="J70" s="13" t="s">
        <v>19</v>
      </c>
    </row>
    <row r="71" spans="1:10" x14ac:dyDescent="0.25">
      <c r="A71" s="16">
        <v>1071</v>
      </c>
      <c r="B71" s="17">
        <v>46190</v>
      </c>
      <c r="C71" s="18" t="s">
        <v>20</v>
      </c>
      <c r="D71" s="18" t="s">
        <v>11</v>
      </c>
      <c r="E71" s="18" t="s">
        <v>22</v>
      </c>
      <c r="F71" s="18" t="s">
        <v>23</v>
      </c>
      <c r="G71" s="16">
        <v>9</v>
      </c>
      <c r="H71" s="19">
        <v>1096</v>
      </c>
      <c r="I71" s="16">
        <v>5</v>
      </c>
      <c r="J71" s="18" t="s">
        <v>14</v>
      </c>
    </row>
    <row r="72" spans="1:10" x14ac:dyDescent="0.25">
      <c r="A72" s="11">
        <v>1072</v>
      </c>
      <c r="B72" s="12">
        <v>46152</v>
      </c>
      <c r="C72" s="13" t="s">
        <v>20</v>
      </c>
      <c r="D72" s="13" t="s">
        <v>16</v>
      </c>
      <c r="E72" s="13" t="s">
        <v>25</v>
      </c>
      <c r="F72" s="13" t="s">
        <v>18</v>
      </c>
      <c r="G72" s="11">
        <v>8</v>
      </c>
      <c r="H72" s="14">
        <v>263</v>
      </c>
      <c r="I72" s="11">
        <v>10</v>
      </c>
      <c r="J72" s="13" t="s">
        <v>19</v>
      </c>
    </row>
    <row r="73" spans="1:10" x14ac:dyDescent="0.25">
      <c r="A73" s="16">
        <v>1073</v>
      </c>
      <c r="B73" s="17">
        <v>46159</v>
      </c>
      <c r="C73" s="18" t="s">
        <v>10</v>
      </c>
      <c r="D73" s="18" t="s">
        <v>21</v>
      </c>
      <c r="E73" s="18" t="s">
        <v>12</v>
      </c>
      <c r="F73" s="18" t="s">
        <v>13</v>
      </c>
      <c r="G73" s="16">
        <v>4</v>
      </c>
      <c r="H73" s="19">
        <v>823</v>
      </c>
      <c r="I73" s="16">
        <v>0</v>
      </c>
      <c r="J73" s="18" t="s">
        <v>19</v>
      </c>
    </row>
    <row r="74" spans="1:10" x14ac:dyDescent="0.25">
      <c r="A74" s="11">
        <v>1074</v>
      </c>
      <c r="B74" s="12">
        <v>46099</v>
      </c>
      <c r="C74" s="13" t="s">
        <v>10</v>
      </c>
      <c r="D74" s="13" t="s">
        <v>24</v>
      </c>
      <c r="E74" s="13" t="s">
        <v>12</v>
      </c>
      <c r="F74" s="13" t="s">
        <v>13</v>
      </c>
      <c r="G74" s="11">
        <v>6</v>
      </c>
      <c r="H74" s="14">
        <v>452</v>
      </c>
      <c r="I74" s="11">
        <v>10</v>
      </c>
      <c r="J74" s="13" t="s">
        <v>14</v>
      </c>
    </row>
    <row r="75" spans="1:10" x14ac:dyDescent="0.25">
      <c r="A75" s="16">
        <v>1075</v>
      </c>
      <c r="B75" s="17">
        <v>46165</v>
      </c>
      <c r="C75" s="18" t="s">
        <v>10</v>
      </c>
      <c r="D75" s="18" t="s">
        <v>24</v>
      </c>
      <c r="E75" s="18" t="s">
        <v>17</v>
      </c>
      <c r="F75" s="18" t="s">
        <v>18</v>
      </c>
      <c r="G75" s="16">
        <v>8</v>
      </c>
      <c r="H75" s="19">
        <v>1120</v>
      </c>
      <c r="I75" s="16">
        <v>15</v>
      </c>
      <c r="J75" s="18" t="s">
        <v>27</v>
      </c>
    </row>
    <row r="76" spans="1:10" x14ac:dyDescent="0.25">
      <c r="A76" s="11">
        <v>1076</v>
      </c>
      <c r="B76" s="12">
        <v>46078</v>
      </c>
      <c r="C76" s="13" t="s">
        <v>20</v>
      </c>
      <c r="D76" s="13" t="s">
        <v>11</v>
      </c>
      <c r="E76" s="13" t="s">
        <v>31</v>
      </c>
      <c r="F76" s="13" t="s">
        <v>13</v>
      </c>
      <c r="G76" s="11">
        <v>3</v>
      </c>
      <c r="H76" s="14">
        <v>1778</v>
      </c>
      <c r="I76" s="11">
        <v>10</v>
      </c>
      <c r="J76" s="13" t="s">
        <v>19</v>
      </c>
    </row>
    <row r="77" spans="1:10" x14ac:dyDescent="0.25">
      <c r="A77" s="16">
        <v>1077</v>
      </c>
      <c r="B77" s="17">
        <v>46152</v>
      </c>
      <c r="C77" s="18" t="s">
        <v>15</v>
      </c>
      <c r="D77" s="18" t="s">
        <v>24</v>
      </c>
      <c r="E77" s="18" t="s">
        <v>22</v>
      </c>
      <c r="F77" s="18" t="s">
        <v>23</v>
      </c>
      <c r="G77" s="16">
        <v>3</v>
      </c>
      <c r="H77" s="19">
        <v>253</v>
      </c>
      <c r="I77" s="16">
        <v>10</v>
      </c>
      <c r="J77" s="18" t="s">
        <v>19</v>
      </c>
    </row>
    <row r="78" spans="1:10" x14ac:dyDescent="0.25">
      <c r="A78" s="11">
        <v>1078</v>
      </c>
      <c r="B78" s="12">
        <v>46092</v>
      </c>
      <c r="C78" s="13" t="s">
        <v>15</v>
      </c>
      <c r="D78" s="13" t="s">
        <v>21</v>
      </c>
      <c r="E78" s="13" t="s">
        <v>31</v>
      </c>
      <c r="F78" s="13" t="s">
        <v>13</v>
      </c>
      <c r="G78" s="11">
        <v>5</v>
      </c>
      <c r="H78" s="14">
        <v>1023</v>
      </c>
      <c r="I78" s="11">
        <v>0</v>
      </c>
      <c r="J78" s="13" t="s">
        <v>14</v>
      </c>
    </row>
    <row r="79" spans="1:10" x14ac:dyDescent="0.25">
      <c r="A79" s="16">
        <v>1079</v>
      </c>
      <c r="B79" s="17">
        <v>46168</v>
      </c>
      <c r="C79" s="18" t="s">
        <v>20</v>
      </c>
      <c r="D79" s="18" t="s">
        <v>21</v>
      </c>
      <c r="E79" s="18" t="s">
        <v>17</v>
      </c>
      <c r="F79" s="18" t="s">
        <v>18</v>
      </c>
      <c r="G79" s="16">
        <v>1</v>
      </c>
      <c r="H79" s="19">
        <v>768</v>
      </c>
      <c r="I79" s="16">
        <v>15</v>
      </c>
      <c r="J79" s="18" t="s">
        <v>19</v>
      </c>
    </row>
    <row r="80" spans="1:10" x14ac:dyDescent="0.25">
      <c r="A80" s="11">
        <v>1080</v>
      </c>
      <c r="B80" s="12">
        <v>46154</v>
      </c>
      <c r="C80" s="13" t="s">
        <v>29</v>
      </c>
      <c r="D80" s="13" t="s">
        <v>16</v>
      </c>
      <c r="E80" s="13" t="s">
        <v>25</v>
      </c>
      <c r="F80" s="13" t="s">
        <v>18</v>
      </c>
      <c r="G80" s="11">
        <v>7</v>
      </c>
      <c r="H80" s="14">
        <v>1055</v>
      </c>
      <c r="I80" s="11">
        <v>5</v>
      </c>
      <c r="J80" s="13" t="s">
        <v>19</v>
      </c>
    </row>
    <row r="81" spans="1:10" x14ac:dyDescent="0.25">
      <c r="A81" s="16">
        <v>1081</v>
      </c>
      <c r="B81" s="17">
        <v>46201</v>
      </c>
      <c r="C81" s="18" t="s">
        <v>29</v>
      </c>
      <c r="D81" s="18" t="s">
        <v>11</v>
      </c>
      <c r="E81" s="18" t="s">
        <v>31</v>
      </c>
      <c r="F81" s="18" t="s">
        <v>13</v>
      </c>
      <c r="G81" s="16">
        <v>2</v>
      </c>
      <c r="H81" s="19">
        <v>693</v>
      </c>
      <c r="I81" s="16">
        <v>5</v>
      </c>
      <c r="J81" s="18" t="s">
        <v>27</v>
      </c>
    </row>
    <row r="82" spans="1:10" x14ac:dyDescent="0.25">
      <c r="A82" s="11">
        <v>1082</v>
      </c>
      <c r="B82" s="12">
        <v>46079</v>
      </c>
      <c r="C82" s="13" t="s">
        <v>15</v>
      </c>
      <c r="D82" s="13" t="s">
        <v>16</v>
      </c>
      <c r="E82" s="13" t="s">
        <v>17</v>
      </c>
      <c r="F82" s="13" t="s">
        <v>18</v>
      </c>
      <c r="G82" s="11">
        <v>10</v>
      </c>
      <c r="H82" s="14">
        <v>1898</v>
      </c>
      <c r="I82" s="11">
        <v>5</v>
      </c>
      <c r="J82" s="13" t="s">
        <v>27</v>
      </c>
    </row>
    <row r="83" spans="1:10" x14ac:dyDescent="0.25">
      <c r="A83" s="16">
        <v>1083</v>
      </c>
      <c r="B83" s="17">
        <v>46176</v>
      </c>
      <c r="C83" s="18" t="s">
        <v>20</v>
      </c>
      <c r="D83" s="18" t="s">
        <v>30</v>
      </c>
      <c r="E83" s="18" t="s">
        <v>31</v>
      </c>
      <c r="F83" s="18" t="s">
        <v>13</v>
      </c>
      <c r="G83" s="16">
        <v>4</v>
      </c>
      <c r="H83" s="19">
        <v>951</v>
      </c>
      <c r="I83" s="16">
        <v>10</v>
      </c>
      <c r="J83" s="18" t="s">
        <v>27</v>
      </c>
    </row>
    <row r="84" spans="1:10" x14ac:dyDescent="0.25">
      <c r="A84" s="11">
        <v>1084</v>
      </c>
      <c r="B84" s="12">
        <v>46091</v>
      </c>
      <c r="C84" s="13" t="s">
        <v>10</v>
      </c>
      <c r="D84" s="13" t="s">
        <v>30</v>
      </c>
      <c r="E84" s="13" t="s">
        <v>25</v>
      </c>
      <c r="F84" s="13" t="s">
        <v>18</v>
      </c>
      <c r="G84" s="11">
        <v>5</v>
      </c>
      <c r="H84" s="14">
        <v>106</v>
      </c>
      <c r="I84" s="11">
        <v>0</v>
      </c>
      <c r="J84" s="13" t="s">
        <v>19</v>
      </c>
    </row>
    <row r="85" spans="1:10" x14ac:dyDescent="0.25">
      <c r="A85" s="16">
        <v>1085</v>
      </c>
      <c r="B85" s="17">
        <v>46045</v>
      </c>
      <c r="C85" s="18" t="s">
        <v>29</v>
      </c>
      <c r="D85" s="18" t="s">
        <v>30</v>
      </c>
      <c r="E85" s="18" t="s">
        <v>26</v>
      </c>
      <c r="F85" s="18" t="s">
        <v>23</v>
      </c>
      <c r="G85" s="16">
        <v>2</v>
      </c>
      <c r="H85" s="19">
        <v>1041</v>
      </c>
      <c r="I85" s="16">
        <v>10</v>
      </c>
      <c r="J85" s="18" t="s">
        <v>14</v>
      </c>
    </row>
    <row r="86" spans="1:10" x14ac:dyDescent="0.25">
      <c r="A86" s="11">
        <v>1086</v>
      </c>
      <c r="B86" s="12">
        <v>46130</v>
      </c>
      <c r="C86" s="13" t="s">
        <v>20</v>
      </c>
      <c r="D86" s="13" t="s">
        <v>21</v>
      </c>
      <c r="E86" s="13" t="s">
        <v>22</v>
      </c>
      <c r="F86" s="13" t="s">
        <v>23</v>
      </c>
      <c r="G86" s="11">
        <v>5</v>
      </c>
      <c r="H86" s="14">
        <v>1359</v>
      </c>
      <c r="I86" s="11">
        <v>5</v>
      </c>
      <c r="J86" s="13" t="s">
        <v>14</v>
      </c>
    </row>
    <row r="87" spans="1:10" x14ac:dyDescent="0.25">
      <c r="A87" s="16">
        <v>1087</v>
      </c>
      <c r="B87" s="17">
        <v>46191</v>
      </c>
      <c r="C87" s="18" t="s">
        <v>20</v>
      </c>
      <c r="D87" s="18" t="s">
        <v>30</v>
      </c>
      <c r="E87" s="18" t="s">
        <v>31</v>
      </c>
      <c r="F87" s="18" t="s">
        <v>13</v>
      </c>
      <c r="G87" s="16">
        <v>2</v>
      </c>
      <c r="H87" s="19">
        <v>1545</v>
      </c>
      <c r="I87" s="16">
        <v>0</v>
      </c>
      <c r="J87" s="18" t="s">
        <v>19</v>
      </c>
    </row>
    <row r="88" spans="1:10" x14ac:dyDescent="0.25">
      <c r="A88" s="11">
        <v>1088</v>
      </c>
      <c r="B88" s="12">
        <v>46108</v>
      </c>
      <c r="C88" s="13" t="s">
        <v>29</v>
      </c>
      <c r="D88" s="13" t="s">
        <v>16</v>
      </c>
      <c r="E88" s="13" t="s">
        <v>26</v>
      </c>
      <c r="F88" s="13" t="s">
        <v>23</v>
      </c>
      <c r="G88" s="11">
        <v>7</v>
      </c>
      <c r="H88" s="14">
        <v>553</v>
      </c>
      <c r="I88" s="11">
        <v>15</v>
      </c>
      <c r="J88" s="13" t="s">
        <v>14</v>
      </c>
    </row>
    <row r="89" spans="1:10" x14ac:dyDescent="0.25">
      <c r="A89" s="16">
        <v>1089</v>
      </c>
      <c r="B89" s="17">
        <v>46092</v>
      </c>
      <c r="C89" s="18" t="s">
        <v>10</v>
      </c>
      <c r="D89" s="18" t="s">
        <v>30</v>
      </c>
      <c r="E89" s="18" t="s">
        <v>17</v>
      </c>
      <c r="F89" s="18" t="s">
        <v>18</v>
      </c>
      <c r="G89" s="16">
        <v>9</v>
      </c>
      <c r="H89" s="19">
        <v>1572</v>
      </c>
      <c r="I89" s="16">
        <v>0</v>
      </c>
      <c r="J89" s="18" t="s">
        <v>27</v>
      </c>
    </row>
    <row r="90" spans="1:10" x14ac:dyDescent="0.25">
      <c r="A90" s="11">
        <v>1090</v>
      </c>
      <c r="B90" s="12">
        <v>46166</v>
      </c>
      <c r="C90" s="13" t="s">
        <v>10</v>
      </c>
      <c r="D90" s="13" t="s">
        <v>21</v>
      </c>
      <c r="E90" s="13" t="s">
        <v>31</v>
      </c>
      <c r="F90" s="13" t="s">
        <v>13</v>
      </c>
      <c r="G90" s="11">
        <v>2</v>
      </c>
      <c r="H90" s="14">
        <v>156</v>
      </c>
      <c r="I90" s="11">
        <v>10</v>
      </c>
      <c r="J90" s="13" t="s">
        <v>27</v>
      </c>
    </row>
    <row r="91" spans="1:10" x14ac:dyDescent="0.25">
      <c r="A91" s="16">
        <v>1091</v>
      </c>
      <c r="B91" s="17">
        <v>46145</v>
      </c>
      <c r="C91" s="18" t="s">
        <v>29</v>
      </c>
      <c r="D91" s="18" t="s">
        <v>30</v>
      </c>
      <c r="E91" s="18" t="s">
        <v>26</v>
      </c>
      <c r="F91" s="18" t="s">
        <v>23</v>
      </c>
      <c r="G91" s="16">
        <v>2</v>
      </c>
      <c r="H91" s="19">
        <v>525</v>
      </c>
      <c r="I91" s="16">
        <v>5</v>
      </c>
      <c r="J91" s="18" t="s">
        <v>27</v>
      </c>
    </row>
    <row r="92" spans="1:10" x14ac:dyDescent="0.25">
      <c r="A92" s="11">
        <v>1092</v>
      </c>
      <c r="B92" s="12">
        <v>46086</v>
      </c>
      <c r="C92" s="13" t="s">
        <v>20</v>
      </c>
      <c r="D92" s="13" t="s">
        <v>21</v>
      </c>
      <c r="E92" s="13" t="s">
        <v>22</v>
      </c>
      <c r="F92" s="13" t="s">
        <v>23</v>
      </c>
      <c r="G92" s="11">
        <v>6</v>
      </c>
      <c r="H92" s="14">
        <v>426</v>
      </c>
      <c r="I92" s="11">
        <v>10</v>
      </c>
      <c r="J92" s="13" t="s">
        <v>27</v>
      </c>
    </row>
    <row r="93" spans="1:10" x14ac:dyDescent="0.25">
      <c r="A93" s="16">
        <v>1093</v>
      </c>
      <c r="B93" s="17">
        <v>46033</v>
      </c>
      <c r="C93" s="18" t="s">
        <v>29</v>
      </c>
      <c r="D93" s="18" t="s">
        <v>30</v>
      </c>
      <c r="E93" s="18" t="s">
        <v>25</v>
      </c>
      <c r="F93" s="18" t="s">
        <v>18</v>
      </c>
      <c r="G93" s="16">
        <v>1</v>
      </c>
      <c r="H93" s="19">
        <v>1473</v>
      </c>
      <c r="I93" s="16">
        <v>0</v>
      </c>
      <c r="J93" s="18" t="s">
        <v>27</v>
      </c>
    </row>
    <row r="94" spans="1:10" x14ac:dyDescent="0.25">
      <c r="A94" s="11">
        <v>1094</v>
      </c>
      <c r="B94" s="12">
        <v>46117</v>
      </c>
      <c r="C94" s="13" t="s">
        <v>15</v>
      </c>
      <c r="D94" s="13" t="s">
        <v>24</v>
      </c>
      <c r="E94" s="13" t="s">
        <v>26</v>
      </c>
      <c r="F94" s="13" t="s">
        <v>23</v>
      </c>
      <c r="G94" s="11">
        <v>9</v>
      </c>
      <c r="H94" s="14">
        <v>1895</v>
      </c>
      <c r="I94" s="11">
        <v>0</v>
      </c>
      <c r="J94" s="13" t="s">
        <v>27</v>
      </c>
    </row>
    <row r="95" spans="1:10" x14ac:dyDescent="0.25">
      <c r="A95" s="16">
        <v>1095</v>
      </c>
      <c r="B95" s="17">
        <v>46100</v>
      </c>
      <c r="C95" s="18" t="s">
        <v>20</v>
      </c>
      <c r="D95" s="18" t="s">
        <v>16</v>
      </c>
      <c r="E95" s="18" t="s">
        <v>12</v>
      </c>
      <c r="F95" s="18" t="s">
        <v>13</v>
      </c>
      <c r="G95" s="16">
        <v>5</v>
      </c>
      <c r="H95" s="19">
        <v>944</v>
      </c>
      <c r="I95" s="16">
        <v>10</v>
      </c>
      <c r="J95" s="18" t="s">
        <v>27</v>
      </c>
    </row>
    <row r="96" spans="1:10" x14ac:dyDescent="0.25">
      <c r="A96" s="11">
        <v>1096</v>
      </c>
      <c r="B96" s="12">
        <v>46106</v>
      </c>
      <c r="C96" s="13" t="s">
        <v>10</v>
      </c>
      <c r="D96" s="13" t="s">
        <v>11</v>
      </c>
      <c r="E96" s="13" t="s">
        <v>25</v>
      </c>
      <c r="F96" s="13" t="s">
        <v>18</v>
      </c>
      <c r="G96" s="11">
        <v>4</v>
      </c>
      <c r="H96" s="14">
        <v>1566</v>
      </c>
      <c r="I96" s="11">
        <v>5</v>
      </c>
      <c r="J96" s="13" t="s">
        <v>19</v>
      </c>
    </row>
    <row r="97" spans="1:10" x14ac:dyDescent="0.25">
      <c r="A97" s="16">
        <v>1097</v>
      </c>
      <c r="B97" s="17">
        <v>46169</v>
      </c>
      <c r="C97" s="18" t="s">
        <v>29</v>
      </c>
      <c r="D97" s="18" t="s">
        <v>16</v>
      </c>
      <c r="E97" s="18" t="s">
        <v>26</v>
      </c>
      <c r="F97" s="18" t="s">
        <v>23</v>
      </c>
      <c r="G97" s="16">
        <v>10</v>
      </c>
      <c r="H97" s="19">
        <v>1759</v>
      </c>
      <c r="I97" s="16">
        <v>5</v>
      </c>
      <c r="J97" s="18" t="s">
        <v>19</v>
      </c>
    </row>
    <row r="98" spans="1:10" x14ac:dyDescent="0.25">
      <c r="A98" s="11">
        <v>1098</v>
      </c>
      <c r="B98" s="12">
        <v>46194</v>
      </c>
      <c r="C98" s="13" t="s">
        <v>29</v>
      </c>
      <c r="D98" s="13" t="s">
        <v>21</v>
      </c>
      <c r="E98" s="13" t="s">
        <v>31</v>
      </c>
      <c r="F98" s="13" t="s">
        <v>13</v>
      </c>
      <c r="G98" s="11">
        <v>3</v>
      </c>
      <c r="H98" s="14">
        <v>1473</v>
      </c>
      <c r="I98" s="11">
        <v>15</v>
      </c>
      <c r="J98" s="13" t="s">
        <v>19</v>
      </c>
    </row>
    <row r="99" spans="1:10" x14ac:dyDescent="0.25">
      <c r="A99" s="16">
        <v>1099</v>
      </c>
      <c r="B99" s="17">
        <v>46077</v>
      </c>
      <c r="C99" s="18" t="s">
        <v>10</v>
      </c>
      <c r="D99" s="18" t="s">
        <v>28</v>
      </c>
      <c r="E99" s="18" t="s">
        <v>25</v>
      </c>
      <c r="F99" s="18" t="s">
        <v>18</v>
      </c>
      <c r="G99" s="16">
        <v>10</v>
      </c>
      <c r="H99" s="19">
        <v>455</v>
      </c>
      <c r="I99" s="16">
        <v>5</v>
      </c>
      <c r="J99" s="18" t="s">
        <v>14</v>
      </c>
    </row>
    <row r="100" spans="1:10" x14ac:dyDescent="0.25">
      <c r="A100" s="11">
        <v>1100</v>
      </c>
      <c r="B100" s="12">
        <v>46107</v>
      </c>
      <c r="C100" s="13" t="s">
        <v>15</v>
      </c>
      <c r="D100" s="13" t="s">
        <v>21</v>
      </c>
      <c r="E100" s="13" t="s">
        <v>22</v>
      </c>
      <c r="F100" s="13" t="s">
        <v>23</v>
      </c>
      <c r="G100" s="11">
        <v>8</v>
      </c>
      <c r="H100" s="14">
        <v>185</v>
      </c>
      <c r="I100" s="11">
        <v>5</v>
      </c>
      <c r="J100" s="13" t="s">
        <v>19</v>
      </c>
    </row>
    <row r="101" spans="1:10" x14ac:dyDescent="0.25">
      <c r="A101" s="16">
        <v>1101</v>
      </c>
      <c r="B101" s="17">
        <v>46186</v>
      </c>
      <c r="C101" s="18" t="s">
        <v>29</v>
      </c>
      <c r="D101" s="18" t="s">
        <v>30</v>
      </c>
      <c r="E101" s="18" t="s">
        <v>31</v>
      </c>
      <c r="F101" s="18" t="s">
        <v>13</v>
      </c>
      <c r="G101" s="16">
        <v>4</v>
      </c>
      <c r="H101" s="19">
        <v>1570</v>
      </c>
      <c r="I101" s="16">
        <v>0</v>
      </c>
      <c r="J101" s="18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SalesData</vt:lpstr>
      <vt:lpstr>IF</vt:lpstr>
      <vt:lpstr>Sheet3</vt:lpstr>
      <vt:lpstr>IF AND OR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Faizul Bitto</cp:lastModifiedBy>
  <cp:lastPrinted>2026-07-23T12:33:36Z</cp:lastPrinted>
  <dcterms:created xsi:type="dcterms:W3CDTF">2026-07-23T11:56:56Z</dcterms:created>
  <dcterms:modified xsi:type="dcterms:W3CDTF">2026-07-23T13:47:56Z</dcterms:modified>
</cp:coreProperties>
</file>