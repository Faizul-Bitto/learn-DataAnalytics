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SUD\Desktop\Batch -19\Day 8\"/>
    </mc:Choice>
  </mc:AlternateContent>
  <xr:revisionPtr revIDLastSave="0" documentId="13_ncr:1_{12BFD570-FA9E-4D2C-B208-06A4A01C1564}" xr6:coauthVersionLast="47" xr6:coauthVersionMax="47" xr10:uidLastSave="{00000000-0000-0000-0000-000000000000}"/>
  <bookViews>
    <workbookView xWindow="-108" yWindow="-108" windowWidth="23256" windowHeight="12576" xr2:uid="{6A2BEB52-66CD-4EE2-987A-B535A9C5B404}"/>
  </bookViews>
  <sheets>
    <sheet name="Customers" sheetId="1" r:id="rId1"/>
    <sheet name="Products" sheetId="2" r:id="rId2"/>
    <sheet name="Sheet4" sheetId="4" r:id="rId3"/>
    <sheet name="Sheet5" sheetId="5" r:id="rId4"/>
    <sheet name="Sales" sheetId="3" r:id="rId5"/>
  </sheets>
  <definedNames>
    <definedName name="_xlcn.WorksheetConnection_Book1cust1" hidden="1">cust[]</definedName>
    <definedName name="_xlcn.WorksheetConnection_Book1product1" hidden="1">product[]</definedName>
    <definedName name="_xlcn.WorksheetConnection_Book1sales1" hidden="1">sales[]</definedName>
  </definedNames>
  <calcPr calcId="191029"/>
  <pivotCaches>
    <pivotCache cacheId="362" r:id="rId6"/>
    <pivotCache cacheId="371" r:id="rId7"/>
    <pivotCache cacheId="379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" name="cust" connection="WorksheetConnection_Book1!cust"/>
          <x15:modelTable id="product" name="product" connection="WorksheetConnection_Book1!product"/>
          <x15:modelTable id="sales" name="sales" connection="WorksheetConnection_Book1!sales"/>
        </x15:modelTables>
        <x15:modelRelationships>
          <x15:modelRelationship fromTable="sales" fromColumn="Customer ID" toTable="cust" toColumn="Customer ID"/>
          <x15:modelRelationship fromTable="sales" fromColumn="Product ID" toTable="product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F9A6AA-7C94-442D-9F87-B86CCAB3177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DCC3DA8-FF06-4CD6-87B7-105BA9D8379D}" name="WorksheetConnection_Book1!cust" type="102" refreshedVersion="8" minRefreshableVersion="5">
    <extLst>
      <ext xmlns:x15="http://schemas.microsoft.com/office/spreadsheetml/2010/11/main" uri="{DE250136-89BD-433C-8126-D09CA5730AF9}">
        <x15:connection id="cust">
          <x15:rangePr sourceName="_xlcn.WorksheetConnection_Book1cust1"/>
        </x15:connection>
      </ext>
    </extLst>
  </connection>
  <connection id="3" xr16:uid="{D8C630D3-8CC2-42B1-A742-A9D9F881A3F0}" name="WorksheetConnection_Book1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Book1product1"/>
        </x15:connection>
      </ext>
    </extLst>
  </connection>
  <connection id="4" xr16:uid="{255A80DC-1382-4734-8320-F4D780AEB0D9}" name="WorksheetConnection_Book1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Book1sales1"/>
        </x15:connection>
      </ext>
    </extLst>
  </connection>
</connections>
</file>

<file path=xl/sharedStrings.xml><?xml version="1.0" encoding="utf-8"?>
<sst xmlns="http://schemas.openxmlformats.org/spreadsheetml/2006/main" count="298" uniqueCount="158">
  <si>
    <t>Customer ID</t>
  </si>
  <si>
    <t>Customer Name</t>
  </si>
  <si>
    <t>City</t>
  </si>
  <si>
    <t>C001</t>
  </si>
  <si>
    <t>Mir Masud</t>
  </si>
  <si>
    <t>Dhaka</t>
  </si>
  <si>
    <t>C002</t>
  </si>
  <si>
    <t>Abul Hossen</t>
  </si>
  <si>
    <t>Khulna</t>
  </si>
  <si>
    <t>C003</t>
  </si>
  <si>
    <t>Mirja Galib</t>
  </si>
  <si>
    <t>Barishal</t>
  </si>
  <si>
    <t>C004</t>
  </si>
  <si>
    <t>Nazrul Haque</t>
  </si>
  <si>
    <t>Jashore</t>
  </si>
  <si>
    <t>C005</t>
  </si>
  <si>
    <t>Nilima Sen</t>
  </si>
  <si>
    <t>Feni</t>
  </si>
  <si>
    <t>C006</t>
  </si>
  <si>
    <t>Obaidul Islam</t>
  </si>
  <si>
    <t>Rangpur</t>
  </si>
  <si>
    <t>C007</t>
  </si>
  <si>
    <t>Nantu Sekh</t>
  </si>
  <si>
    <t>Rajshahi</t>
  </si>
  <si>
    <t>C008</t>
  </si>
  <si>
    <t>Mamun Islam</t>
  </si>
  <si>
    <t>Bogra</t>
  </si>
  <si>
    <t>C009</t>
  </si>
  <si>
    <t>Rahul Vai</t>
  </si>
  <si>
    <t>Bhola</t>
  </si>
  <si>
    <t>Product ID</t>
  </si>
  <si>
    <t>Product Name</t>
  </si>
  <si>
    <t>Category</t>
  </si>
  <si>
    <t>Price</t>
  </si>
  <si>
    <t>P001</t>
  </si>
  <si>
    <t>Laptop</t>
  </si>
  <si>
    <t>Electronics</t>
  </si>
  <si>
    <t>P002</t>
  </si>
  <si>
    <t>Smartphone</t>
  </si>
  <si>
    <t>P003</t>
  </si>
  <si>
    <t>Office Chair</t>
  </si>
  <si>
    <t>Furniture</t>
  </si>
  <si>
    <t>P004</t>
  </si>
  <si>
    <t>Desk Lamp</t>
  </si>
  <si>
    <t>P005</t>
  </si>
  <si>
    <t>Headphones</t>
  </si>
  <si>
    <t>P006</t>
  </si>
  <si>
    <t>Backpack</t>
  </si>
  <si>
    <t>Accessories</t>
  </si>
  <si>
    <t>P007</t>
  </si>
  <si>
    <t>Water Bottle</t>
  </si>
  <si>
    <t>P008</t>
  </si>
  <si>
    <t>Keyboard</t>
  </si>
  <si>
    <t>Order ID</t>
  </si>
  <si>
    <t>Order Date</t>
  </si>
  <si>
    <t>Quantity</t>
  </si>
  <si>
    <t>O001</t>
  </si>
  <si>
    <t>2024-01-01</t>
  </si>
  <si>
    <t>O002</t>
  </si>
  <si>
    <t>2024-01-02</t>
  </si>
  <si>
    <t>O003</t>
  </si>
  <si>
    <t>2024-01-03</t>
  </si>
  <si>
    <t>O004</t>
  </si>
  <si>
    <t>2024-01-04</t>
  </si>
  <si>
    <t>O005</t>
  </si>
  <si>
    <t>2024-01-05</t>
  </si>
  <si>
    <t>O006</t>
  </si>
  <si>
    <t>2024-01-06</t>
  </si>
  <si>
    <t>O007</t>
  </si>
  <si>
    <t>2024-01-07</t>
  </si>
  <si>
    <t>O008</t>
  </si>
  <si>
    <t>2024-01-08</t>
  </si>
  <si>
    <t>O009</t>
  </si>
  <si>
    <t>2024-01-09</t>
  </si>
  <si>
    <t>O010</t>
  </si>
  <si>
    <t>2024-01-10</t>
  </si>
  <si>
    <t>2024-01-11</t>
  </si>
  <si>
    <t>2024-01-12</t>
  </si>
  <si>
    <t>O013</t>
  </si>
  <si>
    <t>2024-01-13</t>
  </si>
  <si>
    <t>O014</t>
  </si>
  <si>
    <t>2024-01-14</t>
  </si>
  <si>
    <t>O015</t>
  </si>
  <si>
    <t>2024-01-15</t>
  </si>
  <si>
    <t>O016</t>
  </si>
  <si>
    <t>2024-02-16</t>
  </si>
  <si>
    <t>O017</t>
  </si>
  <si>
    <t>2024-02-17</t>
  </si>
  <si>
    <t>O018</t>
  </si>
  <si>
    <t>2024-02-18</t>
  </si>
  <si>
    <t>O019</t>
  </si>
  <si>
    <t>2024-02-19</t>
  </si>
  <si>
    <t>O020</t>
  </si>
  <si>
    <t>2024-02-20</t>
  </si>
  <si>
    <t>O021</t>
  </si>
  <si>
    <t>2024-02-21</t>
  </si>
  <si>
    <t>O022</t>
  </si>
  <si>
    <t>2024-02-22</t>
  </si>
  <si>
    <t>O023</t>
  </si>
  <si>
    <t>2024-02-23</t>
  </si>
  <si>
    <t>O024</t>
  </si>
  <si>
    <t>2024-02-24</t>
  </si>
  <si>
    <t>O025</t>
  </si>
  <si>
    <t>2024-02-25</t>
  </si>
  <si>
    <t>O026</t>
  </si>
  <si>
    <t>2024-02-26</t>
  </si>
  <si>
    <t>O027</t>
  </si>
  <si>
    <t>2024-02-27</t>
  </si>
  <si>
    <t>O028</t>
  </si>
  <si>
    <t>2024-02-28</t>
  </si>
  <si>
    <t>O029</t>
  </si>
  <si>
    <t>2024-02-01</t>
  </si>
  <si>
    <t>O030</t>
  </si>
  <si>
    <t>2024-02-02</t>
  </si>
  <si>
    <t>O031</t>
  </si>
  <si>
    <t>2024-03-03</t>
  </si>
  <si>
    <t>O032</t>
  </si>
  <si>
    <t>2024-03-04</t>
  </si>
  <si>
    <t>O033</t>
  </si>
  <si>
    <t>2024-03-05</t>
  </si>
  <si>
    <t>O034</t>
  </si>
  <si>
    <t>2024-03-06</t>
  </si>
  <si>
    <t>O035</t>
  </si>
  <si>
    <t>2024-03-07</t>
  </si>
  <si>
    <t>O036</t>
  </si>
  <si>
    <t>2024-03-08</t>
  </si>
  <si>
    <t>O037</t>
  </si>
  <si>
    <t>2024-03-09</t>
  </si>
  <si>
    <t>O038</t>
  </si>
  <si>
    <t>2024-03-10</t>
  </si>
  <si>
    <t>O039</t>
  </si>
  <si>
    <t>2024-03-11</t>
  </si>
  <si>
    <t>O040</t>
  </si>
  <si>
    <t>2024-03-12</t>
  </si>
  <si>
    <t>O041</t>
  </si>
  <si>
    <t>2024-03-13</t>
  </si>
  <si>
    <t>O042</t>
  </si>
  <si>
    <t>2024-03-14</t>
  </si>
  <si>
    <t>O043</t>
  </si>
  <si>
    <t>2024-03-15</t>
  </si>
  <si>
    <t>O044</t>
  </si>
  <si>
    <t>2024-03-16</t>
  </si>
  <si>
    <t>O045</t>
  </si>
  <si>
    <t>2024-03-17</t>
  </si>
  <si>
    <t>O046</t>
  </si>
  <si>
    <t>2024-04-18</t>
  </si>
  <si>
    <t>O047</t>
  </si>
  <si>
    <t>2024-04-19</t>
  </si>
  <si>
    <t>2024-04-20</t>
  </si>
  <si>
    <t>2024-04-21</t>
  </si>
  <si>
    <t>2024-04-22</t>
  </si>
  <si>
    <t>Row Labels</t>
  </si>
  <si>
    <t>Grand Total</t>
  </si>
  <si>
    <t>Average Quantity</t>
  </si>
  <si>
    <t>Cost</t>
  </si>
  <si>
    <t>% of Revenue</t>
  </si>
  <si>
    <t>Total Revenue</t>
  </si>
  <si>
    <t>% of Revenue2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</si>
</sst>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2" borderId="0" xfId="0" applyFill="1"/>
    <xf numFmtId="9" fontId="0" fillId="0" borderId="0" xfId="1" applyFont="1"/>
  </cellXfs>
  <cellStyles count="2">
    <cellStyle name="Normal" xfId="0" builtinId="0"/>
    <cellStyle name="Percent" xfId="1" builtinId="5"/>
  </cellStyles>
  <dxfs count="4"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[B19 D8 _ 040826 _ After.xlsx]Sheet4!PivotTable1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Sheet4!$B$4:$B$13</c:f>
              <c:strCache>
                <c:ptCount val="9"/>
                <c:pt idx="0">
                  <c:v>Abul Hossen</c:v>
                </c:pt>
                <c:pt idx="1">
                  <c:v>Mamun Islam</c:v>
                </c:pt>
                <c:pt idx="2">
                  <c:v>Mir Masud</c:v>
                </c:pt>
                <c:pt idx="3">
                  <c:v>Mirja Galib</c:v>
                </c:pt>
                <c:pt idx="4">
                  <c:v>Nantu Sekh</c:v>
                </c:pt>
                <c:pt idx="5">
                  <c:v>Nazrul Haque</c:v>
                </c:pt>
                <c:pt idx="6">
                  <c:v>Nilima Sen</c:v>
                </c:pt>
                <c:pt idx="7">
                  <c:v>Obaidul Islam</c:v>
                </c:pt>
                <c:pt idx="8">
                  <c:v>Rahul Vai</c:v>
                </c:pt>
              </c:strCache>
            </c:strRef>
          </c:cat>
          <c:val>
            <c:numRef>
              <c:f>Sheet4!$C$4:$C$13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3.7142857142857144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3-4710-A682-4FD8ACFD6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627503"/>
        <c:axId val="398768767"/>
      </c:barChart>
      <c:catAx>
        <c:axId val="115862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68767"/>
        <c:crosses val="autoZero"/>
        <c:auto val="1"/>
        <c:lblAlgn val="ctr"/>
        <c:lblOffset val="100"/>
        <c:noMultiLvlLbl val="0"/>
      </c:catAx>
      <c:valAx>
        <c:axId val="39876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[B19 D8 _ 040826 _ After.xlsx]Sheet4!PivotTable3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Sheet4!$F$16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Sheet4!$E$17:$E$20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Sheet4!$F$17:$F$20</c:f>
              <c:numCache>
                <c:formatCode>General</c:formatCode>
                <c:ptCount val="3"/>
                <c:pt idx="0">
                  <c:v>1445</c:v>
                </c:pt>
                <c:pt idx="1">
                  <c:v>34020</c:v>
                </c:pt>
                <c:pt idx="2">
                  <c:v>4620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1-4C40-ABA9-2BCB4B956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255839"/>
        <c:axId val="1076024767"/>
      </c:barChart>
      <c:catAx>
        <c:axId val="1085255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24767"/>
        <c:crosses val="autoZero"/>
        <c:auto val="1"/>
        <c:lblAlgn val="ctr"/>
        <c:lblOffset val="100"/>
        <c:noMultiLvlLbl val="0"/>
      </c:catAx>
      <c:valAx>
        <c:axId val="107602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5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[B19 D8 _ 040826 _ After.xlsx]Sheet4!PivotTable2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Sheet4!$F$3</c:f>
              <c:strCache>
                <c:ptCount val="1"/>
                <c:pt idx="0">
                  <c:v>%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Sheet4!$E$4:$E$12</c:f>
              <c:strCache>
                <c:ptCount val="8"/>
                <c:pt idx="0">
                  <c:v>Backpack</c:v>
                </c:pt>
                <c:pt idx="1">
                  <c:v>Desk Lamp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Office Chair</c:v>
                </c:pt>
                <c:pt idx="6">
                  <c:v>Smartphone</c:v>
                </c:pt>
                <c:pt idx="7">
                  <c:v>Water Bottle</c:v>
                </c:pt>
              </c:strCache>
            </c:strRef>
          </c:cat>
          <c:val>
            <c:numRef>
              <c:f>Sheet4!$F$4:$F$12</c:f>
              <c:numCache>
                <c:formatCode>General</c:formatCode>
                <c:ptCount val="8"/>
                <c:pt idx="0">
                  <c:v>1085</c:v>
                </c:pt>
                <c:pt idx="1">
                  <c:v>720</c:v>
                </c:pt>
                <c:pt idx="2">
                  <c:v>1920</c:v>
                </c:pt>
                <c:pt idx="3">
                  <c:v>900</c:v>
                </c:pt>
                <c:pt idx="4">
                  <c:v>20400</c:v>
                </c:pt>
                <c:pt idx="5">
                  <c:v>3900</c:v>
                </c:pt>
                <c:pt idx="6">
                  <c:v>10800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D-48F9-98A1-940635CF20BA}"/>
            </c:ext>
          </c:extLst>
        </c:ser>
        <c:ser>
          <c:idx val="1"/>
          <c:order val="1"/>
          <c:tx>
            <c:strRef>
              <c:f>Sheet4!$G$3</c:f>
              <c:strCache>
                <c:ptCount val="1"/>
                <c:pt idx="0">
                  <c:v>% of Revenue2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Sheet4!$E$4:$E$12</c:f>
              <c:strCache>
                <c:ptCount val="8"/>
                <c:pt idx="0">
                  <c:v>Backpack</c:v>
                </c:pt>
                <c:pt idx="1">
                  <c:v>Desk Lamp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Office Chair</c:v>
                </c:pt>
                <c:pt idx="6">
                  <c:v>Smartphone</c:v>
                </c:pt>
                <c:pt idx="7">
                  <c:v>Water Bottle</c:v>
                </c:pt>
              </c:strCache>
            </c:strRef>
          </c:cat>
          <c:val>
            <c:numRef>
              <c:f>Sheet4!$G$4:$G$12</c:f>
              <c:numCache>
                <c:formatCode>0.00%</c:formatCode>
                <c:ptCount val="8"/>
                <c:pt idx="0">
                  <c:v>2.7067481601596607E-2</c:v>
                </c:pt>
                <c:pt idx="1">
                  <c:v>1.79618311088936E-2</c:v>
                </c:pt>
                <c:pt idx="2">
                  <c:v>4.7898216290382933E-2</c:v>
                </c:pt>
                <c:pt idx="3">
                  <c:v>2.2452288886117E-2</c:v>
                </c:pt>
                <c:pt idx="4">
                  <c:v>0.50891854808531867</c:v>
                </c:pt>
                <c:pt idx="5">
                  <c:v>9.7293251839840333E-2</c:v>
                </c:pt>
                <c:pt idx="6">
                  <c:v>0.269427466633404</c:v>
                </c:pt>
                <c:pt idx="7">
                  <c:v>8.9809155544468E-3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FD-48F9-98A1-940635CF2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[B19 D8 _ 040826 _ After.xlsx]Sheet4!PivotTable2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Sheet4!$F$3</c:f>
              <c:strCache>
                <c:ptCount val="1"/>
                <c:pt idx="0">
                  <c:v>%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FF-4AC1-948B-CD4AE32D98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FF-4AC1-948B-CD4AE32D98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FF-4AC1-948B-CD4AE32D98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FF-4AC1-948B-CD4AE32D98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FF-4AC1-948B-CD4AE32D98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8FF-4AC1-948B-CD4AE32D98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8FF-4AC1-948B-CD4AE32D98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8FF-4AC1-948B-CD4AE32D9866}"/>
              </c:ext>
            </c:extLst>
          </c:dPt>
          <c:cat>
            <c:strRef>
              <c:f>Sheet4!$E$4:$E$12</c:f>
              <c:strCache>
                <c:ptCount val="8"/>
                <c:pt idx="0">
                  <c:v>Backpack</c:v>
                </c:pt>
                <c:pt idx="1">
                  <c:v>Desk Lamp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Office Chair</c:v>
                </c:pt>
                <c:pt idx="6">
                  <c:v>Smartphone</c:v>
                </c:pt>
                <c:pt idx="7">
                  <c:v>Water Bottle</c:v>
                </c:pt>
              </c:strCache>
            </c:strRef>
          </c:cat>
          <c:val>
            <c:numRef>
              <c:f>Sheet4!$F$4:$F$12</c:f>
              <c:numCache>
                <c:formatCode>General</c:formatCode>
                <c:ptCount val="8"/>
                <c:pt idx="0">
                  <c:v>1085</c:v>
                </c:pt>
                <c:pt idx="1">
                  <c:v>720</c:v>
                </c:pt>
                <c:pt idx="2">
                  <c:v>1920</c:v>
                </c:pt>
                <c:pt idx="3">
                  <c:v>900</c:v>
                </c:pt>
                <c:pt idx="4">
                  <c:v>20400</c:v>
                </c:pt>
                <c:pt idx="5">
                  <c:v>3900</c:v>
                </c:pt>
                <c:pt idx="6">
                  <c:v>10800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8FF-4AC1-948B-CD4AE32D9866}"/>
            </c:ext>
          </c:extLst>
        </c:ser>
        <c:ser>
          <c:idx val="1"/>
          <c:order val="1"/>
          <c:tx>
            <c:strRef>
              <c:f>Sheet4!$G$3</c:f>
              <c:strCache>
                <c:ptCount val="1"/>
                <c:pt idx="0">
                  <c:v>% of Revenue2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Sheet4!$E$4:$E$12</c:f>
              <c:strCache>
                <c:ptCount val="8"/>
                <c:pt idx="0">
                  <c:v>Backpack</c:v>
                </c:pt>
                <c:pt idx="1">
                  <c:v>Desk Lamp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Office Chair</c:v>
                </c:pt>
                <c:pt idx="6">
                  <c:v>Smartphone</c:v>
                </c:pt>
                <c:pt idx="7">
                  <c:v>Water Bottle</c:v>
                </c:pt>
              </c:strCache>
            </c:strRef>
          </c:cat>
          <c:val>
            <c:numRef>
              <c:f>Sheet4!$G$4:$G$12</c:f>
              <c:numCache>
                <c:formatCode>0.00%</c:formatCode>
                <c:ptCount val="8"/>
                <c:pt idx="0">
                  <c:v>2.7067481601596607E-2</c:v>
                </c:pt>
                <c:pt idx="1">
                  <c:v>1.79618311088936E-2</c:v>
                </c:pt>
                <c:pt idx="2">
                  <c:v>4.7898216290382933E-2</c:v>
                </c:pt>
                <c:pt idx="3">
                  <c:v>2.2452288886117E-2</c:v>
                </c:pt>
                <c:pt idx="4">
                  <c:v>0.50891854808531867</c:v>
                </c:pt>
                <c:pt idx="5">
                  <c:v>9.7293251839840333E-2</c:v>
                </c:pt>
                <c:pt idx="6">
                  <c:v>0.269427466633404</c:v>
                </c:pt>
                <c:pt idx="7">
                  <c:v>8.9809155544468E-3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8FF-4AC1-948B-CD4AE32D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3</xdr:row>
      <xdr:rowOff>68580</xdr:rowOff>
    </xdr:from>
    <xdr:to>
      <xdr:col>16</xdr:col>
      <xdr:colOff>320040</xdr:colOff>
      <xdr:row>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16736D-D164-19EF-61C9-36DBE31E6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815340</xdr:colOff>
      <xdr:row>18</xdr:row>
      <xdr:rowOff>99060</xdr:rowOff>
    </xdr:from>
    <xdr:to>
      <xdr:col>13</xdr:col>
      <xdr:colOff>190500</xdr:colOff>
      <xdr:row>33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E0EFD3-2419-612C-B296-D7D7BCC80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144780</xdr:colOff>
      <xdr:row>13</xdr:row>
      <xdr:rowOff>121920</xdr:rowOff>
    </xdr:from>
    <xdr:to>
      <xdr:col>5</xdr:col>
      <xdr:colOff>777240</xdr:colOff>
      <xdr:row>26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B3F4C3-CD41-972F-21C0-097FFE984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76200</xdr:rowOff>
    </xdr:from>
    <xdr:to>
      <xdr:col>3</xdr:col>
      <xdr:colOff>533400</xdr:colOff>
      <xdr:row>5</xdr:row>
      <xdr:rowOff>144780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923114-CD8A-6A95-1069-552522F3E600}"/>
            </a:ext>
          </a:extLst>
        </xdr:cNvPr>
        <xdr:cNvSpPr/>
      </xdr:nvSpPr>
      <xdr:spPr>
        <a:xfrm>
          <a:off x="129540" y="76200"/>
          <a:ext cx="2232660" cy="982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594360</xdr:colOff>
      <xdr:row>0</xdr:row>
      <xdr:rowOff>76200</xdr:rowOff>
    </xdr:from>
    <xdr:to>
      <xdr:col>22</xdr:col>
      <xdr:colOff>7620</xdr:colOff>
      <xdr:row>5</xdr:row>
      <xdr:rowOff>129540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1F0D834-D1E9-8DC3-340C-3D924B4214BE}"/>
            </a:ext>
          </a:extLst>
        </xdr:cNvPr>
        <xdr:cNvSpPr/>
      </xdr:nvSpPr>
      <xdr:spPr>
        <a:xfrm>
          <a:off x="2423160" y="76200"/>
          <a:ext cx="10995660" cy="967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129540</xdr:colOff>
      <xdr:row>6</xdr:row>
      <xdr:rowOff>22860</xdr:rowOff>
    </xdr:from>
    <xdr:to>
      <xdr:col>5</xdr:col>
      <xdr:colOff>68580</xdr:colOff>
      <xdr:row>31</xdr:row>
      <xdr:rowOff>45720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917F13D-63D7-A76B-4EC3-7A45750FCABD}"/>
            </a:ext>
          </a:extLst>
        </xdr:cNvPr>
        <xdr:cNvSpPr/>
      </xdr:nvSpPr>
      <xdr:spPr>
        <a:xfrm>
          <a:off x="129540" y="1120140"/>
          <a:ext cx="2987040" cy="45948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129540</xdr:colOff>
      <xdr:row>18</xdr:row>
      <xdr:rowOff>68580</xdr:rowOff>
    </xdr:from>
    <xdr:to>
      <xdr:col>10</xdr:col>
      <xdr:colOff>571500</xdr:colOff>
      <xdr:row>31</xdr:row>
      <xdr:rowOff>45720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C4CE38-4F2F-BD50-08BB-78C163784E99}"/>
            </a:ext>
          </a:extLst>
        </xdr:cNvPr>
        <xdr:cNvSpPr/>
      </xdr:nvSpPr>
      <xdr:spPr>
        <a:xfrm>
          <a:off x="3177540" y="3360420"/>
          <a:ext cx="3489960" cy="23545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38100</xdr:colOff>
      <xdr:row>18</xdr:row>
      <xdr:rowOff>60960</xdr:rowOff>
    </xdr:from>
    <xdr:to>
      <xdr:col>16</xdr:col>
      <xdr:colOff>480060</xdr:colOff>
      <xdr:row>31</xdr:row>
      <xdr:rowOff>22860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2437E4-750B-D2CE-3EA0-1BCE93D146AF}"/>
            </a:ext>
          </a:extLst>
        </xdr:cNvPr>
        <xdr:cNvSpPr/>
      </xdr:nvSpPr>
      <xdr:spPr>
        <a:xfrm>
          <a:off x="6743700" y="3352800"/>
          <a:ext cx="3489960" cy="23393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541020</xdr:colOff>
      <xdr:row>6</xdr:row>
      <xdr:rowOff>22860</xdr:rowOff>
    </xdr:from>
    <xdr:to>
      <xdr:col>22</xdr:col>
      <xdr:colOff>7620</xdr:colOff>
      <xdr:row>31</xdr:row>
      <xdr:rowOff>30480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30B0489-BE36-D7C5-CBAF-854E891BA5D0}"/>
            </a:ext>
          </a:extLst>
        </xdr:cNvPr>
        <xdr:cNvSpPr/>
      </xdr:nvSpPr>
      <xdr:spPr>
        <a:xfrm>
          <a:off x="10294620" y="1120140"/>
          <a:ext cx="3124200" cy="45796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114300</xdr:colOff>
      <xdr:row>6</xdr:row>
      <xdr:rowOff>30480</xdr:rowOff>
    </xdr:from>
    <xdr:to>
      <xdr:col>8</xdr:col>
      <xdr:colOff>518160</xdr:colOff>
      <xdr:row>11</xdr:row>
      <xdr:rowOff>99060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28169EE-772A-914D-E059-AA22512182BA}"/>
            </a:ext>
          </a:extLst>
        </xdr:cNvPr>
        <xdr:cNvSpPr/>
      </xdr:nvSpPr>
      <xdr:spPr>
        <a:xfrm>
          <a:off x="3162300" y="1127760"/>
          <a:ext cx="2232660" cy="982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87630</xdr:colOff>
      <xdr:row>6</xdr:row>
      <xdr:rowOff>30480</xdr:rowOff>
    </xdr:from>
    <xdr:to>
      <xdr:col>12</xdr:col>
      <xdr:colOff>491490</xdr:colOff>
      <xdr:row>11</xdr:row>
      <xdr:rowOff>99060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D61A2D1-F2EB-3F04-5764-7C9E52207DBE}"/>
            </a:ext>
          </a:extLst>
        </xdr:cNvPr>
        <xdr:cNvSpPr/>
      </xdr:nvSpPr>
      <xdr:spPr>
        <a:xfrm>
          <a:off x="5574030" y="1127760"/>
          <a:ext cx="2232660" cy="982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60960</xdr:colOff>
      <xdr:row>6</xdr:row>
      <xdr:rowOff>30480</xdr:rowOff>
    </xdr:from>
    <xdr:to>
      <xdr:col>16</xdr:col>
      <xdr:colOff>464820</xdr:colOff>
      <xdr:row>11</xdr:row>
      <xdr:rowOff>99060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27A13B6-F898-4954-C3D9-B84E56F2340D}"/>
            </a:ext>
          </a:extLst>
        </xdr:cNvPr>
        <xdr:cNvSpPr/>
      </xdr:nvSpPr>
      <xdr:spPr>
        <a:xfrm>
          <a:off x="7985760" y="1127760"/>
          <a:ext cx="2232660" cy="982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160020</xdr:colOff>
      <xdr:row>12</xdr:row>
      <xdr:rowOff>7620</xdr:rowOff>
    </xdr:from>
    <xdr:to>
      <xdr:col>8</xdr:col>
      <xdr:colOff>563880</xdr:colOff>
      <xdr:row>17</xdr:row>
      <xdr:rowOff>76200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1871423-AE89-A343-2A6D-755AC05F6B2C}"/>
            </a:ext>
          </a:extLst>
        </xdr:cNvPr>
        <xdr:cNvSpPr/>
      </xdr:nvSpPr>
      <xdr:spPr>
        <a:xfrm>
          <a:off x="3208020" y="2202180"/>
          <a:ext cx="2232660" cy="982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106680</xdr:colOff>
      <xdr:row>12</xdr:row>
      <xdr:rowOff>7620</xdr:rowOff>
    </xdr:from>
    <xdr:to>
      <xdr:col>16</xdr:col>
      <xdr:colOff>510540</xdr:colOff>
      <xdr:row>17</xdr:row>
      <xdr:rowOff>76200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940F402-9207-9761-D437-8A450927B800}"/>
            </a:ext>
          </a:extLst>
        </xdr:cNvPr>
        <xdr:cNvSpPr/>
      </xdr:nvSpPr>
      <xdr:spPr>
        <a:xfrm>
          <a:off x="8031480" y="2202180"/>
          <a:ext cx="2232660" cy="982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133350</xdr:colOff>
      <xdr:row>12</xdr:row>
      <xdr:rowOff>7620</xdr:rowOff>
    </xdr:from>
    <xdr:to>
      <xdr:col>12</xdr:col>
      <xdr:colOff>537210</xdr:colOff>
      <xdr:row>17</xdr:row>
      <xdr:rowOff>76200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E866384-C4D2-6B55-FB27-1C1F4101BE8E}"/>
            </a:ext>
          </a:extLst>
        </xdr:cNvPr>
        <xdr:cNvSpPr/>
      </xdr:nvSpPr>
      <xdr:spPr>
        <a:xfrm>
          <a:off x="5619750" y="2202180"/>
          <a:ext cx="2232660" cy="982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266700</xdr:colOff>
      <xdr:row>20</xdr:row>
      <xdr:rowOff>129540</xdr:rowOff>
    </xdr:from>
    <xdr:to>
      <xdr:col>10</xdr:col>
      <xdr:colOff>403860</xdr:colOff>
      <xdr:row>30</xdr:row>
      <xdr:rowOff>129540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EFB5125-0CB4-4DE7-9E88-104634E2A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SUD" refreshedDate="46238.961782175924" createdVersion="5" refreshedVersion="8" minRefreshableVersion="3" recordCount="0" supportSubquery="1" supportAdvancedDrill="1" xr:uid="{19AF7545-0C74-45F5-BD40-64F5E1FA7DDF}">
  <cacheSource type="external" connectionId="1"/>
  <cacheFields count="2">
    <cacheField name="[product].[Category].[Category]" caption="Category" numFmtId="0" hierarchy="5" level="1">
      <sharedItems count="3">
        <s v="Accessories"/>
        <s v="Electronics"/>
        <s v="Furniture"/>
      </sharedItems>
    </cacheField>
    <cacheField name="[Measures].[Revenue]" caption="Revenue" numFmtId="0" hierarchy="19" level="32767"/>
  </cacheFields>
  <cacheHierarchies count="28">
    <cacheHierarchy uniqueName="[cust].[Customer ID]" caption="Customer ID" attribute="1" defaultMemberUniqueName="[cust].[Customer ID].[All]" allUniqueName="[cust].[Customer ID].[All]" dimensionUniqueName="[cust]" displayFolder="" count="0" memberValueDatatype="130" unbalanced="0"/>
    <cacheHierarchy uniqueName="[cust].[Customer Name]" caption="Customer Name" attribute="1" defaultMemberUniqueName="[cust].[Customer Name].[All]" allUniqueName="[cust].[Customer Name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Price]" caption="Price" attribute="1" defaultMemberUniqueName="[product].[Price].[All]" allUniqueName="[product].[Price].[All]" dimensionUniqueName="[product]" displayFolder="" count="0" memberValueDatatype="20" unbalanced="0"/>
    <cacheHierarchy uniqueName="[product].[Cost]" caption="Cost" attribute="1" defaultMemberUniqueName="[product].[Cost].[All]" allUniqueName="[product].[Cost].[All]" dimensionUniqueName="[product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Order Date]" caption="Order Date" attribute="1" defaultMemberUniqueName="[sales].[Order Date].[All]" allUniqueName="[sales].[Order Date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Sum of Quantity]" caption="Sum of Quantity" measure="1" displayFolder="" measureGroup="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Quantity]" caption="Average Quantity" measure="1" displayFolder="" measureGroup="sales" count="0"/>
    <cacheHierarchy uniqueName="[Measures].[Total Order]" caption="Total Order" measure="1" displayFolder="" measureGroup="sales" count="0"/>
    <cacheHierarchy uniqueName="[Measures].[Unique Order]" caption="Unique Order" measure="1" displayFolder="" measureGroup="sales" count="0"/>
    <cacheHierarchy uniqueName="[Measures].[Total Unique Customer]" caption="Total Unique Customer" measure="1" displayFolder="" measureGroup="sales" count="0"/>
    <cacheHierarchy uniqueName="[Measures].[Unique Cust]" caption="Unique Cust" measure="1" displayFolder="" measureGroup="sales" count="0"/>
    <cacheHierarchy uniqueName="[Measures].[Revenue]" caption="Revenue" measure="1" displayFolder="" measureGroup="sales" count="0" oneField="1">
      <fieldsUsage count="1">
        <fieldUsage x="1"/>
      </fieldsUsage>
    </cacheHierarchy>
    <cacheHierarchy uniqueName="[Measures].[Total Cost]" caption="Total Cost" measure="1" displayFolder="" measureGroup="sales" count="0"/>
    <cacheHierarchy uniqueName="[Measures].[Net Profit]" caption="Net Profit" measure="1" displayFolder="" measureGroup="sales" count="0"/>
    <cacheHierarchy uniqueName="[Measures].[Revenue of Khulna]" caption="Revenue of Khulna" measure="1" displayFolder="" measureGroup="sales" count="0"/>
    <cacheHierarchy uniqueName="[Measures].[Revenue of Furniture]" caption="Revenue of Furniture" measure="1" displayFolder="" measureGroup="sales" count="0"/>
    <cacheHierarchy uniqueName="[Measures].[__XL_Count cust]" caption="__XL_Count cust" measure="1" displayFolder="" measureGroup="cust" count="0" hidden="1"/>
    <cacheHierarchy uniqueName="[Measures].[__XL_Count product]" caption="__XL_Count product" measure="1" displayFolder="" measureGroup="product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4">
    <dimension name="cust" uniqueName="[cust]" caption="cust"/>
    <dimension measure="1" name="Measures" uniqueName="[Measures]" caption="Measures"/>
    <dimension name="product" uniqueName="[product]" caption="product"/>
    <dimension name="sales" uniqueName="[sales]" caption="sales"/>
  </dimensions>
  <measureGroups count="3">
    <measureGroup name="cust" caption="cust"/>
    <measureGroup name="product" caption="product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SUD" refreshedDate="46238.961973263889" createdVersion="5" refreshedVersion="8" minRefreshableVersion="3" recordCount="0" supportSubquery="1" supportAdvancedDrill="1" xr:uid="{0D42920E-D771-4922-9AD0-52FCB52DFB94}">
  <cacheSource type="external" connectionId="1"/>
  <cacheFields count="2">
    <cacheField name="[cust].[Customer Name].[Customer Name]" caption="Customer Name" numFmtId="0" hierarchy="1" level="1">
      <sharedItems count="9">
        <s v="Abul Hossen"/>
        <s v="Mamun Islam"/>
        <s v="Mir Masud"/>
        <s v="Mirja Galib"/>
        <s v="Nantu Sekh"/>
        <s v="Nazrul Haque"/>
        <s v="Nilima Sen"/>
        <s v="Obaidul Islam"/>
        <s v="Rahul Vai"/>
      </sharedItems>
    </cacheField>
    <cacheField name="[Measures].[Average Quantity]" caption="Average Quantity" numFmtId="0" hierarchy="14" level="32767"/>
  </cacheFields>
  <cacheHierarchies count="28">
    <cacheHierarchy uniqueName="[cust].[Customer ID]" caption="Customer ID" attribute="1" defaultMemberUniqueName="[cust].[Customer ID].[All]" allUniqueName="[cust].[Customer ID].[All]" dimensionUniqueName="[cust]" displayFolder="" count="0" memberValueDatatype="130" unbalanced="0"/>
    <cacheHierarchy uniqueName="[cust].[Customer Name]" caption="Customer Name" attribute="1" defaultMemberUniqueName="[cust].[Customer Name].[All]" allUniqueName="[cust].[Customer Name].[All]" dimensionUniqueName="[cust]" displayFolder="" count="2" memberValueDatatype="130" unbalanced="0">
      <fieldsUsage count="2">
        <fieldUsage x="-1"/>
        <fieldUsage x="0"/>
      </fieldsUsage>
    </cacheHierarchy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20" unbalanced="0"/>
    <cacheHierarchy uniqueName="[product].[Cost]" caption="Cost" attribute="1" defaultMemberUniqueName="[product].[Cost].[All]" allUniqueName="[product].[Cost].[All]" dimensionUniqueName="[product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Order Date]" caption="Order Date" attribute="1" defaultMemberUniqueName="[sales].[Order Date].[All]" allUniqueName="[sales].[Order Date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Sum of Quantity]" caption="Sum of Quantity" measure="1" displayFolder="" measureGroup="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Quantity]" caption="Average Quantity" measure="1" displayFolder="" measureGroup="sales" count="0" oneField="1">
      <fieldsUsage count="1">
        <fieldUsage x="1"/>
      </fieldsUsage>
    </cacheHierarchy>
    <cacheHierarchy uniqueName="[Measures].[Total Order]" caption="Total Order" measure="1" displayFolder="" measureGroup="sales" count="0"/>
    <cacheHierarchy uniqueName="[Measures].[Unique Order]" caption="Unique Order" measure="1" displayFolder="" measureGroup="sales" count="0"/>
    <cacheHierarchy uniqueName="[Measures].[Total Unique Customer]" caption="Total Unique Customer" measure="1" displayFolder="" measureGroup="sales" count="0"/>
    <cacheHierarchy uniqueName="[Measures].[Unique Cust]" caption="Unique Cust" measure="1" displayFolder="" measureGroup="sales" count="0"/>
    <cacheHierarchy uniqueName="[Measures].[Revenue]" caption="Revenue" measure="1" displayFolder="" measureGroup="sales" count="0"/>
    <cacheHierarchy uniqueName="[Measures].[Total Cost]" caption="Total Cost" measure="1" displayFolder="" measureGroup="sales" count="0"/>
    <cacheHierarchy uniqueName="[Measures].[Net Profit]" caption="Net Profit" measure="1" displayFolder="" measureGroup="sales" count="0"/>
    <cacheHierarchy uniqueName="[Measures].[Revenue of Khulna]" caption="Revenue of Khulna" measure="1" displayFolder="" measureGroup="sales" count="0"/>
    <cacheHierarchy uniqueName="[Measures].[Revenue of Furniture]" caption="Revenue of Furniture" measure="1" displayFolder="" measureGroup="sales" count="0"/>
    <cacheHierarchy uniqueName="[Measures].[__XL_Count cust]" caption="__XL_Count cust" measure="1" displayFolder="" measureGroup="cust" count="0" hidden="1"/>
    <cacheHierarchy uniqueName="[Measures].[__XL_Count product]" caption="__XL_Count product" measure="1" displayFolder="" measureGroup="product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4">
    <dimension name="cust" uniqueName="[cust]" caption="cust"/>
    <dimension measure="1" name="Measures" uniqueName="[Measures]" caption="Measures"/>
    <dimension name="product" uniqueName="[product]" caption="product"/>
    <dimension name="sales" uniqueName="[sales]" caption="sales"/>
  </dimensions>
  <measureGroups count="3">
    <measureGroup name="cust" caption="cust"/>
    <measureGroup name="product" caption="product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SUD" refreshedDate="46238.968950810187" createdVersion="5" refreshedVersion="8" minRefreshableVersion="3" recordCount="0" supportSubquery="1" supportAdvancedDrill="1" xr:uid="{AEBDAEE3-4CB3-4E01-8804-E25F6ED71928}">
  <cacheSource type="external" connectionId="1"/>
  <cacheFields count="3">
    <cacheField name="[product].[Product Name].[Product Name]" caption="Product Name" numFmtId="0" hierarchy="4" level="1">
      <sharedItems count="8">
        <s v="Backpack"/>
        <s v="Desk Lamp"/>
        <s v="Headphones"/>
        <s v="Keyboard"/>
        <s v="Laptop"/>
        <s v="Office Chair"/>
        <s v="Smartphone"/>
        <s v="Water Bottle"/>
      </sharedItems>
    </cacheField>
    <cacheField name="[Measures].[Revenue]" caption="Revenue" numFmtId="0" hierarchy="19" level="32767"/>
    <cacheField name="Unsupported0" numFmtId="0" hierarchy="2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9">
    <cacheHierarchy uniqueName="[cust].[Customer ID]" caption="Customer ID" attribute="1" defaultMemberUniqueName="[cust].[Customer ID].[All]" allUniqueName="[cust].[Customer ID].[All]" dimensionUniqueName="[cust]" displayFolder="" count="0" memberValueDatatype="130" unbalanced="0"/>
    <cacheHierarchy uniqueName="[cust].[Customer Name]" caption="Customer Name" attribute="1" defaultMemberUniqueName="[cust].[Customer Name].[All]" allUniqueName="[cust].[Customer Name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20" unbalanced="0"/>
    <cacheHierarchy uniqueName="[product].[Cost]" caption="Cost" attribute="1" defaultMemberUniqueName="[product].[Cost].[All]" allUniqueName="[product].[Cost].[All]" dimensionUniqueName="[product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Order Date]" caption="Order Date" attribute="1" defaultMemberUniqueName="[sales].[Order Date].[All]" allUniqueName="[sales].[Order Date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Sum of Quantity]" caption="Sum of Quantity" measure="1" displayFolder="" measureGroup="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Quantity]" caption="Average Quantity" measure="1" displayFolder="" measureGroup="sales" count="0"/>
    <cacheHierarchy uniqueName="[Measures].[Total Order]" caption="Total Order" measure="1" displayFolder="" measureGroup="sales" count="0"/>
    <cacheHierarchy uniqueName="[Measures].[Unique Order]" caption="Unique Order" measure="1" displayFolder="" measureGroup="sales" count="0"/>
    <cacheHierarchy uniqueName="[Measures].[Total Unique Customer]" caption="Total Unique Customer" measure="1" displayFolder="" measureGroup="sales" count="0"/>
    <cacheHierarchy uniqueName="[Measures].[Unique Cust]" caption="Unique Cust" measure="1" displayFolder="" measureGroup="sales" count="0"/>
    <cacheHierarchy uniqueName="[Measures].[Revenue]" caption="Revenue" measure="1" displayFolder="" measureGroup="sales" count="0" oneField="1">
      <fieldsUsage count="1">
        <fieldUsage x="1"/>
      </fieldsUsage>
    </cacheHierarchy>
    <cacheHierarchy uniqueName="[Measures].[Total Cost]" caption="Total Cost" measure="1" displayFolder="" measureGroup="sales" count="0"/>
    <cacheHierarchy uniqueName="[Measures].[Net Profit]" caption="Net Profit" measure="1" displayFolder="" measureGroup="sales" count="0"/>
    <cacheHierarchy uniqueName="[Measures].[Revenue of Khulna]" caption="Revenue of Khulna" measure="1" displayFolder="" measureGroup="sales" count="0"/>
    <cacheHierarchy uniqueName="[Measures].[Revenue of Furniture]" caption="Revenue of Furniture" measure="1" displayFolder="" measureGroup="sales" count="0"/>
    <cacheHierarchy uniqueName="[Measures].[__XL_Count cust]" caption="__XL_Count cust" measure="1" displayFolder="" measureGroup="cust" count="0" hidden="1"/>
    <cacheHierarchy uniqueName="[Measures].[__XL_Count product]" caption="__XL_Count product" measure="1" displayFolder="" measureGroup="product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Unsupported0" caption="Customer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">
    <dimension name="cust" uniqueName="[cust]" caption="cust"/>
    <dimension measure="1" name="Measures" uniqueName="[Measures]" caption="Measures"/>
    <dimension name="product" uniqueName="[product]" caption="product"/>
    <dimension name="sales" uniqueName="[sales]" caption="sales"/>
  </dimensions>
  <measureGroups count="3">
    <measureGroup name="cust" caption="cust"/>
    <measureGroup name="product" caption="product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64115-DB92-4816-B426-7A33F4528896}" name="PivotTable3" cacheId="362" applyNumberFormats="0" applyBorderFormats="0" applyFontFormats="0" applyPatternFormats="0" applyAlignmentFormats="0" applyWidthHeightFormats="1" dataCaption="Values" tag="b3720bd0-d741-4f39-8ddf-3f846b10ef2c" updatedVersion="8" minRefreshableVersion="3" useAutoFormatting="1" itemPrintTitles="1" createdVersion="5" indent="0" outline="1" outlineData="1" multipleFieldFilters="0" chartFormat="2">
  <location ref="E16:F2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Revenue"/>
    <pivotHierarchy dragToRow="0" dragToCol="0" dragToPage="0" dragToData="1" caption="% of Cost"/>
    <pivotHierarchy dragToRow="0" dragToCol="0" dragToPage="0" dragToData="1" caption="% of Profi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]"/>
        <x15:activeTabTopLevelEntity name="[sale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1EC6E-D0D5-47CC-B2E4-09A1B4FB4C4C}" name="PivotTable2" cacheId="379" applyNumberFormats="0" applyBorderFormats="0" applyFontFormats="0" applyPatternFormats="0" applyAlignmentFormats="0" applyWidthHeightFormats="1" dataCaption="Values" tag="c939590e-9ed7-42e1-91cd-580a0e94c886" updatedVersion="8" minRefreshableVersion="3" useAutoFormatting="1" itemPrintTitles="1" createdVersion="5" indent="0" outline="1" outlineData="1" multipleFieldFilters="0" chartFormat="4">
  <location ref="E3:G12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% of Revenue2" fld="2" subtotal="count" showDataAs="percentOfTotal" baseField="0" baseItem="3" numFmtId="10">
      <extLst>
        <ext xmlns:x14="http://schemas.microsoft.com/office/spreadsheetml/2009/9/main" uri="{E15A36E0-9728-4e99-A89B-3F7291B0FE68}">
          <x14:dataField sourceField="1" uniqueName="[__Xl2].[Measures].[Revenue]"/>
        </ext>
      </extLst>
    </dataField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of Revenue"/>
    <pivotHierarchy dragToRow="0" dragToCol="0" dragToPage="0" dragToData="1" caption="% of Cost"/>
    <pivotHierarchy dragToRow="0" dragToCol="0" dragToPage="0" dragToData="1" caption="% of Profi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]"/>
        <x15:activeTabTopLevelEntity name="[sale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1B779-B79E-4ECD-BC1A-88BA3F88CAD1}" name="PivotTable1" cacheId="371" applyNumberFormats="0" applyBorderFormats="0" applyFontFormats="0" applyPatternFormats="0" applyAlignmentFormats="0" applyWidthHeightFormats="1" dataCaption="Values" tag="a08a6595-574c-481a-90c1-91c16acb5aa2" updatedVersion="8" minRefreshableVersion="3" useAutoFormatting="1" itemPrintTitles="1" createdVersion="5" indent="0" outline="1" outlineData="1" multipleFieldFilters="0" chartFormat="2">
  <location ref="B3:C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6BE6B-F449-42BB-9384-670390CE296D}" name="cust" displayName="cust" ref="A1:C10" totalsRowShown="0" headerRowDxfId="3">
  <autoFilter ref="A1:C10" xr:uid="{2808B721-5F5F-44E8-B65B-118FEE54AF42}"/>
  <tableColumns count="3">
    <tableColumn id="1" xr3:uid="{0D56EA0D-7F3B-45E9-B8A8-2301C1930AB1}" name="Customer ID"/>
    <tableColumn id="2" xr3:uid="{80A490F0-2296-42BA-977E-7018E31E6D6F}" name="Customer Name"/>
    <tableColumn id="3" xr3:uid="{F7781A21-22D3-4D9F-8C14-D048BDF08A89}" name="C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56772A-6101-4543-94F8-64DCAF78F7D6}" name="product" displayName="product" ref="A1:E9" totalsRowShown="0" headerRowDxfId="2">
  <autoFilter ref="A1:E9" xr:uid="{4A9BFBD0-AB6A-4BD1-AA7F-DFA11152F548}"/>
  <tableColumns count="5">
    <tableColumn id="1" xr3:uid="{7D5CA74C-0866-4115-B8F0-297C25BEF922}" name="Product ID"/>
    <tableColumn id="2" xr3:uid="{3DCD9869-095B-4AA7-B14F-532F40D44E05}" name="Product Name"/>
    <tableColumn id="3" xr3:uid="{F1254110-1E68-443C-936F-F27BE24E00F4}" name="Category"/>
    <tableColumn id="4" xr3:uid="{56D88AB2-2B6F-4A53-A09E-24255208B48A}" name="Price"/>
    <tableColumn id="5" xr3:uid="{FD6B6433-F1F6-4DCE-B537-70697DF2C252}" name="Cos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31707D-935A-4CE7-8E57-FA93CD4BE40C}" name="sales" displayName="sales" ref="A1:E52" totalsRowShown="0" headerRowDxfId="1">
  <autoFilter ref="A1:E52" xr:uid="{D4132CD5-177A-46E5-BA2F-58A9567ABC72}"/>
  <tableColumns count="5">
    <tableColumn id="1" xr3:uid="{6826F444-6E0D-499A-963B-9695DB4DFC56}" name="Order ID"/>
    <tableColumn id="2" xr3:uid="{349C0B97-1401-4428-A434-E2DDF2F6E7E5}" name="Customer ID"/>
    <tableColumn id="3" xr3:uid="{EE0F9252-51F9-42BB-9392-74E47973061C}" name="Product ID"/>
    <tableColumn id="4" xr3:uid="{EE4D22BB-BF17-414A-B13D-833331EC0C6F}" name="Order Date"/>
    <tableColumn id="5" xr3:uid="{F76155F4-872B-49A7-86BD-314579571A1A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20AE-26FF-4E0C-AEC1-15C1561D930A}">
  <dimension ref="A1:C10"/>
  <sheetViews>
    <sheetView tabSelected="1" workbookViewId="0">
      <selection activeCell="B10" sqref="B10"/>
    </sheetView>
  </sheetViews>
  <sheetFormatPr defaultRowHeight="14.4" x14ac:dyDescent="0.3"/>
  <cols>
    <col min="1" max="1" width="13.21875" customWidth="1"/>
    <col min="2" max="2" width="16.44140625" customWidth="1"/>
  </cols>
  <sheetData>
    <row r="1" spans="1:3" ht="15.6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</sheetData>
  <conditionalFormatting sqref="A2:A10">
    <cfRule type="duplicateValues" dxfId="0" priority="1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5E6C-4A86-481D-9F4F-26BB16CA9F1E}">
  <dimension ref="A1:E9"/>
  <sheetViews>
    <sheetView workbookViewId="0">
      <selection activeCell="I8" sqref="I8"/>
    </sheetView>
  </sheetViews>
  <sheetFormatPr defaultRowHeight="14.4" x14ac:dyDescent="0.3"/>
  <cols>
    <col min="1" max="1" width="11.77734375" customWidth="1"/>
    <col min="2" max="2" width="15" customWidth="1"/>
    <col min="3" max="3" width="10.44140625" bestFit="1" customWidth="1"/>
    <col min="4" max="4" width="15.21875" customWidth="1"/>
  </cols>
  <sheetData>
    <row r="1" spans="1:5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154</v>
      </c>
    </row>
    <row r="2" spans="1:5" x14ac:dyDescent="0.3">
      <c r="A2" t="s">
        <v>34</v>
      </c>
      <c r="B2" t="s">
        <v>35</v>
      </c>
      <c r="C2" t="s">
        <v>36</v>
      </c>
      <c r="D2">
        <v>850</v>
      </c>
      <c r="E2">
        <v>700</v>
      </c>
    </row>
    <row r="3" spans="1:5" x14ac:dyDescent="0.3">
      <c r="A3" t="s">
        <v>37</v>
      </c>
      <c r="B3" t="s">
        <v>38</v>
      </c>
      <c r="C3" t="s">
        <v>36</v>
      </c>
      <c r="D3">
        <v>600</v>
      </c>
      <c r="E3">
        <v>500</v>
      </c>
    </row>
    <row r="4" spans="1:5" x14ac:dyDescent="0.3">
      <c r="A4" t="s">
        <v>39</v>
      </c>
      <c r="B4" t="s">
        <v>40</v>
      </c>
      <c r="C4" t="s">
        <v>41</v>
      </c>
      <c r="D4">
        <v>150</v>
      </c>
      <c r="E4">
        <v>100</v>
      </c>
    </row>
    <row r="5" spans="1:5" x14ac:dyDescent="0.3">
      <c r="A5" t="s">
        <v>42</v>
      </c>
      <c r="B5" t="s">
        <v>43</v>
      </c>
      <c r="C5" t="s">
        <v>41</v>
      </c>
      <c r="D5">
        <v>40</v>
      </c>
      <c r="E5">
        <v>45</v>
      </c>
    </row>
    <row r="6" spans="1:5" x14ac:dyDescent="0.3">
      <c r="A6" t="s">
        <v>44</v>
      </c>
      <c r="B6" t="s">
        <v>45</v>
      </c>
      <c r="C6" t="s">
        <v>36</v>
      </c>
      <c r="D6">
        <v>80</v>
      </c>
      <c r="E6">
        <v>70</v>
      </c>
    </row>
    <row r="7" spans="1:5" x14ac:dyDescent="0.3">
      <c r="A7" t="s">
        <v>46</v>
      </c>
      <c r="B7" t="s">
        <v>47</v>
      </c>
      <c r="C7" t="s">
        <v>48</v>
      </c>
      <c r="D7">
        <v>35</v>
      </c>
      <c r="E7">
        <v>30</v>
      </c>
    </row>
    <row r="8" spans="1:5" x14ac:dyDescent="0.3">
      <c r="A8" t="s">
        <v>49</v>
      </c>
      <c r="B8" t="s">
        <v>50</v>
      </c>
      <c r="C8" t="s">
        <v>48</v>
      </c>
      <c r="D8">
        <v>15</v>
      </c>
      <c r="E8">
        <v>10</v>
      </c>
    </row>
    <row r="9" spans="1:5" x14ac:dyDescent="0.3">
      <c r="A9" t="s">
        <v>51</v>
      </c>
      <c r="B9" t="s">
        <v>52</v>
      </c>
      <c r="C9" t="s">
        <v>36</v>
      </c>
      <c r="D9">
        <v>50</v>
      </c>
      <c r="E9">
        <v>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8536-8538-4DEA-AB95-E021FCF32B56}">
  <dimension ref="B3:I20"/>
  <sheetViews>
    <sheetView workbookViewId="0">
      <selection activeCell="H10" sqref="H10"/>
    </sheetView>
  </sheetViews>
  <sheetFormatPr defaultRowHeight="14.4" x14ac:dyDescent="0.3"/>
  <cols>
    <col min="2" max="2" width="12.5546875" bestFit="1" customWidth="1"/>
    <col min="3" max="3" width="15.77734375" bestFit="1" customWidth="1"/>
    <col min="4" max="4" width="3.21875" customWidth="1"/>
    <col min="5" max="5" width="12.5546875" bestFit="1" customWidth="1"/>
    <col min="6" max="6" width="12.44140625" bestFit="1" customWidth="1"/>
    <col min="7" max="7" width="13.5546875" bestFit="1" customWidth="1"/>
    <col min="8" max="11" width="9.77734375" bestFit="1" customWidth="1"/>
  </cols>
  <sheetData>
    <row r="3" spans="2:9" x14ac:dyDescent="0.3">
      <c r="B3" s="2" t="s">
        <v>151</v>
      </c>
      <c r="C3" t="s">
        <v>153</v>
      </c>
      <c r="E3" s="2" t="s">
        <v>151</v>
      </c>
      <c r="F3" t="s">
        <v>155</v>
      </c>
      <c r="G3" t="s">
        <v>157</v>
      </c>
    </row>
    <row r="4" spans="2:9" x14ac:dyDescent="0.3">
      <c r="B4" s="3" t="s">
        <v>7</v>
      </c>
      <c r="C4" s="4">
        <v>3</v>
      </c>
      <c r="E4" s="3" t="s">
        <v>47</v>
      </c>
      <c r="F4" s="4">
        <v>1085</v>
      </c>
      <c r="G4" s="5">
        <v>2.7067481601596607E-2</v>
      </c>
      <c r="I4">
        <v>1085</v>
      </c>
    </row>
    <row r="5" spans="2:9" x14ac:dyDescent="0.3">
      <c r="B5" s="3" t="s">
        <v>25</v>
      </c>
      <c r="C5" s="4">
        <v>3</v>
      </c>
      <c r="E5" s="3" t="s">
        <v>43</v>
      </c>
      <c r="F5" s="4">
        <v>720</v>
      </c>
      <c r="G5" s="5">
        <v>1.79618311088936E-2</v>
      </c>
      <c r="I5">
        <v>40085</v>
      </c>
    </row>
    <row r="6" spans="2:9" x14ac:dyDescent="0.3">
      <c r="B6" s="3" t="s">
        <v>4</v>
      </c>
      <c r="C6" s="4">
        <v>3.7142857142857144</v>
      </c>
      <c r="E6" s="3" t="s">
        <v>45</v>
      </c>
      <c r="F6" s="4">
        <v>1920</v>
      </c>
      <c r="G6" s="5">
        <v>4.7898216290382933E-2</v>
      </c>
    </row>
    <row r="7" spans="2:9" x14ac:dyDescent="0.3">
      <c r="B7" s="3" t="s">
        <v>10</v>
      </c>
      <c r="C7" s="4">
        <v>4</v>
      </c>
      <c r="E7" s="3" t="s">
        <v>52</v>
      </c>
      <c r="F7" s="4">
        <v>900</v>
      </c>
      <c r="G7" s="5">
        <v>2.2452288886117E-2</v>
      </c>
      <c r="I7" s="7">
        <f>I4/I5</f>
        <v>2.7067481601596607E-2</v>
      </c>
    </row>
    <row r="8" spans="2:9" x14ac:dyDescent="0.3">
      <c r="B8" s="3" t="s">
        <v>22</v>
      </c>
      <c r="C8" s="4">
        <v>4</v>
      </c>
      <c r="E8" s="3" t="s">
        <v>35</v>
      </c>
      <c r="F8" s="4">
        <v>20400</v>
      </c>
      <c r="G8" s="5">
        <v>0.50891854808531867</v>
      </c>
    </row>
    <row r="9" spans="2:9" x14ac:dyDescent="0.3">
      <c r="B9" s="3" t="s">
        <v>13</v>
      </c>
      <c r="C9" s="4">
        <v>3</v>
      </c>
      <c r="E9" s="3" t="s">
        <v>40</v>
      </c>
      <c r="F9" s="4">
        <v>3900</v>
      </c>
      <c r="G9" s="5">
        <v>9.7293251839840333E-2</v>
      </c>
    </row>
    <row r="10" spans="2:9" x14ac:dyDescent="0.3">
      <c r="B10" s="3" t="s">
        <v>16</v>
      </c>
      <c r="C10" s="4">
        <v>4</v>
      </c>
      <c r="E10" s="3" t="s">
        <v>38</v>
      </c>
      <c r="F10" s="4">
        <v>10800</v>
      </c>
      <c r="G10" s="5">
        <v>0.269427466633404</v>
      </c>
    </row>
    <row r="11" spans="2:9" x14ac:dyDescent="0.3">
      <c r="B11" s="3" t="s">
        <v>19</v>
      </c>
      <c r="C11" s="4">
        <v>3</v>
      </c>
      <c r="E11" s="3" t="s">
        <v>50</v>
      </c>
      <c r="F11" s="4">
        <v>360</v>
      </c>
      <c r="G11" s="5">
        <v>8.9809155544468E-3</v>
      </c>
    </row>
    <row r="12" spans="2:9" x14ac:dyDescent="0.3">
      <c r="B12" s="3" t="s">
        <v>28</v>
      </c>
      <c r="C12" s="4">
        <v>10</v>
      </c>
      <c r="E12" s="3" t="s">
        <v>152</v>
      </c>
      <c r="F12" s="4">
        <v>40085</v>
      </c>
      <c r="G12" s="5">
        <v>1</v>
      </c>
    </row>
    <row r="13" spans="2:9" x14ac:dyDescent="0.3">
      <c r="B13" s="3" t="s">
        <v>152</v>
      </c>
      <c r="C13" s="4">
        <v>3.5882352941176472</v>
      </c>
    </row>
    <row r="16" spans="2:9" x14ac:dyDescent="0.3">
      <c r="E16" s="2" t="s">
        <v>151</v>
      </c>
      <c r="F16" t="s">
        <v>156</v>
      </c>
    </row>
    <row r="17" spans="5:6" x14ac:dyDescent="0.3">
      <c r="E17" s="3" t="s">
        <v>48</v>
      </c>
      <c r="F17" s="4">
        <v>1445</v>
      </c>
    </row>
    <row r="18" spans="5:6" x14ac:dyDescent="0.3">
      <c r="E18" s="3" t="s">
        <v>36</v>
      </c>
      <c r="F18" s="4">
        <v>34020</v>
      </c>
    </row>
    <row r="19" spans="5:6" x14ac:dyDescent="0.3">
      <c r="E19" s="3" t="s">
        <v>41</v>
      </c>
      <c r="F19" s="4">
        <v>4620</v>
      </c>
    </row>
    <row r="20" spans="5:6" x14ac:dyDescent="0.3">
      <c r="E20" s="3" t="s">
        <v>152</v>
      </c>
      <c r="F20" s="4">
        <v>40085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5CF2-9BE4-4661-8323-868126BC43A6}">
  <dimension ref="A1"/>
  <sheetViews>
    <sheetView topLeftCell="A10" workbookViewId="0">
      <selection activeCell="M8" sqref="M8"/>
    </sheetView>
  </sheetViews>
  <sheetFormatPr defaultRowHeight="14.4" x14ac:dyDescent="0.3"/>
  <cols>
    <col min="1" max="16384" width="8.88671875" style="6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1E94-F5C8-4831-B9BF-A5E9E9AECDCE}">
  <dimension ref="A1:E52"/>
  <sheetViews>
    <sheetView zoomScale="160" zoomScaleNormal="160" workbookViewId="0">
      <selection sqref="A1:E12"/>
    </sheetView>
  </sheetViews>
  <sheetFormatPr defaultRowHeight="14.4" x14ac:dyDescent="0.3"/>
  <cols>
    <col min="1" max="1" width="9.88671875" customWidth="1"/>
    <col min="2" max="2" width="13.21875" customWidth="1"/>
    <col min="3" max="3" width="13.44140625" customWidth="1"/>
    <col min="4" max="4" width="13.109375" customWidth="1"/>
    <col min="5" max="5" width="10.21875" customWidth="1"/>
  </cols>
  <sheetData>
    <row r="1" spans="1:5" x14ac:dyDescent="0.3">
      <c r="A1" s="1" t="s">
        <v>53</v>
      </c>
      <c r="B1" s="1" t="s">
        <v>0</v>
      </c>
      <c r="C1" s="1" t="s">
        <v>30</v>
      </c>
      <c r="D1" s="1" t="s">
        <v>54</v>
      </c>
      <c r="E1" s="1" t="s">
        <v>55</v>
      </c>
    </row>
    <row r="2" spans="1:5" x14ac:dyDescent="0.3">
      <c r="A2" t="s">
        <v>56</v>
      </c>
      <c r="B2" t="s">
        <v>3</v>
      </c>
      <c r="C2" t="s">
        <v>39</v>
      </c>
      <c r="D2" t="s">
        <v>57</v>
      </c>
      <c r="E2">
        <v>2</v>
      </c>
    </row>
    <row r="3" spans="1:5" x14ac:dyDescent="0.3">
      <c r="A3" t="s">
        <v>58</v>
      </c>
      <c r="B3" t="s">
        <v>6</v>
      </c>
      <c r="C3" t="s">
        <v>46</v>
      </c>
      <c r="D3" t="s">
        <v>59</v>
      </c>
      <c r="E3">
        <v>3</v>
      </c>
    </row>
    <row r="4" spans="1:5" x14ac:dyDescent="0.3">
      <c r="A4" t="s">
        <v>60</v>
      </c>
      <c r="B4" t="s">
        <v>9</v>
      </c>
      <c r="C4" t="s">
        <v>34</v>
      </c>
      <c r="D4" t="s">
        <v>61</v>
      </c>
      <c r="E4">
        <v>4</v>
      </c>
    </row>
    <row r="5" spans="1:5" x14ac:dyDescent="0.3">
      <c r="A5" t="s">
        <v>62</v>
      </c>
      <c r="B5" t="s">
        <v>12</v>
      </c>
      <c r="C5" t="s">
        <v>42</v>
      </c>
      <c r="D5" t="s">
        <v>63</v>
      </c>
      <c r="E5">
        <v>5</v>
      </c>
    </row>
    <row r="6" spans="1:5" x14ac:dyDescent="0.3">
      <c r="A6" t="s">
        <v>64</v>
      </c>
      <c r="B6" t="s">
        <v>15</v>
      </c>
      <c r="C6" t="s">
        <v>49</v>
      </c>
      <c r="D6" t="s">
        <v>65</v>
      </c>
      <c r="E6">
        <v>6</v>
      </c>
    </row>
    <row r="7" spans="1:5" x14ac:dyDescent="0.3">
      <c r="A7" t="s">
        <v>66</v>
      </c>
      <c r="B7" t="s">
        <v>18</v>
      </c>
      <c r="C7" t="s">
        <v>37</v>
      </c>
      <c r="D7" t="s">
        <v>67</v>
      </c>
      <c r="E7">
        <v>1</v>
      </c>
    </row>
    <row r="8" spans="1:5" x14ac:dyDescent="0.3">
      <c r="A8" t="s">
        <v>68</v>
      </c>
      <c r="B8" t="s">
        <v>21</v>
      </c>
      <c r="C8" t="s">
        <v>44</v>
      </c>
      <c r="D8" t="s">
        <v>69</v>
      </c>
      <c r="E8">
        <v>2</v>
      </c>
    </row>
    <row r="9" spans="1:5" x14ac:dyDescent="0.3">
      <c r="A9" t="s">
        <v>70</v>
      </c>
      <c r="B9" t="s">
        <v>24</v>
      </c>
      <c r="C9" t="s">
        <v>51</v>
      </c>
      <c r="D9" t="s">
        <v>71</v>
      </c>
      <c r="E9">
        <v>3</v>
      </c>
    </row>
    <row r="10" spans="1:5" x14ac:dyDescent="0.3">
      <c r="A10" t="s">
        <v>72</v>
      </c>
      <c r="B10" t="s">
        <v>3</v>
      </c>
      <c r="C10" t="s">
        <v>39</v>
      </c>
      <c r="D10" t="s">
        <v>73</v>
      </c>
      <c r="E10">
        <v>4</v>
      </c>
    </row>
    <row r="11" spans="1:5" x14ac:dyDescent="0.3">
      <c r="A11" t="s">
        <v>74</v>
      </c>
      <c r="B11" t="s">
        <v>6</v>
      </c>
      <c r="C11" t="s">
        <v>46</v>
      </c>
      <c r="D11" t="s">
        <v>75</v>
      </c>
      <c r="E11">
        <v>5</v>
      </c>
    </row>
    <row r="12" spans="1:5" x14ac:dyDescent="0.3">
      <c r="A12" t="s">
        <v>74</v>
      </c>
      <c r="B12" t="s">
        <v>9</v>
      </c>
      <c r="C12" t="s">
        <v>34</v>
      </c>
      <c r="D12" t="s">
        <v>76</v>
      </c>
      <c r="E12">
        <v>6</v>
      </c>
    </row>
    <row r="13" spans="1:5" x14ac:dyDescent="0.3">
      <c r="A13" t="s">
        <v>74</v>
      </c>
      <c r="B13" t="s">
        <v>12</v>
      </c>
      <c r="C13" t="s">
        <v>42</v>
      </c>
      <c r="D13" t="s">
        <v>77</v>
      </c>
      <c r="E13">
        <v>1</v>
      </c>
    </row>
    <row r="14" spans="1:5" x14ac:dyDescent="0.3">
      <c r="A14" t="s">
        <v>78</v>
      </c>
      <c r="B14" t="s">
        <v>15</v>
      </c>
      <c r="C14" t="s">
        <v>49</v>
      </c>
      <c r="D14" t="s">
        <v>79</v>
      </c>
      <c r="E14">
        <v>2</v>
      </c>
    </row>
    <row r="15" spans="1:5" x14ac:dyDescent="0.3">
      <c r="A15" t="s">
        <v>80</v>
      </c>
      <c r="B15" t="s">
        <v>18</v>
      </c>
      <c r="C15" t="s">
        <v>37</v>
      </c>
      <c r="D15" t="s">
        <v>81</v>
      </c>
      <c r="E15">
        <v>3</v>
      </c>
    </row>
    <row r="16" spans="1:5" x14ac:dyDescent="0.3">
      <c r="A16" t="s">
        <v>82</v>
      </c>
      <c r="B16" t="s">
        <v>21</v>
      </c>
      <c r="C16" t="s">
        <v>44</v>
      </c>
      <c r="D16" t="s">
        <v>83</v>
      </c>
      <c r="E16">
        <v>4</v>
      </c>
    </row>
    <row r="17" spans="1:5" x14ac:dyDescent="0.3">
      <c r="A17" t="s">
        <v>84</v>
      </c>
      <c r="B17" t="s">
        <v>24</v>
      </c>
      <c r="C17" t="s">
        <v>51</v>
      </c>
      <c r="D17" t="s">
        <v>85</v>
      </c>
      <c r="E17">
        <v>5</v>
      </c>
    </row>
    <row r="18" spans="1:5" x14ac:dyDescent="0.3">
      <c r="A18" t="s">
        <v>86</v>
      </c>
      <c r="B18" t="s">
        <v>3</v>
      </c>
      <c r="C18" t="s">
        <v>39</v>
      </c>
      <c r="D18" t="s">
        <v>87</v>
      </c>
      <c r="E18">
        <v>6</v>
      </c>
    </row>
    <row r="19" spans="1:5" x14ac:dyDescent="0.3">
      <c r="A19" t="s">
        <v>88</v>
      </c>
      <c r="B19" t="s">
        <v>6</v>
      </c>
      <c r="C19" t="s">
        <v>46</v>
      </c>
      <c r="D19" t="s">
        <v>89</v>
      </c>
      <c r="E19">
        <v>1</v>
      </c>
    </row>
    <row r="20" spans="1:5" x14ac:dyDescent="0.3">
      <c r="A20" t="s">
        <v>90</v>
      </c>
      <c r="B20" t="s">
        <v>9</v>
      </c>
      <c r="C20" t="s">
        <v>34</v>
      </c>
      <c r="D20" t="s">
        <v>91</v>
      </c>
      <c r="E20">
        <v>2</v>
      </c>
    </row>
    <row r="21" spans="1:5" x14ac:dyDescent="0.3">
      <c r="A21" t="s">
        <v>92</v>
      </c>
      <c r="B21" t="s">
        <v>12</v>
      </c>
      <c r="C21" t="s">
        <v>42</v>
      </c>
      <c r="D21" t="s">
        <v>93</v>
      </c>
      <c r="E21">
        <v>3</v>
      </c>
    </row>
    <row r="22" spans="1:5" x14ac:dyDescent="0.3">
      <c r="A22" t="s">
        <v>94</v>
      </c>
      <c r="B22" t="s">
        <v>15</v>
      </c>
      <c r="C22" t="s">
        <v>49</v>
      </c>
      <c r="D22" t="s">
        <v>95</v>
      </c>
      <c r="E22">
        <v>4</v>
      </c>
    </row>
    <row r="23" spans="1:5" x14ac:dyDescent="0.3">
      <c r="A23" t="s">
        <v>96</v>
      </c>
      <c r="B23" t="s">
        <v>18</v>
      </c>
      <c r="C23" t="s">
        <v>37</v>
      </c>
      <c r="D23" t="s">
        <v>97</v>
      </c>
      <c r="E23">
        <v>5</v>
      </c>
    </row>
    <row r="24" spans="1:5" x14ac:dyDescent="0.3">
      <c r="A24" t="s">
        <v>98</v>
      </c>
      <c r="B24" t="s">
        <v>21</v>
      </c>
      <c r="C24" t="s">
        <v>44</v>
      </c>
      <c r="D24" t="s">
        <v>99</v>
      </c>
      <c r="E24">
        <v>6</v>
      </c>
    </row>
    <row r="25" spans="1:5" x14ac:dyDescent="0.3">
      <c r="A25" t="s">
        <v>100</v>
      </c>
      <c r="B25" t="s">
        <v>24</v>
      </c>
      <c r="C25" t="s">
        <v>51</v>
      </c>
      <c r="D25" t="s">
        <v>101</v>
      </c>
      <c r="E25">
        <v>1</v>
      </c>
    </row>
    <row r="26" spans="1:5" x14ac:dyDescent="0.3">
      <c r="A26" t="s">
        <v>102</v>
      </c>
      <c r="B26" t="s">
        <v>3</v>
      </c>
      <c r="C26" t="s">
        <v>39</v>
      </c>
      <c r="D26" t="s">
        <v>103</v>
      </c>
      <c r="E26">
        <v>2</v>
      </c>
    </row>
    <row r="27" spans="1:5" x14ac:dyDescent="0.3">
      <c r="A27" t="s">
        <v>104</v>
      </c>
      <c r="B27" t="s">
        <v>6</v>
      </c>
      <c r="C27" t="s">
        <v>46</v>
      </c>
      <c r="D27" t="s">
        <v>105</v>
      </c>
      <c r="E27">
        <v>3</v>
      </c>
    </row>
    <row r="28" spans="1:5" x14ac:dyDescent="0.3">
      <c r="A28" t="s">
        <v>106</v>
      </c>
      <c r="B28" t="s">
        <v>9</v>
      </c>
      <c r="C28" t="s">
        <v>34</v>
      </c>
      <c r="D28" t="s">
        <v>107</v>
      </c>
      <c r="E28">
        <v>4</v>
      </c>
    </row>
    <row r="29" spans="1:5" x14ac:dyDescent="0.3">
      <c r="A29" t="s">
        <v>108</v>
      </c>
      <c r="B29" t="s">
        <v>12</v>
      </c>
      <c r="C29" t="s">
        <v>42</v>
      </c>
      <c r="D29" t="s">
        <v>109</v>
      </c>
      <c r="E29">
        <v>5</v>
      </c>
    </row>
    <row r="30" spans="1:5" x14ac:dyDescent="0.3">
      <c r="A30" t="s">
        <v>110</v>
      </c>
      <c r="B30" t="s">
        <v>15</v>
      </c>
      <c r="C30" t="s">
        <v>49</v>
      </c>
      <c r="D30" t="s">
        <v>111</v>
      </c>
      <c r="E30">
        <v>6</v>
      </c>
    </row>
    <row r="31" spans="1:5" x14ac:dyDescent="0.3">
      <c r="A31" t="s">
        <v>112</v>
      </c>
      <c r="B31" t="s">
        <v>18</v>
      </c>
      <c r="C31" t="s">
        <v>37</v>
      </c>
      <c r="D31" t="s">
        <v>113</v>
      </c>
      <c r="E31">
        <v>1</v>
      </c>
    </row>
    <row r="32" spans="1:5" x14ac:dyDescent="0.3">
      <c r="A32" t="s">
        <v>114</v>
      </c>
      <c r="B32" t="s">
        <v>21</v>
      </c>
      <c r="C32" t="s">
        <v>44</v>
      </c>
      <c r="D32" t="s">
        <v>115</v>
      </c>
      <c r="E32">
        <v>2</v>
      </c>
    </row>
    <row r="33" spans="1:5" x14ac:dyDescent="0.3">
      <c r="A33" t="s">
        <v>116</v>
      </c>
      <c r="B33" t="s">
        <v>24</v>
      </c>
      <c r="C33" t="s">
        <v>51</v>
      </c>
      <c r="D33" t="s">
        <v>117</v>
      </c>
      <c r="E33">
        <v>3</v>
      </c>
    </row>
    <row r="34" spans="1:5" x14ac:dyDescent="0.3">
      <c r="A34" t="s">
        <v>118</v>
      </c>
      <c r="B34" t="s">
        <v>3</v>
      </c>
      <c r="C34" t="s">
        <v>39</v>
      </c>
      <c r="D34" t="s">
        <v>119</v>
      </c>
      <c r="E34">
        <v>4</v>
      </c>
    </row>
    <row r="35" spans="1:5" x14ac:dyDescent="0.3">
      <c r="A35" t="s">
        <v>120</v>
      </c>
      <c r="B35" t="s">
        <v>6</v>
      </c>
      <c r="C35" t="s">
        <v>46</v>
      </c>
      <c r="D35" t="s">
        <v>121</v>
      </c>
      <c r="E35">
        <v>5</v>
      </c>
    </row>
    <row r="36" spans="1:5" x14ac:dyDescent="0.3">
      <c r="A36" t="s">
        <v>122</v>
      </c>
      <c r="B36" t="s">
        <v>9</v>
      </c>
      <c r="C36" t="s">
        <v>34</v>
      </c>
      <c r="D36" t="s">
        <v>123</v>
      </c>
      <c r="E36">
        <v>6</v>
      </c>
    </row>
    <row r="37" spans="1:5" x14ac:dyDescent="0.3">
      <c r="A37" t="s">
        <v>124</v>
      </c>
      <c r="B37" t="s">
        <v>12</v>
      </c>
      <c r="C37" t="s">
        <v>42</v>
      </c>
      <c r="D37" t="s">
        <v>125</v>
      </c>
      <c r="E37">
        <v>1</v>
      </c>
    </row>
    <row r="38" spans="1:5" x14ac:dyDescent="0.3">
      <c r="A38" t="s">
        <v>126</v>
      </c>
      <c r="B38" t="s">
        <v>15</v>
      </c>
      <c r="C38" t="s">
        <v>49</v>
      </c>
      <c r="D38" t="s">
        <v>127</v>
      </c>
      <c r="E38">
        <v>2</v>
      </c>
    </row>
    <row r="39" spans="1:5" x14ac:dyDescent="0.3">
      <c r="A39" t="s">
        <v>128</v>
      </c>
      <c r="B39" t="s">
        <v>18</v>
      </c>
      <c r="C39" t="s">
        <v>37</v>
      </c>
      <c r="D39" t="s">
        <v>129</v>
      </c>
      <c r="E39">
        <v>3</v>
      </c>
    </row>
    <row r="40" spans="1:5" x14ac:dyDescent="0.3">
      <c r="A40" t="s">
        <v>130</v>
      </c>
      <c r="B40" t="s">
        <v>21</v>
      </c>
      <c r="C40" t="s">
        <v>44</v>
      </c>
      <c r="D40" t="s">
        <v>131</v>
      </c>
      <c r="E40">
        <v>4</v>
      </c>
    </row>
    <row r="41" spans="1:5" x14ac:dyDescent="0.3">
      <c r="A41" t="s">
        <v>132</v>
      </c>
      <c r="B41" t="s">
        <v>24</v>
      </c>
      <c r="C41" t="s">
        <v>51</v>
      </c>
      <c r="D41" t="s">
        <v>133</v>
      </c>
      <c r="E41">
        <v>5</v>
      </c>
    </row>
    <row r="42" spans="1:5" x14ac:dyDescent="0.3">
      <c r="A42" t="s">
        <v>134</v>
      </c>
      <c r="B42" t="s">
        <v>3</v>
      </c>
      <c r="C42" t="s">
        <v>39</v>
      </c>
      <c r="D42" t="s">
        <v>135</v>
      </c>
      <c r="E42">
        <v>6</v>
      </c>
    </row>
    <row r="43" spans="1:5" x14ac:dyDescent="0.3">
      <c r="A43" t="s">
        <v>136</v>
      </c>
      <c r="B43" t="s">
        <v>6</v>
      </c>
      <c r="C43" t="s">
        <v>46</v>
      </c>
      <c r="D43" t="s">
        <v>137</v>
      </c>
      <c r="E43">
        <v>1</v>
      </c>
    </row>
    <row r="44" spans="1:5" x14ac:dyDescent="0.3">
      <c r="A44" t="s">
        <v>138</v>
      </c>
      <c r="B44" t="s">
        <v>9</v>
      </c>
      <c r="C44" t="s">
        <v>34</v>
      </c>
      <c r="D44" t="s">
        <v>139</v>
      </c>
      <c r="E44">
        <v>2</v>
      </c>
    </row>
    <row r="45" spans="1:5" x14ac:dyDescent="0.3">
      <c r="A45" t="s">
        <v>140</v>
      </c>
      <c r="B45" t="s">
        <v>12</v>
      </c>
      <c r="C45" t="s">
        <v>42</v>
      </c>
      <c r="D45" t="s">
        <v>141</v>
      </c>
      <c r="E45">
        <v>3</v>
      </c>
    </row>
    <row r="46" spans="1:5" x14ac:dyDescent="0.3">
      <c r="A46" t="s">
        <v>142</v>
      </c>
      <c r="B46" t="s">
        <v>15</v>
      </c>
      <c r="C46" t="s">
        <v>49</v>
      </c>
      <c r="D46" t="s">
        <v>143</v>
      </c>
      <c r="E46">
        <v>4</v>
      </c>
    </row>
    <row r="47" spans="1:5" x14ac:dyDescent="0.3">
      <c r="A47" t="s">
        <v>144</v>
      </c>
      <c r="B47" t="s">
        <v>18</v>
      </c>
      <c r="C47" t="s">
        <v>37</v>
      </c>
      <c r="D47" t="s">
        <v>145</v>
      </c>
      <c r="E47">
        <v>5</v>
      </c>
    </row>
    <row r="48" spans="1:5" x14ac:dyDescent="0.3">
      <c r="A48" t="s">
        <v>146</v>
      </c>
      <c r="B48" t="s">
        <v>21</v>
      </c>
      <c r="C48" t="s">
        <v>44</v>
      </c>
      <c r="D48" t="s">
        <v>147</v>
      </c>
      <c r="E48">
        <v>6</v>
      </c>
    </row>
    <row r="49" spans="1:5" x14ac:dyDescent="0.3">
      <c r="A49" t="s">
        <v>146</v>
      </c>
      <c r="B49" t="s">
        <v>24</v>
      </c>
      <c r="C49" t="s">
        <v>51</v>
      </c>
      <c r="D49" t="s">
        <v>148</v>
      </c>
      <c r="E49">
        <v>1</v>
      </c>
    </row>
    <row r="50" spans="1:5" x14ac:dyDescent="0.3">
      <c r="A50" t="s">
        <v>146</v>
      </c>
      <c r="B50" t="s">
        <v>3</v>
      </c>
      <c r="C50" t="s">
        <v>39</v>
      </c>
      <c r="D50" t="s">
        <v>149</v>
      </c>
      <c r="E50">
        <v>2</v>
      </c>
    </row>
    <row r="51" spans="1:5" x14ac:dyDescent="0.3">
      <c r="A51" t="s">
        <v>146</v>
      </c>
      <c r="B51" t="s">
        <v>6</v>
      </c>
      <c r="C51" t="s">
        <v>46</v>
      </c>
      <c r="D51" t="s">
        <v>150</v>
      </c>
      <c r="E51">
        <v>3</v>
      </c>
    </row>
    <row r="52" spans="1:5" x14ac:dyDescent="0.3">
      <c r="A52" t="s">
        <v>146</v>
      </c>
      <c r="B52" t="s">
        <v>27</v>
      </c>
      <c r="C52" t="s">
        <v>46</v>
      </c>
      <c r="D52" t="s">
        <v>150</v>
      </c>
      <c r="E52">
        <v>10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D981B880-4679-475F-9A34-4D4A82466F07}">
  <ds:schemaRefs/>
</ds:datastoreItem>
</file>

<file path=customXml/itemProps2.xml><?xml version="1.0" encoding="utf-8"?>
<ds:datastoreItem xmlns:ds="http://schemas.openxmlformats.org/officeDocument/2006/customXml" ds:itemID="{0B690E92-8FE8-447A-AC73-9DA67928256A}">
  <ds:schemaRefs/>
</ds:datastoreItem>
</file>

<file path=customXml/itemProps3.xml><?xml version="1.0" encoding="utf-8"?>
<ds:datastoreItem xmlns:ds="http://schemas.openxmlformats.org/officeDocument/2006/customXml" ds:itemID="{C3FD1683-D1E2-4604-BAD1-CD362BCC71BA}">
  <ds:schemaRefs/>
</ds:datastoreItem>
</file>

<file path=customXml/itemProps4.xml><?xml version="1.0" encoding="utf-8"?>
<ds:datastoreItem xmlns:ds="http://schemas.openxmlformats.org/officeDocument/2006/customXml" ds:itemID="{8B359A87-2D93-4D06-928E-CB64693A953E}">
  <ds:schemaRefs/>
</ds:datastoreItem>
</file>

<file path=customXml/itemProps5.xml><?xml version="1.0" encoding="utf-8"?>
<ds:datastoreItem xmlns:ds="http://schemas.openxmlformats.org/officeDocument/2006/customXml" ds:itemID="{D8CCA8CB-2AA2-4D68-8DF2-96F9F78D4707}">
  <ds:schemaRefs/>
</ds:datastoreItem>
</file>

<file path=customXml/itemProps6.xml><?xml version="1.0" encoding="utf-8"?>
<ds:datastoreItem xmlns:ds="http://schemas.openxmlformats.org/officeDocument/2006/customXml" ds:itemID="{961AB3AF-54A8-4BE8-A642-5737512E65A0}">
  <ds:schemaRefs/>
</ds:datastoreItem>
</file>

<file path=customXml/itemProps7.xml><?xml version="1.0" encoding="utf-8"?>
<ds:datastoreItem xmlns:ds="http://schemas.openxmlformats.org/officeDocument/2006/customXml" ds:itemID="{5D67A09E-BC86-4BD6-9EB2-7E9073780E5E}">
  <ds:schemaRefs/>
</ds:datastoreItem>
</file>

<file path=customXml/itemProps8.xml><?xml version="1.0" encoding="utf-8"?>
<ds:datastoreItem xmlns:ds="http://schemas.openxmlformats.org/officeDocument/2006/customXml" ds:itemID="{3D4EAF1F-BDEA-4953-BC34-53F77B921719}">
  <ds:schemaRefs/>
</ds:datastoreItem>
</file>

<file path=customXml/itemProps9.xml><?xml version="1.0" encoding="utf-8"?>
<ds:datastoreItem xmlns:ds="http://schemas.openxmlformats.org/officeDocument/2006/customXml" ds:itemID="{002D531D-8647-4970-83FF-210359AF4A0B}">
  <ds:schemaRefs/>
</ds:datastoreItem>
</file>

<file path=customXml/itemProps10.xml><?xml version="1.0" encoding="utf-8"?>
<ds:datastoreItem xmlns:ds="http://schemas.openxmlformats.org/officeDocument/2006/customXml" ds:itemID="{40F6D98C-AD9E-47B0-96B8-FF885C843933}">
  <ds:schemaRefs/>
</ds:datastoreItem>
</file>

<file path=customXml/itemProps11.xml><?xml version="1.0" encoding="utf-8"?>
<ds:datastoreItem xmlns:ds="http://schemas.openxmlformats.org/officeDocument/2006/customXml" ds:itemID="{6A820DA1-0CC5-4659-BFF8-F1B8F22887E9}">
  <ds:schemaRefs/>
</ds:datastoreItem>
</file>

<file path=customXml/itemProps12.xml><?xml version="1.0" encoding="utf-8"?>
<ds:datastoreItem xmlns:ds="http://schemas.openxmlformats.org/officeDocument/2006/customXml" ds:itemID="{B705DD39-96F9-4D3C-B4E7-1CD1D78A45BF}">
  <ds:schemaRefs/>
</ds:datastoreItem>
</file>

<file path=customXml/itemProps13.xml><?xml version="1.0" encoding="utf-8"?>
<ds:datastoreItem xmlns:ds="http://schemas.openxmlformats.org/officeDocument/2006/customXml" ds:itemID="{E4C5016F-2302-4842-8E5D-A7D537DDD1CD}">
  <ds:schemaRefs/>
</ds:datastoreItem>
</file>

<file path=customXml/itemProps14.xml><?xml version="1.0" encoding="utf-8"?>
<ds:datastoreItem xmlns:ds="http://schemas.openxmlformats.org/officeDocument/2006/customXml" ds:itemID="{5E6F849E-8086-471A-B3D4-2C54E8E670FC}">
  <ds:schemaRefs/>
</ds:datastoreItem>
</file>

<file path=customXml/itemProps15.xml><?xml version="1.0" encoding="utf-8"?>
<ds:datastoreItem xmlns:ds="http://schemas.openxmlformats.org/officeDocument/2006/customXml" ds:itemID="{08FBEAF0-D136-497A-84E4-6F290B57D270}">
  <ds:schemaRefs/>
</ds:datastoreItem>
</file>

<file path=customXml/itemProps16.xml><?xml version="1.0" encoding="utf-8"?>
<ds:datastoreItem xmlns:ds="http://schemas.openxmlformats.org/officeDocument/2006/customXml" ds:itemID="{58581269-7C30-4CCA-B4F8-2BC15EB70228}">
  <ds:schemaRefs/>
</ds:datastoreItem>
</file>

<file path=customXml/itemProps17.xml><?xml version="1.0" encoding="utf-8"?>
<ds:datastoreItem xmlns:ds="http://schemas.openxmlformats.org/officeDocument/2006/customXml" ds:itemID="{01EEA947-2177-4318-ACFD-C62BFF390132}">
  <ds:schemaRefs/>
</ds:datastoreItem>
</file>

<file path=customXml/itemProps18.xml><?xml version="1.0" encoding="utf-8"?>
<ds:datastoreItem xmlns:ds="http://schemas.openxmlformats.org/officeDocument/2006/customXml" ds:itemID="{47931C8A-0669-44A8-BC39-1FA6D5A1B170}">
  <ds:schemaRefs/>
</ds:datastoreItem>
</file>

<file path=customXml/itemProps19.xml><?xml version="1.0" encoding="utf-8"?>
<ds:datastoreItem xmlns:ds="http://schemas.openxmlformats.org/officeDocument/2006/customXml" ds:itemID="{09C46C05-B13B-41DC-8472-133411F09764}">
  <ds:schemaRefs/>
</ds:datastoreItem>
</file>

<file path=customXml/itemProps20.xml><?xml version="1.0" encoding="utf-8"?>
<ds:datastoreItem xmlns:ds="http://schemas.openxmlformats.org/officeDocument/2006/customXml" ds:itemID="{5FE301CF-BD54-4D48-98C4-94A7ED040404}">
  <ds:schemaRefs/>
</ds:datastoreItem>
</file>

<file path=customXml/itemProps21.xml><?xml version="1.0" encoding="utf-8"?>
<ds:datastoreItem xmlns:ds="http://schemas.openxmlformats.org/officeDocument/2006/customXml" ds:itemID="{4FA5DC06-49F9-4221-A885-C6FE878849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Sheet4</vt:lpstr>
      <vt:lpstr>Sheet5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a30372</dc:creator>
  <cp:lastModifiedBy>a30372</cp:lastModifiedBy>
  <dcterms:created xsi:type="dcterms:W3CDTF">2026-08-04T16:07:10Z</dcterms:created>
  <dcterms:modified xsi:type="dcterms:W3CDTF">2026-08-04T18:46:37Z</dcterms:modified>
</cp:coreProperties>
</file>