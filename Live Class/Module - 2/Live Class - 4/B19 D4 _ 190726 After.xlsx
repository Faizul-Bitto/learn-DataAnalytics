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xl/webextensions/webextension7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SUD\Desktop\Batch -18\"/>
    </mc:Choice>
  </mc:AlternateContent>
  <xr:revisionPtr revIDLastSave="0" documentId="13_ncr:1_{789288CC-66A9-4255-B0F2-5E814FC96E01}" xr6:coauthVersionLast="47" xr6:coauthVersionMax="47" xr10:uidLastSave="{00000000-0000-0000-0000-000000000000}"/>
  <bookViews>
    <workbookView xWindow="-108" yWindow="-108" windowWidth="23256" windowHeight="12576" tabRatio="931" activeTab="5" xr2:uid="{00000000-000D-0000-FFFF-FFFF00000000}"/>
  </bookViews>
  <sheets>
    <sheet name="Topic D4 _ 150626" sheetId="5" r:id="rId1"/>
    <sheet name="IFS_Function_Example" sheetId="13" state="hidden" r:id="rId2"/>
    <sheet name="Groupby_Functions" sheetId="1" r:id="rId3"/>
    <sheet name="Groupby Continues" sheetId="12" r:id="rId4"/>
    <sheet name="AI_in_Excel" sheetId="2" state="hidden" r:id="rId5"/>
    <sheet name="SUMIF Function" sheetId="9" r:id="rId6"/>
    <sheet name="Avrageif, ifs" sheetId="4" r:id="rId7"/>
    <sheet name="Countif" sheetId="14" r:id="rId8"/>
    <sheet name="INDEX MATCH Functions" sheetId="10" r:id="rId9"/>
    <sheet name="INDEX MATCH Master Emp List" sheetId="11" r:id="rId10"/>
    <sheet name="Data Validation" sheetId="15" state="hidden" r:id="rId11"/>
  </sheets>
  <externalReferences>
    <externalReference r:id="rId12"/>
  </externalReferences>
  <definedNames>
    <definedName name="_xlnm._FilterDatabase" localSheetId="2" hidden="1">Groupby_Functions!$A$1:$D$151</definedName>
    <definedName name="_xlnm._FilterDatabase" localSheetId="9" hidden="1">'INDEX MATCH Master Emp List'!$B$1:$I$38</definedName>
    <definedName name="_xlnm._FilterDatabase" localSheetId="5" hidden="1">'SUMIF Function'!$A$3:$E$273</definedName>
    <definedName name="Goal">[1]IF_Function!$I$2</definedName>
    <definedName name="Jan_21">[1]IF_Function!$B$5:$B$9</definedName>
  </definedNames>
  <calcPr calcId="191029"/>
  <pivotCaches>
    <pivotCache cacheId="1" r:id="rId13"/>
    <pivotCache cacheId="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1" l="1"/>
  <c r="M21" i="11"/>
  <c r="M19" i="11"/>
  <c r="L19" i="11" a="1"/>
  <c r="L19" i="11" s="1"/>
  <c r="M6" i="11" a="1"/>
  <c r="M6" i="11" s="1"/>
  <c r="I3" i="12" a="1"/>
  <c r="I3" i="12" s="1"/>
  <c r="L17" i="1" a="1"/>
  <c r="L17" i="1" s="1"/>
  <c r="L10" i="1" a="1"/>
  <c r="L10" i="1" s="1"/>
  <c r="L3" i="1" a="1"/>
  <c r="L3" i="1" s="1"/>
  <c r="I3" i="1" a="1"/>
  <c r="I3" i="1" s="1"/>
  <c r="G2" i="1"/>
  <c r="G6" i="10"/>
  <c r="F6" i="10"/>
  <c r="D6" i="10"/>
  <c r="C6" i="10"/>
  <c r="H7" i="14"/>
  <c r="H9" i="14"/>
  <c r="H6" i="14"/>
  <c r="H5" i="14"/>
  <c r="H4" i="14"/>
  <c r="H14" i="14"/>
  <c r="H13" i="14"/>
  <c r="H9" i="4"/>
  <c r="H6" i="4"/>
  <c r="H5" i="4"/>
  <c r="H4" i="4"/>
  <c r="H9" i="9"/>
  <c r="H6" i="9"/>
  <c r="H5" i="9"/>
  <c r="H4" i="9"/>
  <c r="C6" i="13" a="1"/>
  <c r="C6" i="13"/>
  <c r="M4" i="12"/>
  <c r="I12" i="1" a="1"/>
  <c r="C3" i="13" a="1"/>
  <c r="I12" i="1" l="1"/>
  <c r="C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<sst xmlns="http://schemas.openxmlformats.org/spreadsheetml/2006/main" count="1054" uniqueCount="240">
  <si>
    <t>Rahim</t>
  </si>
  <si>
    <t>Month</t>
  </si>
  <si>
    <t>Sales</t>
  </si>
  <si>
    <t>Profit</t>
  </si>
  <si>
    <t>Jun</t>
  </si>
  <si>
    <t>Sep</t>
  </si>
  <si>
    <t>May</t>
  </si>
  <si>
    <t>Oct</t>
  </si>
  <si>
    <t>Feb</t>
  </si>
  <si>
    <t>Aug</t>
  </si>
  <si>
    <t>Jul</t>
  </si>
  <si>
    <t>Jan</t>
  </si>
  <si>
    <t>Nov</t>
  </si>
  <si>
    <t>Apr</t>
  </si>
  <si>
    <t>Dec</t>
  </si>
  <si>
    <t>Mar</t>
  </si>
  <si>
    <t>First Name</t>
  </si>
  <si>
    <t>Last Name</t>
  </si>
  <si>
    <t>Sadia</t>
  </si>
  <si>
    <t>Hossain</t>
  </si>
  <si>
    <t>Rahman</t>
  </si>
  <si>
    <t>Islam</t>
  </si>
  <si>
    <t>Topic Name</t>
  </si>
  <si>
    <t xml:space="preserve">Status </t>
  </si>
  <si>
    <t>Marketing</t>
  </si>
  <si>
    <t>Khulna</t>
  </si>
  <si>
    <t>Mia</t>
  </si>
  <si>
    <t>HR</t>
  </si>
  <si>
    <t>Rajshahi</t>
  </si>
  <si>
    <t>Dhaka</t>
  </si>
  <si>
    <t>Groupby Function</t>
  </si>
  <si>
    <t>Sumif, Counitif</t>
  </si>
  <si>
    <t>Averageif, Averageifs</t>
  </si>
  <si>
    <t>Index, Match, Index+Match</t>
  </si>
  <si>
    <t>ID</t>
  </si>
  <si>
    <t>Category</t>
  </si>
  <si>
    <t>SubCategory</t>
  </si>
  <si>
    <t>Value</t>
  </si>
  <si>
    <t>Electronics</t>
  </si>
  <si>
    <t>B</t>
  </si>
  <si>
    <t>Furniture</t>
  </si>
  <si>
    <t>Clothing</t>
  </si>
  <si>
    <t>C</t>
  </si>
  <si>
    <t>A</t>
  </si>
  <si>
    <t>Grocery</t>
  </si>
  <si>
    <t>RETURNS VALUE AT A SPECIFIC POSITION</t>
  </si>
  <si>
    <t>RETURNS NUMERIC POSITION OF A VALUE</t>
  </si>
  <si>
    <t>EMP ID</t>
  </si>
  <si>
    <t>INDEX</t>
  </si>
  <si>
    <t>MATCH</t>
  </si>
  <si>
    <t>INDEX &amp; MATCH _ Dept</t>
  </si>
  <si>
    <t>INDEX &amp; MATCH _ First Name</t>
  </si>
  <si>
    <t>INDEX &amp; MATCH _ Last Name</t>
  </si>
  <si>
    <t>Dept</t>
  </si>
  <si>
    <t>E-mail</t>
  </si>
  <si>
    <t>Phone Ext</t>
  </si>
  <si>
    <t>Location</t>
  </si>
  <si>
    <t>Emp ID</t>
  </si>
  <si>
    <t>Hire Date</t>
  </si>
  <si>
    <t>Pay Rate</t>
  </si>
  <si>
    <t>Abdur</t>
  </si>
  <si>
    <t>rahim</t>
  </si>
  <si>
    <t>Chittagong</t>
  </si>
  <si>
    <t>Kanti</t>
  </si>
  <si>
    <t>Amit</t>
  </si>
  <si>
    <t>Operation</t>
  </si>
  <si>
    <t>kanti</t>
  </si>
  <si>
    <t>Sen</t>
  </si>
  <si>
    <t>Anirban</t>
  </si>
  <si>
    <t>a_sen</t>
  </si>
  <si>
    <t>Huq</t>
  </si>
  <si>
    <t>Arif</t>
  </si>
  <si>
    <t>a_huq</t>
  </si>
  <si>
    <t>Ataur</t>
  </si>
  <si>
    <t>rahman</t>
  </si>
  <si>
    <t>Hosen</t>
  </si>
  <si>
    <t>Belal</t>
  </si>
  <si>
    <t>bhosen</t>
  </si>
  <si>
    <t>Billal</t>
  </si>
  <si>
    <t>Installation</t>
  </si>
  <si>
    <t>hossain</t>
  </si>
  <si>
    <t>Haque</t>
  </si>
  <si>
    <t>Brishty</t>
  </si>
  <si>
    <t>haque</t>
  </si>
  <si>
    <t>Bulbul</t>
  </si>
  <si>
    <t>mia</t>
  </si>
  <si>
    <t>Fuad</t>
  </si>
  <si>
    <t>Khan</t>
  </si>
  <si>
    <t>Halim</t>
  </si>
  <si>
    <t>khan</t>
  </si>
  <si>
    <t>Imranul</t>
  </si>
  <si>
    <t>islam</t>
  </si>
  <si>
    <t>Mondol</t>
  </si>
  <si>
    <t>Komolesh</t>
  </si>
  <si>
    <t>mondol</t>
  </si>
  <si>
    <t>Khanom</t>
  </si>
  <si>
    <t>Marium</t>
  </si>
  <si>
    <t>m.khanom</t>
  </si>
  <si>
    <t>Masum</t>
  </si>
  <si>
    <t>Hasan</t>
  </si>
  <si>
    <t>Mehedi</t>
  </si>
  <si>
    <t>hasan</t>
  </si>
  <si>
    <t>Sultana</t>
  </si>
  <si>
    <t>Nitu</t>
  </si>
  <si>
    <t>sultana</t>
  </si>
  <si>
    <t>Mitra</t>
  </si>
  <si>
    <t>Prabir</t>
  </si>
  <si>
    <t>Admin</t>
  </si>
  <si>
    <t>mitra</t>
  </si>
  <si>
    <t>Debnath</t>
  </si>
  <si>
    <t>Rajib</t>
  </si>
  <si>
    <t>debnath</t>
  </si>
  <si>
    <t>Uddin</t>
  </si>
  <si>
    <t>Rakib</t>
  </si>
  <si>
    <t>ruddin</t>
  </si>
  <si>
    <t>Rana</t>
  </si>
  <si>
    <t>Matin</t>
  </si>
  <si>
    <t>Rehnuma</t>
  </si>
  <si>
    <t>reh_matin</t>
  </si>
  <si>
    <t>Robiul</t>
  </si>
  <si>
    <t>islamr</t>
  </si>
  <si>
    <t>Alam</t>
  </si>
  <si>
    <t>Ruman</t>
  </si>
  <si>
    <t>alam</t>
  </si>
  <si>
    <t>Tasnim</t>
  </si>
  <si>
    <t>tasnim</t>
  </si>
  <si>
    <t>Saidul</t>
  </si>
  <si>
    <t>Saiful</t>
  </si>
  <si>
    <t>Sheikh</t>
  </si>
  <si>
    <t>sheikh</t>
  </si>
  <si>
    <t>Sakib</t>
  </si>
  <si>
    <t>Sazzad</t>
  </si>
  <si>
    <t>Shahab</t>
  </si>
  <si>
    <t>uddin</t>
  </si>
  <si>
    <t>Shohel</t>
  </si>
  <si>
    <t>s_sheikh</t>
  </si>
  <si>
    <t>Patawary</t>
  </si>
  <si>
    <t>Sumon</t>
  </si>
  <si>
    <t>patawary.s</t>
  </si>
  <si>
    <t>Ara</t>
  </si>
  <si>
    <t>Tashnim</t>
  </si>
  <si>
    <t>tas.ara</t>
  </si>
  <si>
    <t>Narayan</t>
  </si>
  <si>
    <t>Tuhin</t>
  </si>
  <si>
    <t>t.narayan</t>
  </si>
  <si>
    <t>City</t>
  </si>
  <si>
    <t>Singer</t>
  </si>
  <si>
    <t>Sponsor</t>
  </si>
  <si>
    <t>Country</t>
  </si>
  <si>
    <t>Clients</t>
  </si>
  <si>
    <t>Paris</t>
  </si>
  <si>
    <t>Tay tay</t>
  </si>
  <si>
    <t>Coca Cola</t>
  </si>
  <si>
    <t>France</t>
  </si>
  <si>
    <t>London</t>
  </si>
  <si>
    <t>Pepsi</t>
  </si>
  <si>
    <t>UK</t>
  </si>
  <si>
    <t>Nice</t>
  </si>
  <si>
    <t>Adele</t>
  </si>
  <si>
    <t>Microsoft</t>
  </si>
  <si>
    <t>Cannes</t>
  </si>
  <si>
    <t>Dua Lipa</t>
  </si>
  <si>
    <t>Google</t>
  </si>
  <si>
    <t>Bieber</t>
  </si>
  <si>
    <t>Apple</t>
  </si>
  <si>
    <t>BP</t>
  </si>
  <si>
    <t>Ford</t>
  </si>
  <si>
    <t>Honda</t>
  </si>
  <si>
    <t>Facebook</t>
  </si>
  <si>
    <t>Lyon</t>
  </si>
  <si>
    <t>Tik tok</t>
  </si>
  <si>
    <t>Cadbury's</t>
  </si>
  <si>
    <t>Primark</t>
  </si>
  <si>
    <t>Citroen</t>
  </si>
  <si>
    <t>Nestle</t>
  </si>
  <si>
    <t>Tom Ford</t>
  </si>
  <si>
    <t>Score</t>
  </si>
  <si>
    <t>IFS_Result</t>
  </si>
  <si>
    <t>=IFS(B2&gt;=80,"Excellent", B2&gt;=60,"Good", B2&gt;=40,"Average", B2&gt;=20,"Poor", TRUE,"Very Poor")</t>
  </si>
  <si>
    <t>Name</t>
  </si>
  <si>
    <t>Masud</t>
  </si>
  <si>
    <t>Akash</t>
  </si>
  <si>
    <t>Nila</t>
  </si>
  <si>
    <t>Ela</t>
  </si>
  <si>
    <t>Address</t>
  </si>
  <si>
    <t>Jashore</t>
  </si>
  <si>
    <t>Sumifs, Countifs</t>
  </si>
  <si>
    <t>Row Labels</t>
  </si>
  <si>
    <t>Grand Total</t>
  </si>
  <si>
    <t>Sum of Value</t>
  </si>
  <si>
    <t>Sum of Sales</t>
  </si>
  <si>
    <t>Cannes Total</t>
  </si>
  <si>
    <t>London Total</t>
  </si>
  <si>
    <t>Lyon Total</t>
  </si>
  <si>
    <t>Nice Total</t>
  </si>
  <si>
    <t>Paris Total</t>
  </si>
  <si>
    <t>SUMIFS</t>
  </si>
  <si>
    <t>Result</t>
  </si>
  <si>
    <t>Pass</t>
  </si>
  <si>
    <t>Fail</t>
  </si>
  <si>
    <t>Day -4</t>
  </si>
  <si>
    <t>District</t>
  </si>
  <si>
    <t>Gender</t>
  </si>
  <si>
    <t>Amount</t>
  </si>
  <si>
    <t>Sana</t>
  </si>
  <si>
    <t>Surah</t>
  </si>
  <si>
    <t>Murad</t>
  </si>
  <si>
    <t>Muna</t>
  </si>
  <si>
    <t>Male</t>
  </si>
  <si>
    <t>Female</t>
  </si>
  <si>
    <t>Total Amount</t>
  </si>
  <si>
    <t>Only male Amount</t>
  </si>
  <si>
    <t>Male + Dhaka Amount</t>
  </si>
  <si>
    <t>Female +  Khulna Amount</t>
  </si>
  <si>
    <t>Average Amount</t>
  </si>
  <si>
    <t>Only male Average</t>
  </si>
  <si>
    <t>Male + Dhaka Average</t>
  </si>
  <si>
    <t>Female +  Khulna Average</t>
  </si>
  <si>
    <t>Total Person</t>
  </si>
  <si>
    <t>Only male Person</t>
  </si>
  <si>
    <t>Male + Dhaka Person</t>
  </si>
  <si>
    <t>Female +  Khulna Person</t>
  </si>
  <si>
    <t>Serial No</t>
  </si>
  <si>
    <t>SUM</t>
  </si>
  <si>
    <t>COUNT</t>
  </si>
  <si>
    <t>AVERAGE</t>
  </si>
  <si>
    <t>IF</t>
  </si>
  <si>
    <t>IFS</t>
  </si>
  <si>
    <t>Count</t>
  </si>
  <si>
    <t>Countblank</t>
  </si>
  <si>
    <t>Counta (all except empty)</t>
  </si>
  <si>
    <t>Munna</t>
  </si>
  <si>
    <t>JAshore</t>
  </si>
  <si>
    <t>Numeric Countif (above 5)</t>
  </si>
  <si>
    <t>Done</t>
  </si>
  <si>
    <t>mas123</t>
  </si>
  <si>
    <t>zam123</t>
  </si>
  <si>
    <t>rut123</t>
  </si>
  <si>
    <t>SKU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</si>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</sst>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</numFmts>
  <fonts count="10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</cellStyleXfs>
  <cellXfs count="55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/>
    <xf numFmtId="0" fontId="4" fillId="0" borderId="0" xfId="1" applyAlignment="1">
      <alignment horizontal="center"/>
    </xf>
    <xf numFmtId="0" fontId="4" fillId="0" borderId="0" xfId="1" quotePrefix="1"/>
    <xf numFmtId="0" fontId="4" fillId="4" borderId="0" xfId="1" applyFill="1" applyAlignment="1">
      <alignment horizontal="center" vertical="center" wrapText="1"/>
    </xf>
    <xf numFmtId="0" fontId="4" fillId="4" borderId="2" xfId="1" applyFill="1" applyBorder="1" applyAlignment="1">
      <alignment horizontal="center" vertical="center" wrapText="1"/>
    </xf>
    <xf numFmtId="0" fontId="4" fillId="0" borderId="0" xfId="1" quotePrefix="1" applyAlignment="1">
      <alignment wrapText="1"/>
    </xf>
    <xf numFmtId="0" fontId="4" fillId="4" borderId="0" xfId="1" applyFill="1"/>
    <xf numFmtId="0" fontId="5" fillId="5" borderId="3" xfId="4" applyFont="1" applyFill="1" applyBorder="1" applyAlignment="1">
      <alignment horizontal="center" vertical="center"/>
    </xf>
    <xf numFmtId="0" fontId="5" fillId="6" borderId="3" xfId="4" applyFont="1" applyFill="1" applyBorder="1" applyAlignment="1">
      <alignment horizontal="center" vertical="center"/>
    </xf>
    <xf numFmtId="0" fontId="5" fillId="7" borderId="3" xfId="4" applyFont="1" applyFill="1" applyBorder="1" applyAlignment="1">
      <alignment horizontal="center" vertical="center" wrapText="1"/>
    </xf>
    <xf numFmtId="0" fontId="0" fillId="0" borderId="1" xfId="3" applyNumberFormat="1" applyFont="1" applyBorder="1" applyAlignment="1">
      <alignment horizontal="center"/>
    </xf>
    <xf numFmtId="1" fontId="0" fillId="0" borderId="1" xfId="3" applyNumberFormat="1" applyFont="1" applyBorder="1" applyAlignment="1">
      <alignment horizontal="center"/>
    </xf>
    <xf numFmtId="0" fontId="4" fillId="0" borderId="1" xfId="1" applyBorder="1"/>
    <xf numFmtId="0" fontId="6" fillId="0" borderId="4" xfId="2" applyNumberFormat="1" applyFont="1" applyBorder="1" applyAlignment="1">
      <alignment horizontal="center" vertical="center" wrapText="1"/>
    </xf>
    <xf numFmtId="0" fontId="6" fillId="0" borderId="5" xfId="2" applyNumberFormat="1" applyFont="1" applyBorder="1" applyAlignment="1">
      <alignment horizontal="center" vertical="center" wrapText="1"/>
    </xf>
    <xf numFmtId="0" fontId="5" fillId="6" borderId="6" xfId="4" applyFont="1" applyFill="1" applyBorder="1" applyAlignment="1">
      <alignment horizontal="center" vertical="center"/>
    </xf>
    <xf numFmtId="0" fontId="6" fillId="0" borderId="5" xfId="4" applyBorder="1" applyAlignment="1">
      <alignment horizontal="center" vertical="center" wrapText="1"/>
    </xf>
    <xf numFmtId="0" fontId="6" fillId="8" borderId="5" xfId="4" applyFill="1" applyBorder="1" applyAlignment="1">
      <alignment horizontal="center" vertical="center" wrapText="1"/>
    </xf>
    <xf numFmtId="0" fontId="6" fillId="0" borderId="4" xfId="2" applyNumberFormat="1" applyFont="1" applyBorder="1" applyAlignment="1">
      <alignment horizontal="center" vertical="center"/>
    </xf>
    <xf numFmtId="164" fontId="6" fillId="0" borderId="5" xfId="4" applyNumberFormat="1" applyBorder="1" applyAlignment="1">
      <alignment horizontal="center" vertical="center" wrapText="1"/>
    </xf>
    <xf numFmtId="43" fontId="0" fillId="0" borderId="0" xfId="2" applyFont="1"/>
    <xf numFmtId="0" fontId="6" fillId="8" borderId="4" xfId="2" applyNumberFormat="1" applyFont="1" applyFill="1" applyBorder="1" applyAlignment="1">
      <alignment horizontal="center" vertical="center" wrapText="1"/>
    </xf>
    <xf numFmtId="0" fontId="4" fillId="0" borderId="0" xfId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quotePrefix="1" applyAlignment="1">
      <alignment horizontal="left"/>
    </xf>
    <xf numFmtId="0" fontId="9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  <xf numFmtId="0" fontId="6" fillId="8" borderId="5" xfId="2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0" borderId="0" xfId="0" applyFill="1"/>
    <xf numFmtId="0" fontId="0" fillId="8" borderId="1" xfId="3" applyNumberFormat="1" applyFont="1" applyFill="1" applyBorder="1" applyAlignment="1">
      <alignment horizontal="center"/>
    </xf>
    <xf numFmtId="164" fontId="6" fillId="8" borderId="5" xfId="4" applyNumberFormat="1" applyFill="1" applyBorder="1" applyAlignment="1">
      <alignment horizontal="center" vertical="center" wrapText="1"/>
    </xf>
    <xf numFmtId="43" fontId="0" fillId="8" borderId="0" xfId="2" applyFont="1" applyFill="1"/>
    <xf numFmtId="0" fontId="0" fillId="0" borderId="0" xfId="0" applyNumberFormat="1"/>
    <xf numFmtId="0" fontId="0" fillId="8" borderId="10" xfId="0" applyFill="1" applyBorder="1"/>
    <xf numFmtId="14" fontId="4" fillId="0" borderId="0" xfId="1" applyNumberFormat="1"/>
  </cellXfs>
  <cellStyles count="5">
    <cellStyle name="Comma 2" xfId="2" xr:uid="{2431B603-E615-42F5-BA7C-5FB5CE791330}"/>
    <cellStyle name="Currency 2" xfId="3" xr:uid="{9EF18CAD-1332-49A0-B7C4-66F246659AF4}"/>
    <cellStyle name="Normal" xfId="0" builtinId="0"/>
    <cellStyle name="Normal 2" xfId="1" xr:uid="{4BBB9391-D4BA-4FBA-B3A5-89333779D9B8}"/>
    <cellStyle name="Normal_Sheet1_1" xfId="4" xr:uid="{C8DB3D62-A60B-48EC-9091-74C1BDB4C15F}"/>
  </cellStyles>
  <dxfs count="8"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xcel%20e-School\Shared%20EES\2.%20Live%20Batches\2026\EESB26EX%20-%20Masud\Exercise%20file_Advanced%20Section.xlsx" TargetMode="External"/><Relationship Id="rId1" Type="http://schemas.openxmlformats.org/officeDocument/2006/relationships/externalLinkPath" Target="file:///G:\My%20Drive\Excel%20e-School\Shared%20EES\2.%20Live%20Batches\2026\EESB26EX%20-%20Masud\Exercise%20file_Advanced%20S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_Function"/>
      <sheetName val="SUMIF Function"/>
      <sheetName val="VLOOKUP Function"/>
      <sheetName val="VLOOKUP Fun Index Match"/>
      <sheetName val="Sheet1"/>
      <sheetName val="Employee List"/>
      <sheetName val="HLOOKUP Function"/>
      <sheetName val="Inventory List"/>
      <sheetName val="INDEX MATCH Functions"/>
      <sheetName val="INDEX MATCH Master Emp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</sheetNames>
    <sheetDataSet>
      <sheetData sheetId="0">
        <row r="2">
          <cell r="I2">
            <v>340000</v>
          </cell>
        </row>
        <row r="5">
          <cell r="B5">
            <v>105000</v>
          </cell>
        </row>
        <row r="6">
          <cell r="B6">
            <v>59750</v>
          </cell>
        </row>
        <row r="7">
          <cell r="B7">
            <v>74250</v>
          </cell>
        </row>
        <row r="8">
          <cell r="B8">
            <v>95000</v>
          </cell>
        </row>
        <row r="9">
          <cell r="B9">
            <v>81000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 Masud" refreshedDate="46154.910289930558" createdVersion="8" refreshedVersion="8" minRefreshableVersion="3" recordCount="15" xr:uid="{D548ECFC-A199-4F9A-822E-3A0AA33C1240}">
  <cacheSource type="worksheet">
    <worksheetSource ref="A1:F16" sheet="Groupby Continues"/>
  </cacheSource>
  <cacheFields count="6">
    <cacheField name="City" numFmtId="0">
      <sharedItems count="5">
        <s v="Paris"/>
        <s v="London"/>
        <s v="Nice"/>
        <s v="Cannes"/>
        <s v="Lyon"/>
      </sharedItems>
    </cacheField>
    <cacheField name="Singer" numFmtId="0">
      <sharedItems count="4">
        <s v="Tay tay"/>
        <s v="Adele"/>
        <s v="Dua Lipa"/>
        <s v="Bieber"/>
      </sharedItems>
    </cacheField>
    <cacheField name="Sponsor" numFmtId="0">
      <sharedItems/>
    </cacheField>
    <cacheField name="Country" numFmtId="0">
      <sharedItems/>
    </cacheField>
    <cacheField name="Sales" numFmtId="0">
      <sharedItems containsSemiMixedTypes="0" containsString="0" containsNumber="1" containsInteger="1" minValue="20" maxValue="80"/>
    </cacheField>
    <cacheField name="Clients" numFmtId="0">
      <sharedItems containsSemiMixedTypes="0" containsString="0" containsNumber="1" containsInteger="1" minValue="8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UD" refreshedDate="46188.911321527776" createdVersion="8" refreshedVersion="8" minRefreshableVersion="3" recordCount="150" xr:uid="{2C14FB39-23EB-4835-ABD8-FEF2684B6B08}">
  <cacheSource type="worksheet">
    <worksheetSource ref="A1:D151" sheet="Groupby_Functions"/>
  </cacheSource>
  <cacheFields count="4">
    <cacheField name="ID" numFmtId="0">
      <sharedItems containsSemiMixedTypes="0" containsString="0" containsNumber="1" containsInteger="1" minValue="1" maxValue="150"/>
    </cacheField>
    <cacheField name="Category" numFmtId="0">
      <sharedItems count="4">
        <s v="Electronics"/>
        <s v="Furniture"/>
        <s v="Clothing"/>
        <s v="Grocery"/>
      </sharedItems>
    </cacheField>
    <cacheField name="SubCategory" numFmtId="0">
      <sharedItems/>
    </cacheField>
    <cacheField name="Value" numFmtId="0">
      <sharedItems containsSemiMixedTypes="0" containsString="0" containsNumber="1" containsInteger="1" minValue="65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Coca Cola"/>
    <s v="France"/>
    <n v="70"/>
    <n v="55"/>
  </r>
  <r>
    <x v="1"/>
    <x v="0"/>
    <s v="Pepsi"/>
    <s v="UK"/>
    <n v="65"/>
    <n v="36"/>
  </r>
  <r>
    <x v="2"/>
    <x v="1"/>
    <s v="Microsoft"/>
    <s v="France"/>
    <n v="70"/>
    <n v="85"/>
  </r>
  <r>
    <x v="3"/>
    <x v="2"/>
    <s v="Google"/>
    <s v="France"/>
    <n v="35"/>
    <n v="30"/>
  </r>
  <r>
    <x v="0"/>
    <x v="3"/>
    <s v="Apple"/>
    <s v="France"/>
    <n v="40"/>
    <n v="48"/>
  </r>
  <r>
    <x v="1"/>
    <x v="3"/>
    <s v="BP"/>
    <s v="UK"/>
    <n v="40"/>
    <n v="23"/>
  </r>
  <r>
    <x v="0"/>
    <x v="0"/>
    <s v="Ford"/>
    <s v="France"/>
    <n v="70"/>
    <n v="38"/>
  </r>
  <r>
    <x v="2"/>
    <x v="2"/>
    <s v="Honda"/>
    <s v="France"/>
    <n v="40"/>
    <n v="74"/>
  </r>
  <r>
    <x v="2"/>
    <x v="2"/>
    <s v="Facebook"/>
    <s v="France"/>
    <n v="45"/>
    <n v="47"/>
  </r>
  <r>
    <x v="4"/>
    <x v="0"/>
    <s v="Tik tok"/>
    <s v="France"/>
    <n v="30"/>
    <n v="73"/>
  </r>
  <r>
    <x v="2"/>
    <x v="0"/>
    <s v="Cadbury's"/>
    <s v="France"/>
    <n v="80"/>
    <n v="8"/>
  </r>
  <r>
    <x v="1"/>
    <x v="3"/>
    <s v="Primark"/>
    <s v="UK"/>
    <n v="20"/>
    <n v="60"/>
  </r>
  <r>
    <x v="1"/>
    <x v="1"/>
    <s v="Citroen"/>
    <s v="UK"/>
    <n v="45"/>
    <n v="70"/>
  </r>
  <r>
    <x v="0"/>
    <x v="1"/>
    <s v="Nestle"/>
    <s v="France"/>
    <n v="75"/>
    <n v="71"/>
  </r>
  <r>
    <x v="4"/>
    <x v="2"/>
    <s v="Tom Ford"/>
    <s v="France"/>
    <n v="45"/>
    <n v="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1"/>
    <x v="0"/>
    <s v="B"/>
    <n v="345"/>
  </r>
  <r>
    <n v="2"/>
    <x v="1"/>
    <s v="B"/>
    <n v="380"/>
  </r>
  <r>
    <n v="3"/>
    <x v="2"/>
    <s v="B"/>
    <n v="1000"/>
  </r>
  <r>
    <n v="4"/>
    <x v="1"/>
    <s v="C"/>
    <n v="210"/>
  </r>
  <r>
    <n v="5"/>
    <x v="1"/>
    <s v="B"/>
    <n v="385"/>
  </r>
  <r>
    <n v="6"/>
    <x v="0"/>
    <s v="B"/>
    <n v="469"/>
  </r>
  <r>
    <n v="7"/>
    <x v="1"/>
    <s v="A"/>
    <n v="368"/>
  </r>
  <r>
    <n v="8"/>
    <x v="3"/>
    <s v="A"/>
    <n v="492"/>
  </r>
  <r>
    <n v="9"/>
    <x v="1"/>
    <s v="B"/>
    <n v="411"/>
  </r>
  <r>
    <n v="10"/>
    <x v="0"/>
    <s v="B"/>
    <n v="491"/>
  </r>
  <r>
    <n v="11"/>
    <x v="3"/>
    <s v="A"/>
    <n v="454"/>
  </r>
  <r>
    <n v="12"/>
    <x v="1"/>
    <s v="C"/>
    <n v="453"/>
  </r>
  <r>
    <n v="13"/>
    <x v="0"/>
    <s v="C"/>
    <n v="318"/>
  </r>
  <r>
    <n v="14"/>
    <x v="2"/>
    <s v="C"/>
    <n v="148"/>
  </r>
  <r>
    <n v="15"/>
    <x v="0"/>
    <s v="A"/>
    <n v="70"/>
  </r>
  <r>
    <n v="16"/>
    <x v="1"/>
    <s v="B"/>
    <n v="442"/>
  </r>
  <r>
    <n v="17"/>
    <x v="0"/>
    <s v="C"/>
    <n v="168"/>
  </r>
  <r>
    <n v="18"/>
    <x v="1"/>
    <s v="B"/>
    <n v="124"/>
  </r>
  <r>
    <n v="19"/>
    <x v="1"/>
    <s v="A"/>
    <n v="180"/>
  </r>
  <r>
    <n v="20"/>
    <x v="0"/>
    <s v="B"/>
    <n v="175"/>
  </r>
  <r>
    <n v="21"/>
    <x v="1"/>
    <s v="C"/>
    <n v="168"/>
  </r>
  <r>
    <n v="22"/>
    <x v="1"/>
    <s v="C"/>
    <n v="243"/>
  </r>
  <r>
    <n v="23"/>
    <x v="3"/>
    <s v="A"/>
    <n v="494"/>
  </r>
  <r>
    <n v="24"/>
    <x v="2"/>
    <s v="B"/>
    <n v="419"/>
  </r>
  <r>
    <n v="25"/>
    <x v="0"/>
    <s v="B"/>
    <n v="224"/>
  </r>
  <r>
    <n v="26"/>
    <x v="1"/>
    <s v="B"/>
    <n v="360"/>
  </r>
  <r>
    <n v="27"/>
    <x v="0"/>
    <s v="B"/>
    <n v="434"/>
  </r>
  <r>
    <n v="28"/>
    <x v="2"/>
    <s v="A"/>
    <n v="499"/>
  </r>
  <r>
    <n v="29"/>
    <x v="0"/>
    <s v="A"/>
    <n v="445"/>
  </r>
  <r>
    <n v="30"/>
    <x v="2"/>
    <s v="C"/>
    <n v="341"/>
  </r>
  <r>
    <n v="31"/>
    <x v="2"/>
    <s v="A"/>
    <n v="392"/>
  </r>
  <r>
    <n v="32"/>
    <x v="1"/>
    <s v="A"/>
    <n v="140"/>
  </r>
  <r>
    <n v="33"/>
    <x v="3"/>
    <s v="A"/>
    <n v="112"/>
  </r>
  <r>
    <n v="34"/>
    <x v="0"/>
    <s v="A"/>
    <n v="347"/>
  </r>
  <r>
    <n v="35"/>
    <x v="2"/>
    <s v="A"/>
    <n v="387"/>
  </r>
  <r>
    <n v="36"/>
    <x v="1"/>
    <s v="A"/>
    <n v="229"/>
  </r>
  <r>
    <n v="37"/>
    <x v="1"/>
    <s v="B"/>
    <n v="423"/>
  </r>
  <r>
    <n v="38"/>
    <x v="2"/>
    <s v="C"/>
    <n v="304"/>
  </r>
  <r>
    <n v="39"/>
    <x v="0"/>
    <s v="C"/>
    <n v="266"/>
  </r>
  <r>
    <n v="40"/>
    <x v="1"/>
    <s v="B"/>
    <n v="218"/>
  </r>
  <r>
    <n v="41"/>
    <x v="1"/>
    <s v="A"/>
    <n v="352"/>
  </r>
  <r>
    <n v="42"/>
    <x v="0"/>
    <s v="A"/>
    <n v="476"/>
  </r>
  <r>
    <n v="43"/>
    <x v="0"/>
    <s v="C"/>
    <n v="296"/>
  </r>
  <r>
    <n v="44"/>
    <x v="0"/>
    <s v="C"/>
    <n v="134"/>
  </r>
  <r>
    <n v="45"/>
    <x v="1"/>
    <s v="A"/>
    <n v="297"/>
  </r>
  <r>
    <n v="46"/>
    <x v="2"/>
    <s v="A"/>
    <n v="243"/>
  </r>
  <r>
    <n v="47"/>
    <x v="3"/>
    <s v="A"/>
    <n v="94"/>
  </r>
  <r>
    <n v="48"/>
    <x v="0"/>
    <s v="B"/>
    <n v="211"/>
  </r>
  <r>
    <n v="49"/>
    <x v="3"/>
    <s v="C"/>
    <n v="260"/>
  </r>
  <r>
    <n v="50"/>
    <x v="0"/>
    <s v="A"/>
    <n v="88"/>
  </r>
  <r>
    <n v="51"/>
    <x v="3"/>
    <s v="A"/>
    <n v="371"/>
  </r>
  <r>
    <n v="52"/>
    <x v="2"/>
    <s v="B"/>
    <n v="462"/>
  </r>
  <r>
    <n v="53"/>
    <x v="2"/>
    <s v="A"/>
    <n v="378"/>
  </r>
  <r>
    <n v="54"/>
    <x v="0"/>
    <s v="A"/>
    <n v="155"/>
  </r>
  <r>
    <n v="55"/>
    <x v="0"/>
    <s v="B"/>
    <n v="212"/>
  </r>
  <r>
    <n v="56"/>
    <x v="0"/>
    <s v="B"/>
    <n v="474"/>
  </r>
  <r>
    <n v="57"/>
    <x v="2"/>
    <s v="A"/>
    <n v="342"/>
  </r>
  <r>
    <n v="58"/>
    <x v="0"/>
    <s v="A"/>
    <n v="120"/>
  </r>
  <r>
    <n v="59"/>
    <x v="0"/>
    <s v="C"/>
    <n v="281"/>
  </r>
  <r>
    <n v="60"/>
    <x v="1"/>
    <s v="B"/>
    <n v="66"/>
  </r>
  <r>
    <n v="61"/>
    <x v="1"/>
    <s v="C"/>
    <n v="299"/>
  </r>
  <r>
    <n v="62"/>
    <x v="2"/>
    <s v="A"/>
    <n v="113"/>
  </r>
  <r>
    <n v="63"/>
    <x v="1"/>
    <s v="A"/>
    <n v="73"/>
  </r>
  <r>
    <n v="64"/>
    <x v="0"/>
    <s v="B"/>
    <n v="487"/>
  </r>
  <r>
    <n v="65"/>
    <x v="2"/>
    <s v="C"/>
    <n v="384"/>
  </r>
  <r>
    <n v="66"/>
    <x v="2"/>
    <s v="A"/>
    <n v="132"/>
  </r>
  <r>
    <n v="67"/>
    <x v="3"/>
    <s v="A"/>
    <n v="150"/>
  </r>
  <r>
    <n v="68"/>
    <x v="2"/>
    <s v="C"/>
    <n v="282"/>
  </r>
  <r>
    <n v="69"/>
    <x v="2"/>
    <s v="C"/>
    <n v="104"/>
  </r>
  <r>
    <n v="70"/>
    <x v="2"/>
    <s v="A"/>
    <n v="250"/>
  </r>
  <r>
    <n v="71"/>
    <x v="0"/>
    <s v="B"/>
    <n v="270"/>
  </r>
  <r>
    <n v="72"/>
    <x v="2"/>
    <s v="C"/>
    <n v="452"/>
  </r>
  <r>
    <n v="73"/>
    <x v="1"/>
    <s v="A"/>
    <n v="119"/>
  </r>
  <r>
    <n v="74"/>
    <x v="1"/>
    <s v="B"/>
    <n v="312"/>
  </r>
  <r>
    <n v="75"/>
    <x v="0"/>
    <s v="B"/>
    <n v="337"/>
  </r>
  <r>
    <n v="76"/>
    <x v="3"/>
    <s v="C"/>
    <n v="338"/>
  </r>
  <r>
    <n v="77"/>
    <x v="1"/>
    <s v="B"/>
    <n v="349"/>
  </r>
  <r>
    <n v="78"/>
    <x v="0"/>
    <s v="A"/>
    <n v="76"/>
  </r>
  <r>
    <n v="79"/>
    <x v="1"/>
    <s v="C"/>
    <n v="65"/>
  </r>
  <r>
    <n v="80"/>
    <x v="3"/>
    <s v="C"/>
    <n v="219"/>
  </r>
  <r>
    <n v="81"/>
    <x v="0"/>
    <s v="C"/>
    <n v="172"/>
  </r>
  <r>
    <n v="82"/>
    <x v="2"/>
    <s v="C"/>
    <n v="404"/>
  </r>
  <r>
    <n v="83"/>
    <x v="1"/>
    <s v="C"/>
    <n v="469"/>
  </r>
  <r>
    <n v="84"/>
    <x v="0"/>
    <s v="C"/>
    <n v="237"/>
  </r>
  <r>
    <n v="85"/>
    <x v="1"/>
    <s v="C"/>
    <n v="414"/>
  </r>
  <r>
    <n v="86"/>
    <x v="1"/>
    <s v="A"/>
    <n v="313"/>
  </r>
  <r>
    <n v="87"/>
    <x v="2"/>
    <s v="C"/>
    <n v="77"/>
  </r>
  <r>
    <n v="88"/>
    <x v="3"/>
    <s v="B"/>
    <n v="382"/>
  </r>
  <r>
    <n v="89"/>
    <x v="3"/>
    <s v="C"/>
    <n v="201"/>
  </r>
  <r>
    <n v="90"/>
    <x v="1"/>
    <s v="C"/>
    <n v="451"/>
  </r>
  <r>
    <n v="91"/>
    <x v="1"/>
    <s v="A"/>
    <n v="110"/>
  </r>
  <r>
    <n v="92"/>
    <x v="3"/>
    <s v="B"/>
    <n v="69"/>
  </r>
  <r>
    <n v="93"/>
    <x v="2"/>
    <s v="B"/>
    <n v="475"/>
  </r>
  <r>
    <n v="94"/>
    <x v="2"/>
    <s v="C"/>
    <n v="371"/>
  </r>
  <r>
    <n v="95"/>
    <x v="1"/>
    <s v="A"/>
    <n v="117"/>
  </r>
  <r>
    <n v="96"/>
    <x v="0"/>
    <s v="C"/>
    <n v="411"/>
  </r>
  <r>
    <n v="97"/>
    <x v="2"/>
    <s v="C"/>
    <n v="381"/>
  </r>
  <r>
    <n v="98"/>
    <x v="1"/>
    <s v="A"/>
    <n v="104"/>
  </r>
  <r>
    <n v="99"/>
    <x v="0"/>
    <s v="C"/>
    <n v="180"/>
  </r>
  <r>
    <n v="100"/>
    <x v="1"/>
    <s v="C"/>
    <n v="106"/>
  </r>
  <r>
    <n v="101"/>
    <x v="0"/>
    <s v="C"/>
    <n v="99"/>
  </r>
  <r>
    <n v="102"/>
    <x v="1"/>
    <s v="B"/>
    <n v="373"/>
  </r>
  <r>
    <n v="103"/>
    <x v="0"/>
    <s v="A"/>
    <n v="476"/>
  </r>
  <r>
    <n v="104"/>
    <x v="2"/>
    <s v="C"/>
    <n v="305"/>
  </r>
  <r>
    <n v="105"/>
    <x v="1"/>
    <s v="C"/>
    <n v="438"/>
  </r>
  <r>
    <n v="106"/>
    <x v="1"/>
    <s v="B"/>
    <n v="423"/>
  </r>
  <r>
    <n v="107"/>
    <x v="0"/>
    <s v="C"/>
    <n v="272"/>
  </r>
  <r>
    <n v="108"/>
    <x v="3"/>
    <s v="C"/>
    <n v="377"/>
  </r>
  <r>
    <n v="109"/>
    <x v="1"/>
    <s v="B"/>
    <n v="385"/>
  </r>
  <r>
    <n v="110"/>
    <x v="0"/>
    <s v="B"/>
    <n v="311"/>
  </r>
  <r>
    <n v="111"/>
    <x v="1"/>
    <s v="C"/>
    <n v="349"/>
  </r>
  <r>
    <n v="112"/>
    <x v="2"/>
    <s v="A"/>
    <n v="203"/>
  </r>
  <r>
    <n v="113"/>
    <x v="0"/>
    <s v="C"/>
    <n v="433"/>
  </r>
  <r>
    <n v="114"/>
    <x v="0"/>
    <s v="C"/>
    <n v="108"/>
  </r>
  <r>
    <n v="115"/>
    <x v="3"/>
    <s v="B"/>
    <n v="426"/>
  </r>
  <r>
    <n v="116"/>
    <x v="1"/>
    <s v="C"/>
    <n v="328"/>
  </r>
  <r>
    <n v="117"/>
    <x v="0"/>
    <s v="C"/>
    <n v="86"/>
  </r>
  <r>
    <n v="118"/>
    <x v="1"/>
    <s v="A"/>
    <n v="246"/>
  </r>
  <r>
    <n v="119"/>
    <x v="0"/>
    <s v="C"/>
    <n v="157"/>
  </r>
  <r>
    <n v="120"/>
    <x v="0"/>
    <s v="C"/>
    <n v="166"/>
  </r>
  <r>
    <n v="121"/>
    <x v="0"/>
    <s v="A"/>
    <n v="293"/>
  </r>
  <r>
    <n v="122"/>
    <x v="1"/>
    <s v="C"/>
    <n v="130"/>
  </r>
  <r>
    <n v="123"/>
    <x v="1"/>
    <s v="B"/>
    <n v="347"/>
  </r>
  <r>
    <n v="124"/>
    <x v="0"/>
    <s v="A"/>
    <n v="257"/>
  </r>
  <r>
    <n v="125"/>
    <x v="1"/>
    <s v="B"/>
    <n v="345"/>
  </r>
  <r>
    <n v="126"/>
    <x v="0"/>
    <s v="C"/>
    <n v="237"/>
  </r>
  <r>
    <n v="127"/>
    <x v="3"/>
    <s v="C"/>
    <n v="244"/>
  </r>
  <r>
    <n v="128"/>
    <x v="3"/>
    <s v="C"/>
    <n v="179"/>
  </r>
  <r>
    <n v="129"/>
    <x v="3"/>
    <s v="A"/>
    <n v="106"/>
  </r>
  <r>
    <n v="130"/>
    <x v="2"/>
    <s v="C"/>
    <n v="290"/>
  </r>
  <r>
    <n v="131"/>
    <x v="1"/>
    <s v="C"/>
    <n v="75"/>
  </r>
  <r>
    <n v="132"/>
    <x v="2"/>
    <s v="C"/>
    <n v="268"/>
  </r>
  <r>
    <n v="133"/>
    <x v="1"/>
    <s v="B"/>
    <n v="348"/>
  </r>
  <r>
    <n v="134"/>
    <x v="3"/>
    <s v="A"/>
    <n v="389"/>
  </r>
  <r>
    <n v="135"/>
    <x v="1"/>
    <s v="A"/>
    <n v="157"/>
  </r>
  <r>
    <n v="136"/>
    <x v="1"/>
    <s v="B"/>
    <n v="79"/>
  </r>
  <r>
    <n v="137"/>
    <x v="1"/>
    <s v="C"/>
    <n v="125"/>
  </r>
  <r>
    <n v="138"/>
    <x v="1"/>
    <s v="A"/>
    <n v="236"/>
  </r>
  <r>
    <n v="139"/>
    <x v="3"/>
    <s v="A"/>
    <n v="135"/>
  </r>
  <r>
    <n v="140"/>
    <x v="2"/>
    <s v="C"/>
    <n v="103"/>
  </r>
  <r>
    <n v="141"/>
    <x v="3"/>
    <s v="C"/>
    <n v="329"/>
  </r>
  <r>
    <n v="142"/>
    <x v="0"/>
    <s v="C"/>
    <n v="395"/>
  </r>
  <r>
    <n v="143"/>
    <x v="1"/>
    <s v="C"/>
    <n v="78"/>
  </r>
  <r>
    <n v="144"/>
    <x v="3"/>
    <s v="A"/>
    <n v="110"/>
  </r>
  <r>
    <n v="145"/>
    <x v="3"/>
    <s v="A"/>
    <n v="407"/>
  </r>
  <r>
    <n v="146"/>
    <x v="0"/>
    <s v="C"/>
    <n v="199"/>
  </r>
  <r>
    <n v="147"/>
    <x v="3"/>
    <s v="C"/>
    <n v="258"/>
  </r>
  <r>
    <n v="148"/>
    <x v="0"/>
    <s v="C"/>
    <n v="356"/>
  </r>
  <r>
    <n v="149"/>
    <x v="3"/>
    <s v="C"/>
    <n v="263"/>
  </r>
  <r>
    <n v="150"/>
    <x v="2"/>
    <s v="A"/>
    <n v="2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57DCE-11E9-41A7-A9B6-FA52EEF3B17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9" firstHeaderRow="1" firstDataRow="1" firstDataCol="1"/>
  <pivotFields count="4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2849F-137B-4EB0-8835-539A72F4097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0:C38" firstHeaderRow="1" firstDataRow="1" firstDataCol="2"/>
  <pivotFields count="6"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axis="axisRow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18">
    <i>
      <x/>
      <x v="2"/>
    </i>
    <i t="default">
      <x/>
    </i>
    <i>
      <x v="1"/>
      <x/>
    </i>
    <i r="1">
      <x v="1"/>
    </i>
    <i r="1">
      <x v="3"/>
    </i>
    <i t="default">
      <x v="1"/>
    </i>
    <i>
      <x v="2"/>
      <x v="2"/>
    </i>
    <i r="1">
      <x v="3"/>
    </i>
    <i t="default">
      <x v="2"/>
    </i>
    <i>
      <x v="3"/>
      <x/>
    </i>
    <i r="1">
      <x v="2"/>
    </i>
    <i r="1">
      <x v="3"/>
    </i>
    <i t="default">
      <x v="3"/>
    </i>
    <i>
      <x v="4"/>
      <x/>
    </i>
    <i r="1">
      <x v="1"/>
    </i>
    <i r="1">
      <x v="3"/>
    </i>
    <i t="default"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C147D-A5BA-4E17-A5B5-FC9CA17B97D8}" name="Table1" displayName="Table1" ref="B3:E11" totalsRowShown="0" headerRowDxfId="5">
  <autoFilter ref="B3:E11" xr:uid="{87EC147D-A5BA-4E17-A5B5-FC9CA17B97D8}"/>
  <tableColumns count="4">
    <tableColumn id="1" xr3:uid="{58B2FC71-DD97-4F38-99AC-D7AA583AC3A0}" name="Name"/>
    <tableColumn id="2" xr3:uid="{C8EA53E7-213E-4F0D-B089-58FE2E131A81}" name="Gender"/>
    <tableColumn id="3" xr3:uid="{7A8D2614-A7D1-4187-A568-294A04B8002B}" name="Address"/>
    <tableColumn id="4" xr3:uid="{BC200BE8-44A7-47F8-A40E-20CB0E5330E2}" name="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D7E7E5-0F37-4AB9-9B1F-B786B374807D}" name="Table14" displayName="Table14" ref="B3:E11" totalsRowShown="0">
  <autoFilter ref="B3:E11" xr:uid="{35D7E7E5-0F37-4AB9-9B1F-B786B374807D}"/>
  <tableColumns count="4">
    <tableColumn id="1" xr3:uid="{CF334B74-740B-46D6-A6EB-CF31C11D7C89}" name="Name"/>
    <tableColumn id="2" xr3:uid="{63173809-59E4-41FE-BC65-0E6061A8650A}" name="Gender"/>
    <tableColumn id="3" xr3:uid="{65C17019-484D-4F24-B777-CF57BF2AAA69}" name="Address"/>
    <tableColumn id="4" xr3:uid="{34F81812-C9A5-4DB3-991B-7F497BE86234}" name="Amount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BE3A7A-FF22-4082-B58E-C102FB293B21}" name="Table24" displayName="Table24" ref="A3:E11" totalsRowShown="0">
  <autoFilter ref="A3:E11" xr:uid="{99BE3A7A-FF22-4082-B58E-C102FB293B21}"/>
  <tableColumns count="5">
    <tableColumn id="5" xr3:uid="{17BCF5FE-4838-463E-8813-D1D9C32AD3DB}" name="Serial No" dataDxfId="7"/>
    <tableColumn id="1" xr3:uid="{BEB18A01-ADB0-49B6-AA65-FDC3AA61AF32}" name="Name"/>
    <tableColumn id="2" xr3:uid="{C2FE5B7C-6BD5-4914-A922-B8A49B111DCB}" name="Gender"/>
    <tableColumn id="3" xr3:uid="{F7529330-1DD3-4806-8BB4-D958D4DE5E95}" name="Address"/>
    <tableColumn id="4" xr3:uid="{E057B5E5-5A55-444D-9BBB-C8D237E64AF8}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7" Type="http://schemas.microsoft.com/office/2011/relationships/webextension" Target="webextension7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2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  <wetp:taskpane dockstate="right" visibility="0" width="438" row="12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  <wetp:taskpane dockstate="right" visibility="0" width="438" row="13">
    <wetp:webextensionref xmlns:r="http://schemas.openxmlformats.org/officeDocument/2006/relationships" r:id="rId6"/>
  </wetp:taskpane>
  <wetp:taskpane dockstate="right" visibility="0" width="438" row="3">
    <wetp:webextensionref xmlns:r="http://schemas.openxmlformats.org/officeDocument/2006/relationships" r:id="rId7"/>
  </wetp:taskpane>
</wetp:taskpanes>
</file>

<file path=xl/webextensions/webextension1.xml><?xml version="1.0" encoding="utf-8"?>
<we:webextension xmlns:we="http://schemas.microsoft.com/office/webextensions/webextension/2010/11" id="{689920E7-696A-43AB-92E3-4ABE1330480A}">
  <we:reference id="WA200005669" version="2.0.0.0" store="Ome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A23618E-3F4A-4297-9223-DB332061BF71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516E6113-E905-46FB-8B2E-A544A1C6C5CA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Fqqd3bSG2iykIbU9MG0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9817D2E8-161B-4B69-9F8F-1E898D4E8CE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144ab488-0fb7-4670-a477-bec88bc985f3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9A066658-7DAF-4989-BC81-DFB641C5D28E}">
  <we:reference id="wa200010102" version="1.1.0.1" store="en-US" storeType="OMEX"/>
  <we:alternateReferences>
    <we:reference id="WA200010102" version="1.1.0.1" store="WA200010102" storeType="OMEX"/>
  </we:alternateReferences>
  <we:properties>
    <we:property name="o11_document_id" value="&quot;957dafd7-4242-42c1-9c3c-b255a6c41fe5&quot;"/>
  </we:properties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4387E2E0-B2F3-4742-9B9A-6489B28C6C31}">
  <we:reference id="wa200006007" version="1.2.3.0" store="en-US" storeType="OMEX"/>
  <we:alternateReferences>
    <we:reference id="WA200006007" version="1.2.3.0" store="WA20000600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_xldudf_COPILOTR2</we:customFunctionIds>
      </we:customFunctionIdList>
    </a:ext>
  </we:extLst>
</we:webextension>
</file>

<file path=xl/webextensions/webextension7.xml><?xml version="1.0" encoding="utf-8"?>
<we:webextension xmlns:we="http://schemas.microsoft.com/office/webextensions/webextension/2010/11" id="{3CBD9C8C-1490-4413-9A0C-70F3AF6EA25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9f8ae8e-d011-4768-a51b-8235be03c3a8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3C5-46E0-42FE-9411-5941989C5BD4}">
  <dimension ref="B1:E12"/>
  <sheetViews>
    <sheetView workbookViewId="0">
      <selection activeCell="F7" sqref="F7"/>
    </sheetView>
  </sheetViews>
  <sheetFormatPr defaultRowHeight="14.4" x14ac:dyDescent="0.3"/>
  <cols>
    <col min="2" max="2" width="65.5546875" bestFit="1" customWidth="1"/>
    <col min="3" max="3" width="12.33203125" customWidth="1"/>
  </cols>
  <sheetData>
    <row r="1" spans="2:5" ht="23.4" x14ac:dyDescent="0.45">
      <c r="B1" s="45" t="s">
        <v>200</v>
      </c>
      <c r="C1" s="45"/>
    </row>
    <row r="2" spans="2:5" ht="21" x14ac:dyDescent="0.4">
      <c r="B2" s="1" t="s">
        <v>22</v>
      </c>
      <c r="C2" s="1" t="s">
        <v>23</v>
      </c>
    </row>
    <row r="3" spans="2:5" ht="21" x14ac:dyDescent="0.4">
      <c r="B3" s="2" t="s">
        <v>30</v>
      </c>
      <c r="C3" s="3" t="s">
        <v>234</v>
      </c>
    </row>
    <row r="4" spans="2:5" ht="21" x14ac:dyDescent="0.4">
      <c r="B4" s="2" t="s">
        <v>31</v>
      </c>
      <c r="C4" s="3" t="s">
        <v>234</v>
      </c>
    </row>
    <row r="5" spans="2:5" ht="21" x14ac:dyDescent="0.4">
      <c r="B5" s="2" t="s">
        <v>186</v>
      </c>
      <c r="C5" s="3" t="s">
        <v>234</v>
      </c>
    </row>
    <row r="6" spans="2:5" ht="21" x14ac:dyDescent="0.4">
      <c r="B6" s="2" t="s">
        <v>32</v>
      </c>
      <c r="C6" s="3" t="s">
        <v>234</v>
      </c>
    </row>
    <row r="7" spans="2:5" ht="21" x14ac:dyDescent="0.4">
      <c r="B7" s="2" t="s">
        <v>33</v>
      </c>
      <c r="C7" s="3" t="s">
        <v>234</v>
      </c>
    </row>
    <row r="8" spans="2:5" ht="21" x14ac:dyDescent="0.4">
      <c r="B8" s="2"/>
      <c r="C8" s="3"/>
    </row>
    <row r="9" spans="2:5" ht="21" x14ac:dyDescent="0.4">
      <c r="B9" s="2"/>
      <c r="C9" s="3"/>
    </row>
    <row r="10" spans="2:5" ht="21" x14ac:dyDescent="0.4">
      <c r="C10" s="3"/>
    </row>
    <row r="12" spans="2:5" ht="21" x14ac:dyDescent="0.4">
      <c r="B12" s="4"/>
      <c r="C12" s="5"/>
      <c r="D12" s="4"/>
      <c r="E12" s="4"/>
    </row>
  </sheetData>
  <mergeCells count="1">
    <mergeCell ref="B1:C1"/>
  </mergeCells>
  <conditionalFormatting sqref="B9">
    <cfRule type="expression" dxfId="4" priority="6">
      <formula>#REF!="Done"</formula>
    </cfRule>
  </conditionalFormatting>
  <conditionalFormatting sqref="B3:C8">
    <cfRule type="expression" dxfId="3" priority="1">
      <formula>$C3="Done"</formula>
    </cfRule>
  </conditionalFormatting>
  <conditionalFormatting sqref="C9:C10">
    <cfRule type="expression" dxfId="2" priority="4">
      <formula>$D9="Done"</formula>
    </cfRule>
  </conditionalFormatting>
  <conditionalFormatting sqref="C12">
    <cfRule type="expression" dxfId="1" priority="2">
      <formula>$D12="Done"</formula>
    </cfRule>
  </conditionalFormatting>
  <dataValidations count="1">
    <dataValidation type="list" allowBlank="1" showInputMessage="1" showErrorMessage="1" sqref="C4:C10" xr:uid="{3F84AB3E-8A46-457F-8138-E5637CC2E5B3}">
      <formula1>"Done, Not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6FB1-F99B-43F9-A529-30157BB88E50}">
  <dimension ref="A1:C31"/>
  <sheetViews>
    <sheetView zoomScale="160" zoomScaleNormal="160" workbookViewId="0">
      <selection activeCell="E12" sqref="E12"/>
    </sheetView>
  </sheetViews>
  <sheetFormatPr defaultRowHeight="14.4" x14ac:dyDescent="0.3"/>
  <cols>
    <col min="3" max="3" width="19.88671875" customWidth="1"/>
    <col min="4" max="4" width="13.88671875" bestFit="1" customWidth="1"/>
  </cols>
  <sheetData>
    <row r="1" spans="1:3" x14ac:dyDescent="0.3">
      <c r="A1" t="s">
        <v>34</v>
      </c>
      <c r="B1" t="s">
        <v>176</v>
      </c>
      <c r="C1" t="s">
        <v>177</v>
      </c>
    </row>
    <row r="2" spans="1:3" x14ac:dyDescent="0.3">
      <c r="A2">
        <v>1</v>
      </c>
      <c r="B2">
        <v>3</v>
      </c>
      <c r="C2" s="39" t="s">
        <v>178</v>
      </c>
    </row>
    <row r="3" spans="1:3" x14ac:dyDescent="0.3">
      <c r="A3">
        <v>2</v>
      </c>
      <c r="B3">
        <v>-1</v>
      </c>
      <c r="C3" t="str" cm="1">
        <f t="array" ref="C3">_xlfn.IFS(B3&gt;=80,"Excellent",B3&gt;=60,"Good",B3&gt;=40,"Average",B3&gt;=20,"Poor",TRUE,"Very Poor")</f>
        <v>Very Poor</v>
      </c>
    </row>
    <row r="4" spans="1:3" x14ac:dyDescent="0.3">
      <c r="A4">
        <v>3</v>
      </c>
      <c r="B4">
        <v>9</v>
      </c>
    </row>
    <row r="5" spans="1:3" x14ac:dyDescent="0.3">
      <c r="A5">
        <v>4</v>
      </c>
      <c r="B5">
        <v>12</v>
      </c>
    </row>
    <row r="6" spans="1:3" x14ac:dyDescent="0.3">
      <c r="A6">
        <v>5</v>
      </c>
      <c r="B6">
        <v>16</v>
      </c>
      <c r="C6" t="str" cm="1">
        <f t="array" ref="C6">_xlfn.SWITCH(B6,15,"Masud",16,"Askah")</f>
        <v>Askah</v>
      </c>
    </row>
    <row r="7" spans="1:3" x14ac:dyDescent="0.3">
      <c r="A7">
        <v>6</v>
      </c>
      <c r="B7">
        <v>18</v>
      </c>
    </row>
    <row r="8" spans="1:3" x14ac:dyDescent="0.3">
      <c r="A8">
        <v>7</v>
      </c>
      <c r="B8">
        <v>21</v>
      </c>
    </row>
    <row r="9" spans="1:3" x14ac:dyDescent="0.3">
      <c r="A9">
        <v>8</v>
      </c>
      <c r="B9">
        <v>24</v>
      </c>
    </row>
    <row r="10" spans="1:3" x14ac:dyDescent="0.3">
      <c r="A10">
        <v>9</v>
      </c>
      <c r="B10">
        <v>27</v>
      </c>
    </row>
    <row r="11" spans="1:3" x14ac:dyDescent="0.3">
      <c r="A11">
        <v>10</v>
      </c>
      <c r="B11">
        <v>30</v>
      </c>
    </row>
    <row r="12" spans="1:3" x14ac:dyDescent="0.3">
      <c r="A12">
        <v>11</v>
      </c>
      <c r="B12">
        <v>33</v>
      </c>
    </row>
    <row r="13" spans="1:3" x14ac:dyDescent="0.3">
      <c r="A13">
        <v>12</v>
      </c>
      <c r="B13">
        <v>36</v>
      </c>
    </row>
    <row r="14" spans="1:3" x14ac:dyDescent="0.3">
      <c r="A14">
        <v>13</v>
      </c>
      <c r="B14">
        <v>39</v>
      </c>
    </row>
    <row r="15" spans="1:3" x14ac:dyDescent="0.3">
      <c r="A15">
        <v>14</v>
      </c>
      <c r="B15">
        <v>42</v>
      </c>
    </row>
    <row r="16" spans="1:3" x14ac:dyDescent="0.3">
      <c r="A16">
        <v>15</v>
      </c>
      <c r="B16">
        <v>45</v>
      </c>
    </row>
    <row r="17" spans="1:2" x14ac:dyDescent="0.3">
      <c r="A17">
        <v>16</v>
      </c>
      <c r="B17">
        <v>48</v>
      </c>
    </row>
    <row r="18" spans="1:2" x14ac:dyDescent="0.3">
      <c r="A18">
        <v>17</v>
      </c>
      <c r="B18">
        <v>51</v>
      </c>
    </row>
    <row r="19" spans="1:2" x14ac:dyDescent="0.3">
      <c r="A19">
        <v>18</v>
      </c>
      <c r="B19">
        <v>54</v>
      </c>
    </row>
    <row r="20" spans="1:2" x14ac:dyDescent="0.3">
      <c r="A20">
        <v>19</v>
      </c>
      <c r="B20">
        <v>57</v>
      </c>
    </row>
    <row r="21" spans="1:2" x14ac:dyDescent="0.3">
      <c r="A21">
        <v>20</v>
      </c>
      <c r="B21">
        <v>60</v>
      </c>
    </row>
    <row r="22" spans="1:2" x14ac:dyDescent="0.3">
      <c r="A22">
        <v>21</v>
      </c>
      <c r="B22">
        <v>63</v>
      </c>
    </row>
    <row r="23" spans="1:2" x14ac:dyDescent="0.3">
      <c r="A23">
        <v>22</v>
      </c>
      <c r="B23">
        <v>66</v>
      </c>
    </row>
    <row r="24" spans="1:2" x14ac:dyDescent="0.3">
      <c r="A24">
        <v>23</v>
      </c>
      <c r="B24">
        <v>69</v>
      </c>
    </row>
    <row r="25" spans="1:2" x14ac:dyDescent="0.3">
      <c r="A25">
        <v>24</v>
      </c>
      <c r="B25">
        <v>72</v>
      </c>
    </row>
    <row r="26" spans="1:2" x14ac:dyDescent="0.3">
      <c r="A26">
        <v>25</v>
      </c>
      <c r="B26">
        <v>75</v>
      </c>
    </row>
    <row r="27" spans="1:2" x14ac:dyDescent="0.3">
      <c r="A27">
        <v>26</v>
      </c>
      <c r="B27">
        <v>78</v>
      </c>
    </row>
    <row r="28" spans="1:2" x14ac:dyDescent="0.3">
      <c r="A28">
        <v>27</v>
      </c>
      <c r="B28">
        <v>81</v>
      </c>
    </row>
    <row r="29" spans="1:2" x14ac:dyDescent="0.3">
      <c r="A29">
        <v>28</v>
      </c>
      <c r="B29">
        <v>84</v>
      </c>
    </row>
    <row r="30" spans="1:2" x14ac:dyDescent="0.3">
      <c r="A30">
        <v>29</v>
      </c>
      <c r="B30">
        <v>87</v>
      </c>
    </row>
    <row r="31" spans="1:2" x14ac:dyDescent="0.3">
      <c r="A31">
        <v>30</v>
      </c>
      <c r="B31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zoomScale="130" zoomScaleNormal="130" workbookViewId="0">
      <selection activeCell="B1" sqref="B1:B1048576"/>
    </sheetView>
  </sheetViews>
  <sheetFormatPr defaultRowHeight="14.4" x14ac:dyDescent="0.3"/>
  <cols>
    <col min="1" max="1" width="9.5546875" style="6" customWidth="1"/>
    <col min="2" max="2" width="14.6640625" customWidth="1"/>
    <col min="3" max="3" width="15" style="6" customWidth="1"/>
    <col min="4" max="4" width="9.5546875" customWidth="1"/>
    <col min="6" max="6" width="12.5546875" bestFit="1" customWidth="1"/>
    <col min="7" max="7" width="12.21875" bestFit="1" customWidth="1"/>
    <col min="9" max="9" width="11.44140625" bestFit="1" customWidth="1"/>
    <col min="12" max="12" width="10.77734375" customWidth="1"/>
  </cols>
  <sheetData>
    <row r="1" spans="1:13" ht="15.6" x14ac:dyDescent="0.3">
      <c r="A1" s="40" t="s">
        <v>34</v>
      </c>
      <c r="B1" s="40" t="s">
        <v>35</v>
      </c>
      <c r="C1" s="40" t="s">
        <v>36</v>
      </c>
      <c r="D1" s="40" t="s">
        <v>37</v>
      </c>
    </row>
    <row r="2" spans="1:13" x14ac:dyDescent="0.3">
      <c r="A2" s="6">
        <v>1</v>
      </c>
      <c r="B2" t="s">
        <v>38</v>
      </c>
      <c r="C2" s="6" t="s">
        <v>39</v>
      </c>
      <c r="D2">
        <v>345</v>
      </c>
      <c r="F2" t="s">
        <v>41</v>
      </c>
      <c r="G2">
        <f>SUMIF(B2:B151,F2,D2:D151)</f>
        <v>9728</v>
      </c>
    </row>
    <row r="3" spans="1:13" x14ac:dyDescent="0.3">
      <c r="A3" s="6">
        <v>2</v>
      </c>
      <c r="B3" t="s">
        <v>40</v>
      </c>
      <c r="C3" s="6" t="s">
        <v>39</v>
      </c>
      <c r="D3">
        <v>380</v>
      </c>
      <c r="I3" t="str" cm="1">
        <f t="array" ref="I3:J8">_xlfn.GROUPBY(B1:B151,D1:D151,_xleta.SUM,3)</f>
        <v>Category</v>
      </c>
      <c r="J3" t="str">
        <v>Value</v>
      </c>
      <c r="L3" t="str" cm="1">
        <f t="array" ref="L3:M7">_xlfn.GROUPBY(B1:B151,D1:D151,_xleta.SUM,3,0)</f>
        <v>Category</v>
      </c>
      <c r="M3" t="str">
        <v>Value</v>
      </c>
    </row>
    <row r="4" spans="1:13" x14ac:dyDescent="0.3">
      <c r="A4" s="6">
        <v>3</v>
      </c>
      <c r="B4" t="s">
        <v>41</v>
      </c>
      <c r="C4" s="6" t="s">
        <v>39</v>
      </c>
      <c r="D4">
        <v>1000</v>
      </c>
      <c r="F4" s="41" t="s">
        <v>187</v>
      </c>
      <c r="G4" t="s">
        <v>189</v>
      </c>
      <c r="I4" t="str">
        <v>Clothing</v>
      </c>
      <c r="J4">
        <v>9728</v>
      </c>
      <c r="L4" t="str">
        <v>Clothing</v>
      </c>
      <c r="M4">
        <v>9728</v>
      </c>
    </row>
    <row r="5" spans="1:13" x14ac:dyDescent="0.3">
      <c r="A5" s="6">
        <v>4</v>
      </c>
      <c r="B5" t="s">
        <v>40</v>
      </c>
      <c r="C5" s="6" t="s">
        <v>42</v>
      </c>
      <c r="D5">
        <v>210</v>
      </c>
      <c r="F5" s="42" t="s">
        <v>41</v>
      </c>
      <c r="G5" s="52">
        <v>9728</v>
      </c>
      <c r="I5" t="str">
        <v>Electronics</v>
      </c>
      <c r="J5">
        <v>12214</v>
      </c>
      <c r="L5" t="str">
        <v>Electronics</v>
      </c>
      <c r="M5">
        <v>12214</v>
      </c>
    </row>
    <row r="6" spans="1:13" x14ac:dyDescent="0.3">
      <c r="A6" s="6">
        <v>5</v>
      </c>
      <c r="B6" t="s">
        <v>40</v>
      </c>
      <c r="C6" s="6" t="s">
        <v>39</v>
      </c>
      <c r="D6">
        <v>385</v>
      </c>
      <c r="F6" s="42" t="s">
        <v>38</v>
      </c>
      <c r="G6" s="52">
        <v>12214</v>
      </c>
      <c r="I6" t="str">
        <v>Furniture</v>
      </c>
      <c r="J6">
        <v>13212</v>
      </c>
      <c r="L6" t="str">
        <v>Furniture</v>
      </c>
      <c r="M6">
        <v>13212</v>
      </c>
    </row>
    <row r="7" spans="1:13" x14ac:dyDescent="0.3">
      <c r="A7" s="6">
        <v>6</v>
      </c>
      <c r="B7" t="s">
        <v>38</v>
      </c>
      <c r="C7" s="6" t="s">
        <v>39</v>
      </c>
      <c r="D7">
        <v>469</v>
      </c>
      <c r="F7" s="42" t="s">
        <v>40</v>
      </c>
      <c r="G7" s="52">
        <v>13212</v>
      </c>
      <c r="I7" t="str">
        <v>Grocery</v>
      </c>
      <c r="J7">
        <v>6859</v>
      </c>
      <c r="L7" t="str">
        <v>Grocery</v>
      </c>
      <c r="M7">
        <v>6859</v>
      </c>
    </row>
    <row r="8" spans="1:13" x14ac:dyDescent="0.3">
      <c r="A8" s="6">
        <v>7</v>
      </c>
      <c r="B8" t="s">
        <v>40</v>
      </c>
      <c r="C8" s="6" t="s">
        <v>43</v>
      </c>
      <c r="D8">
        <v>368</v>
      </c>
      <c r="F8" s="42" t="s">
        <v>44</v>
      </c>
      <c r="G8" s="52">
        <v>6859</v>
      </c>
      <c r="I8" t="str">
        <v>Total</v>
      </c>
      <c r="J8">
        <v>42013</v>
      </c>
    </row>
    <row r="9" spans="1:13" x14ac:dyDescent="0.3">
      <c r="A9" s="6">
        <v>8</v>
      </c>
      <c r="B9" t="s">
        <v>44</v>
      </c>
      <c r="C9" s="6" t="s">
        <v>43</v>
      </c>
      <c r="D9">
        <v>492</v>
      </c>
      <c r="F9" s="42" t="s">
        <v>188</v>
      </c>
      <c r="G9" s="52">
        <v>42013</v>
      </c>
    </row>
    <row r="10" spans="1:13" x14ac:dyDescent="0.3">
      <c r="A10" s="6">
        <v>9</v>
      </c>
      <c r="B10" t="s">
        <v>40</v>
      </c>
      <c r="C10" s="6" t="s">
        <v>39</v>
      </c>
      <c r="D10">
        <v>411</v>
      </c>
      <c r="L10" t="str" cm="1">
        <f t="array" ref="L10:M14">_xlfn.GROUPBY(B1:B151,D1:D151,_xleta.AVERAGE,3,0)</f>
        <v>Category</v>
      </c>
      <c r="M10" t="str">
        <v>Value</v>
      </c>
    </row>
    <row r="11" spans="1:13" x14ac:dyDescent="0.3">
      <c r="A11" s="6">
        <v>10</v>
      </c>
      <c r="B11" t="s">
        <v>38</v>
      </c>
      <c r="C11" s="6" t="s">
        <v>39</v>
      </c>
      <c r="D11">
        <v>491</v>
      </c>
      <c r="L11" t="str">
        <v>Clothing</v>
      </c>
      <c r="M11">
        <v>324.26666666666665</v>
      </c>
    </row>
    <row r="12" spans="1:13" x14ac:dyDescent="0.3">
      <c r="A12" s="6">
        <v>11</v>
      </c>
      <c r="B12" t="s">
        <v>44</v>
      </c>
      <c r="C12" s="6" t="s">
        <v>43</v>
      </c>
      <c r="D12">
        <v>454</v>
      </c>
      <c r="I12" t="str" cm="1">
        <f t="array" ref="I12:J15">_xlfn.GROUPBY(C1:C151,D1:D151,_xleta.SUM,3,0,-2)</f>
        <v>SubCategory</v>
      </c>
      <c r="J12" t="str">
        <v>Value</v>
      </c>
      <c r="L12" t="str">
        <v>Electronics</v>
      </c>
      <c r="M12">
        <v>271.42222222222222</v>
      </c>
    </row>
    <row r="13" spans="1:13" x14ac:dyDescent="0.3">
      <c r="A13" s="6">
        <v>12</v>
      </c>
      <c r="B13" t="s">
        <v>40</v>
      </c>
      <c r="C13" s="6" t="s">
        <v>42</v>
      </c>
      <c r="D13">
        <v>453</v>
      </c>
      <c r="I13" t="str">
        <v>C</v>
      </c>
      <c r="J13">
        <v>16254</v>
      </c>
      <c r="L13" t="str">
        <v>Furniture</v>
      </c>
      <c r="M13">
        <v>264.24</v>
      </c>
    </row>
    <row r="14" spans="1:13" x14ac:dyDescent="0.3">
      <c r="A14" s="6">
        <v>13</v>
      </c>
      <c r="B14" t="s">
        <v>38</v>
      </c>
      <c r="C14" s="6" t="s">
        <v>42</v>
      </c>
      <c r="D14">
        <v>318</v>
      </c>
      <c r="I14" t="str">
        <v>B</v>
      </c>
      <c r="J14">
        <v>13443</v>
      </c>
      <c r="L14" t="str">
        <v>Grocery</v>
      </c>
      <c r="M14">
        <v>274.36</v>
      </c>
    </row>
    <row r="15" spans="1:13" x14ac:dyDescent="0.3">
      <c r="A15" s="6">
        <v>14</v>
      </c>
      <c r="B15" t="s">
        <v>41</v>
      </c>
      <c r="C15" s="6" t="s">
        <v>42</v>
      </c>
      <c r="D15">
        <v>148</v>
      </c>
      <c r="I15" t="str">
        <v>A</v>
      </c>
      <c r="J15">
        <v>12316</v>
      </c>
    </row>
    <row r="16" spans="1:13" x14ac:dyDescent="0.3">
      <c r="A16" s="6">
        <v>15</v>
      </c>
      <c r="B16" t="s">
        <v>38</v>
      </c>
      <c r="C16" s="6" t="s">
        <v>43</v>
      </c>
      <c r="D16">
        <v>70</v>
      </c>
    </row>
    <row r="17" spans="1:13" x14ac:dyDescent="0.3">
      <c r="A17" s="6">
        <v>16</v>
      </c>
      <c r="B17" t="s">
        <v>40</v>
      </c>
      <c r="C17" s="6" t="s">
        <v>39</v>
      </c>
      <c r="D17">
        <v>442</v>
      </c>
      <c r="L17" t="str" cm="1">
        <f t="array" ref="L17:M21">_xlfn.GROUPBY(B1:B151,D1:D151,_xleta.COUNT,3,0)</f>
        <v>Category</v>
      </c>
      <c r="M17" t="str">
        <v>Value</v>
      </c>
    </row>
    <row r="18" spans="1:13" x14ac:dyDescent="0.3">
      <c r="A18" s="6">
        <v>17</v>
      </c>
      <c r="B18" t="s">
        <v>38</v>
      </c>
      <c r="C18" s="6" t="s">
        <v>42</v>
      </c>
      <c r="D18">
        <v>168</v>
      </c>
      <c r="L18" t="str">
        <v>Clothing</v>
      </c>
      <c r="M18">
        <v>30</v>
      </c>
    </row>
    <row r="19" spans="1:13" x14ac:dyDescent="0.3">
      <c r="A19" s="6">
        <v>18</v>
      </c>
      <c r="B19" t="s">
        <v>40</v>
      </c>
      <c r="C19" s="6" t="s">
        <v>39</v>
      </c>
      <c r="D19">
        <v>124</v>
      </c>
      <c r="L19" t="str">
        <v>Electronics</v>
      </c>
      <c r="M19">
        <v>45</v>
      </c>
    </row>
    <row r="20" spans="1:13" x14ac:dyDescent="0.3">
      <c r="A20" s="6">
        <v>19</v>
      </c>
      <c r="B20" t="s">
        <v>40</v>
      </c>
      <c r="C20" s="6" t="s">
        <v>43</v>
      </c>
      <c r="D20">
        <v>180</v>
      </c>
      <c r="L20" t="str">
        <v>Furniture</v>
      </c>
      <c r="M20">
        <v>50</v>
      </c>
    </row>
    <row r="21" spans="1:13" x14ac:dyDescent="0.3">
      <c r="A21" s="6">
        <v>20</v>
      </c>
      <c r="B21" t="s">
        <v>38</v>
      </c>
      <c r="C21" s="6" t="s">
        <v>39</v>
      </c>
      <c r="D21">
        <v>175</v>
      </c>
      <c r="L21" t="str">
        <v>Grocery</v>
      </c>
      <c r="M21">
        <v>25</v>
      </c>
    </row>
    <row r="22" spans="1:13" x14ac:dyDescent="0.3">
      <c r="A22" s="6">
        <v>21</v>
      </c>
      <c r="B22" t="s">
        <v>40</v>
      </c>
      <c r="C22" s="6" t="s">
        <v>42</v>
      </c>
      <c r="D22">
        <v>168</v>
      </c>
    </row>
    <row r="23" spans="1:13" x14ac:dyDescent="0.3">
      <c r="A23" s="6">
        <v>22</v>
      </c>
      <c r="B23" t="s">
        <v>40</v>
      </c>
      <c r="C23" s="6" t="s">
        <v>42</v>
      </c>
      <c r="D23">
        <v>243</v>
      </c>
    </row>
    <row r="24" spans="1:13" x14ac:dyDescent="0.3">
      <c r="A24" s="6">
        <v>23</v>
      </c>
      <c r="B24" t="s">
        <v>44</v>
      </c>
      <c r="C24" s="6" t="s">
        <v>43</v>
      </c>
      <c r="D24">
        <v>494</v>
      </c>
    </row>
    <row r="25" spans="1:13" x14ac:dyDescent="0.3">
      <c r="A25" s="6">
        <v>24</v>
      </c>
      <c r="B25" t="s">
        <v>41</v>
      </c>
      <c r="C25" s="6" t="s">
        <v>39</v>
      </c>
      <c r="D25">
        <v>419</v>
      </c>
    </row>
    <row r="26" spans="1:13" x14ac:dyDescent="0.3">
      <c r="A26" s="6">
        <v>25</v>
      </c>
      <c r="B26" t="s">
        <v>38</v>
      </c>
      <c r="C26" s="6" t="s">
        <v>39</v>
      </c>
      <c r="D26">
        <v>224</v>
      </c>
    </row>
    <row r="27" spans="1:13" x14ac:dyDescent="0.3">
      <c r="A27" s="6">
        <v>26</v>
      </c>
      <c r="B27" t="s">
        <v>40</v>
      </c>
      <c r="C27" s="6" t="s">
        <v>39</v>
      </c>
      <c r="D27">
        <v>360</v>
      </c>
    </row>
    <row r="28" spans="1:13" x14ac:dyDescent="0.3">
      <c r="A28" s="6">
        <v>27</v>
      </c>
      <c r="B28" t="s">
        <v>38</v>
      </c>
      <c r="C28" s="6" t="s">
        <v>39</v>
      </c>
      <c r="D28">
        <v>434</v>
      </c>
    </row>
    <row r="29" spans="1:13" x14ac:dyDescent="0.3">
      <c r="A29" s="6">
        <v>28</v>
      </c>
      <c r="B29" t="s">
        <v>41</v>
      </c>
      <c r="C29" s="6" t="s">
        <v>43</v>
      </c>
      <c r="D29">
        <v>499</v>
      </c>
    </row>
    <row r="30" spans="1:13" x14ac:dyDescent="0.3">
      <c r="A30" s="6">
        <v>29</v>
      </c>
      <c r="B30" t="s">
        <v>38</v>
      </c>
      <c r="C30" s="6" t="s">
        <v>43</v>
      </c>
      <c r="D30">
        <v>445</v>
      </c>
    </row>
    <row r="31" spans="1:13" x14ac:dyDescent="0.3">
      <c r="A31" s="6">
        <v>30</v>
      </c>
      <c r="B31" t="s">
        <v>41</v>
      </c>
      <c r="C31" s="6" t="s">
        <v>42</v>
      </c>
      <c r="D31">
        <v>341</v>
      </c>
    </row>
    <row r="32" spans="1:13" x14ac:dyDescent="0.3">
      <c r="A32" s="6">
        <v>31</v>
      </c>
      <c r="B32" t="s">
        <v>41</v>
      </c>
      <c r="C32" s="6" t="s">
        <v>43</v>
      </c>
      <c r="D32">
        <v>392</v>
      </c>
    </row>
    <row r="33" spans="1:4" x14ac:dyDescent="0.3">
      <c r="A33" s="6">
        <v>32</v>
      </c>
      <c r="B33" t="s">
        <v>40</v>
      </c>
      <c r="C33" s="6" t="s">
        <v>43</v>
      </c>
      <c r="D33">
        <v>140</v>
      </c>
    </row>
    <row r="34" spans="1:4" x14ac:dyDescent="0.3">
      <c r="A34" s="6">
        <v>33</v>
      </c>
      <c r="B34" t="s">
        <v>44</v>
      </c>
      <c r="C34" s="6" t="s">
        <v>43</v>
      </c>
      <c r="D34">
        <v>112</v>
      </c>
    </row>
    <row r="35" spans="1:4" x14ac:dyDescent="0.3">
      <c r="A35" s="6">
        <v>34</v>
      </c>
      <c r="B35" t="s">
        <v>38</v>
      </c>
      <c r="C35" s="6" t="s">
        <v>43</v>
      </c>
      <c r="D35">
        <v>347</v>
      </c>
    </row>
    <row r="36" spans="1:4" x14ac:dyDescent="0.3">
      <c r="A36" s="6">
        <v>35</v>
      </c>
      <c r="B36" t="s">
        <v>41</v>
      </c>
      <c r="C36" s="6" t="s">
        <v>43</v>
      </c>
      <c r="D36">
        <v>387</v>
      </c>
    </row>
    <row r="37" spans="1:4" x14ac:dyDescent="0.3">
      <c r="A37" s="6">
        <v>36</v>
      </c>
      <c r="B37" t="s">
        <v>40</v>
      </c>
      <c r="C37" s="6" t="s">
        <v>43</v>
      </c>
      <c r="D37">
        <v>229</v>
      </c>
    </row>
    <row r="38" spans="1:4" x14ac:dyDescent="0.3">
      <c r="A38" s="6">
        <v>37</v>
      </c>
      <c r="B38" t="s">
        <v>40</v>
      </c>
      <c r="C38" s="6" t="s">
        <v>39</v>
      </c>
      <c r="D38">
        <v>423</v>
      </c>
    </row>
    <row r="39" spans="1:4" x14ac:dyDescent="0.3">
      <c r="A39" s="6">
        <v>38</v>
      </c>
      <c r="B39" t="s">
        <v>41</v>
      </c>
      <c r="C39" s="6" t="s">
        <v>42</v>
      </c>
      <c r="D39">
        <v>304</v>
      </c>
    </row>
    <row r="40" spans="1:4" x14ac:dyDescent="0.3">
      <c r="A40" s="6">
        <v>39</v>
      </c>
      <c r="B40" t="s">
        <v>38</v>
      </c>
      <c r="C40" s="6" t="s">
        <v>42</v>
      </c>
      <c r="D40">
        <v>266</v>
      </c>
    </row>
    <row r="41" spans="1:4" x14ac:dyDescent="0.3">
      <c r="A41" s="6">
        <v>40</v>
      </c>
      <c r="B41" t="s">
        <v>40</v>
      </c>
      <c r="C41" s="6" t="s">
        <v>39</v>
      </c>
      <c r="D41">
        <v>218</v>
      </c>
    </row>
    <row r="42" spans="1:4" x14ac:dyDescent="0.3">
      <c r="A42" s="6">
        <v>41</v>
      </c>
      <c r="B42" t="s">
        <v>40</v>
      </c>
      <c r="C42" s="6" t="s">
        <v>43</v>
      </c>
      <c r="D42">
        <v>352</v>
      </c>
    </row>
    <row r="43" spans="1:4" x14ac:dyDescent="0.3">
      <c r="A43" s="6">
        <v>42</v>
      </c>
      <c r="B43" t="s">
        <v>38</v>
      </c>
      <c r="C43" s="6" t="s">
        <v>43</v>
      </c>
      <c r="D43">
        <v>476</v>
      </c>
    </row>
    <row r="44" spans="1:4" x14ac:dyDescent="0.3">
      <c r="A44" s="6">
        <v>43</v>
      </c>
      <c r="B44" t="s">
        <v>38</v>
      </c>
      <c r="C44" s="6" t="s">
        <v>42</v>
      </c>
      <c r="D44">
        <v>296</v>
      </c>
    </row>
    <row r="45" spans="1:4" x14ac:dyDescent="0.3">
      <c r="A45" s="6">
        <v>44</v>
      </c>
      <c r="B45" t="s">
        <v>38</v>
      </c>
      <c r="C45" s="6" t="s">
        <v>42</v>
      </c>
      <c r="D45">
        <v>134</v>
      </c>
    </row>
    <row r="46" spans="1:4" x14ac:dyDescent="0.3">
      <c r="A46" s="6">
        <v>45</v>
      </c>
      <c r="B46" t="s">
        <v>40</v>
      </c>
      <c r="C46" s="6" t="s">
        <v>43</v>
      </c>
      <c r="D46">
        <v>297</v>
      </c>
    </row>
    <row r="47" spans="1:4" x14ac:dyDescent="0.3">
      <c r="A47" s="6">
        <v>46</v>
      </c>
      <c r="B47" t="s">
        <v>41</v>
      </c>
      <c r="C47" s="6" t="s">
        <v>43</v>
      </c>
      <c r="D47">
        <v>243</v>
      </c>
    </row>
    <row r="48" spans="1:4" x14ac:dyDescent="0.3">
      <c r="A48" s="6">
        <v>47</v>
      </c>
      <c r="B48" t="s">
        <v>44</v>
      </c>
      <c r="C48" s="6" t="s">
        <v>43</v>
      </c>
      <c r="D48">
        <v>94</v>
      </c>
    </row>
    <row r="49" spans="1:4" x14ac:dyDescent="0.3">
      <c r="A49" s="6">
        <v>48</v>
      </c>
      <c r="B49" t="s">
        <v>38</v>
      </c>
      <c r="C49" s="6" t="s">
        <v>39</v>
      </c>
      <c r="D49">
        <v>211</v>
      </c>
    </row>
    <row r="50" spans="1:4" x14ac:dyDescent="0.3">
      <c r="A50" s="6">
        <v>49</v>
      </c>
      <c r="B50" t="s">
        <v>44</v>
      </c>
      <c r="C50" s="6" t="s">
        <v>42</v>
      </c>
      <c r="D50">
        <v>260</v>
      </c>
    </row>
    <row r="51" spans="1:4" x14ac:dyDescent="0.3">
      <c r="A51" s="6">
        <v>50</v>
      </c>
      <c r="B51" t="s">
        <v>38</v>
      </c>
      <c r="C51" s="6" t="s">
        <v>43</v>
      </c>
      <c r="D51">
        <v>88</v>
      </c>
    </row>
    <row r="52" spans="1:4" x14ac:dyDescent="0.3">
      <c r="A52" s="6">
        <v>51</v>
      </c>
      <c r="B52" t="s">
        <v>44</v>
      </c>
      <c r="C52" s="6" t="s">
        <v>43</v>
      </c>
      <c r="D52">
        <v>371</v>
      </c>
    </row>
    <row r="53" spans="1:4" x14ac:dyDescent="0.3">
      <c r="A53" s="6">
        <v>52</v>
      </c>
      <c r="B53" t="s">
        <v>41</v>
      </c>
      <c r="C53" s="6" t="s">
        <v>39</v>
      </c>
      <c r="D53">
        <v>462</v>
      </c>
    </row>
    <row r="54" spans="1:4" x14ac:dyDescent="0.3">
      <c r="A54" s="6">
        <v>53</v>
      </c>
      <c r="B54" t="s">
        <v>41</v>
      </c>
      <c r="C54" s="6" t="s">
        <v>43</v>
      </c>
      <c r="D54">
        <v>378</v>
      </c>
    </row>
    <row r="55" spans="1:4" x14ac:dyDescent="0.3">
      <c r="A55" s="6">
        <v>54</v>
      </c>
      <c r="B55" t="s">
        <v>38</v>
      </c>
      <c r="C55" s="6" t="s">
        <v>43</v>
      </c>
      <c r="D55">
        <v>155</v>
      </c>
    </row>
    <row r="56" spans="1:4" x14ac:dyDescent="0.3">
      <c r="A56" s="6">
        <v>55</v>
      </c>
      <c r="B56" t="s">
        <v>38</v>
      </c>
      <c r="C56" s="6" t="s">
        <v>39</v>
      </c>
      <c r="D56">
        <v>212</v>
      </c>
    </row>
    <row r="57" spans="1:4" x14ac:dyDescent="0.3">
      <c r="A57" s="6">
        <v>56</v>
      </c>
      <c r="B57" t="s">
        <v>38</v>
      </c>
      <c r="C57" s="6" t="s">
        <v>39</v>
      </c>
      <c r="D57">
        <v>474</v>
      </c>
    </row>
    <row r="58" spans="1:4" x14ac:dyDescent="0.3">
      <c r="A58" s="6">
        <v>57</v>
      </c>
      <c r="B58" t="s">
        <v>41</v>
      </c>
      <c r="C58" s="6" t="s">
        <v>43</v>
      </c>
      <c r="D58">
        <v>342</v>
      </c>
    </row>
    <row r="59" spans="1:4" x14ac:dyDescent="0.3">
      <c r="A59" s="6">
        <v>58</v>
      </c>
      <c r="B59" t="s">
        <v>38</v>
      </c>
      <c r="C59" s="6" t="s">
        <v>43</v>
      </c>
      <c r="D59">
        <v>120</v>
      </c>
    </row>
    <row r="60" spans="1:4" x14ac:dyDescent="0.3">
      <c r="A60" s="6">
        <v>59</v>
      </c>
      <c r="B60" t="s">
        <v>38</v>
      </c>
      <c r="C60" s="6" t="s">
        <v>42</v>
      </c>
      <c r="D60">
        <v>281</v>
      </c>
    </row>
    <row r="61" spans="1:4" x14ac:dyDescent="0.3">
      <c r="A61" s="6">
        <v>60</v>
      </c>
      <c r="B61" t="s">
        <v>40</v>
      </c>
      <c r="C61" s="6" t="s">
        <v>39</v>
      </c>
      <c r="D61">
        <v>66</v>
      </c>
    </row>
    <row r="62" spans="1:4" x14ac:dyDescent="0.3">
      <c r="A62" s="6">
        <v>61</v>
      </c>
      <c r="B62" t="s">
        <v>40</v>
      </c>
      <c r="C62" s="6" t="s">
        <v>42</v>
      </c>
      <c r="D62">
        <v>299</v>
      </c>
    </row>
    <row r="63" spans="1:4" x14ac:dyDescent="0.3">
      <c r="A63" s="6">
        <v>62</v>
      </c>
      <c r="B63" t="s">
        <v>41</v>
      </c>
      <c r="C63" s="6" t="s">
        <v>43</v>
      </c>
      <c r="D63">
        <v>113</v>
      </c>
    </row>
    <row r="64" spans="1:4" x14ac:dyDescent="0.3">
      <c r="A64" s="6">
        <v>63</v>
      </c>
      <c r="B64" t="s">
        <v>40</v>
      </c>
      <c r="C64" s="6" t="s">
        <v>43</v>
      </c>
      <c r="D64">
        <v>73</v>
      </c>
    </row>
    <row r="65" spans="1:4" x14ac:dyDescent="0.3">
      <c r="A65" s="6">
        <v>64</v>
      </c>
      <c r="B65" t="s">
        <v>38</v>
      </c>
      <c r="C65" s="6" t="s">
        <v>39</v>
      </c>
      <c r="D65">
        <v>487</v>
      </c>
    </row>
    <row r="66" spans="1:4" x14ac:dyDescent="0.3">
      <c r="A66" s="6">
        <v>65</v>
      </c>
      <c r="B66" t="s">
        <v>41</v>
      </c>
      <c r="C66" s="6" t="s">
        <v>42</v>
      </c>
      <c r="D66">
        <v>384</v>
      </c>
    </row>
    <row r="67" spans="1:4" x14ac:dyDescent="0.3">
      <c r="A67" s="6">
        <v>66</v>
      </c>
      <c r="B67" t="s">
        <v>41</v>
      </c>
      <c r="C67" s="6" t="s">
        <v>43</v>
      </c>
      <c r="D67">
        <v>132</v>
      </c>
    </row>
    <row r="68" spans="1:4" x14ac:dyDescent="0.3">
      <c r="A68" s="6">
        <v>67</v>
      </c>
      <c r="B68" t="s">
        <v>44</v>
      </c>
      <c r="C68" s="6" t="s">
        <v>43</v>
      </c>
      <c r="D68">
        <v>150</v>
      </c>
    </row>
    <row r="69" spans="1:4" x14ac:dyDescent="0.3">
      <c r="A69" s="6">
        <v>68</v>
      </c>
      <c r="B69" t="s">
        <v>41</v>
      </c>
      <c r="C69" s="6" t="s">
        <v>42</v>
      </c>
      <c r="D69">
        <v>282</v>
      </c>
    </row>
    <row r="70" spans="1:4" x14ac:dyDescent="0.3">
      <c r="A70" s="6">
        <v>69</v>
      </c>
      <c r="B70" t="s">
        <v>41</v>
      </c>
      <c r="C70" s="6" t="s">
        <v>42</v>
      </c>
      <c r="D70">
        <v>104</v>
      </c>
    </row>
    <row r="71" spans="1:4" x14ac:dyDescent="0.3">
      <c r="A71" s="6">
        <v>70</v>
      </c>
      <c r="B71" t="s">
        <v>41</v>
      </c>
      <c r="C71" s="6" t="s">
        <v>43</v>
      </c>
      <c r="D71">
        <v>250</v>
      </c>
    </row>
    <row r="72" spans="1:4" x14ac:dyDescent="0.3">
      <c r="A72" s="6">
        <v>71</v>
      </c>
      <c r="B72" t="s">
        <v>38</v>
      </c>
      <c r="C72" s="6" t="s">
        <v>39</v>
      </c>
      <c r="D72">
        <v>270</v>
      </c>
    </row>
    <row r="73" spans="1:4" x14ac:dyDescent="0.3">
      <c r="A73" s="6">
        <v>72</v>
      </c>
      <c r="B73" t="s">
        <v>41</v>
      </c>
      <c r="C73" s="6" t="s">
        <v>42</v>
      </c>
      <c r="D73">
        <v>452</v>
      </c>
    </row>
    <row r="74" spans="1:4" x14ac:dyDescent="0.3">
      <c r="A74" s="6">
        <v>73</v>
      </c>
      <c r="B74" t="s">
        <v>40</v>
      </c>
      <c r="C74" s="6" t="s">
        <v>43</v>
      </c>
      <c r="D74">
        <v>119</v>
      </c>
    </row>
    <row r="75" spans="1:4" x14ac:dyDescent="0.3">
      <c r="A75" s="6">
        <v>74</v>
      </c>
      <c r="B75" t="s">
        <v>40</v>
      </c>
      <c r="C75" s="6" t="s">
        <v>39</v>
      </c>
      <c r="D75">
        <v>312</v>
      </c>
    </row>
    <row r="76" spans="1:4" x14ac:dyDescent="0.3">
      <c r="A76" s="6">
        <v>75</v>
      </c>
      <c r="B76" t="s">
        <v>38</v>
      </c>
      <c r="C76" s="6" t="s">
        <v>39</v>
      </c>
      <c r="D76">
        <v>337</v>
      </c>
    </row>
    <row r="77" spans="1:4" x14ac:dyDescent="0.3">
      <c r="A77" s="6">
        <v>76</v>
      </c>
      <c r="B77" t="s">
        <v>44</v>
      </c>
      <c r="C77" s="6" t="s">
        <v>42</v>
      </c>
      <c r="D77">
        <v>338</v>
      </c>
    </row>
    <row r="78" spans="1:4" x14ac:dyDescent="0.3">
      <c r="A78" s="6">
        <v>77</v>
      </c>
      <c r="B78" t="s">
        <v>40</v>
      </c>
      <c r="C78" s="6" t="s">
        <v>39</v>
      </c>
      <c r="D78">
        <v>349</v>
      </c>
    </row>
    <row r="79" spans="1:4" x14ac:dyDescent="0.3">
      <c r="A79" s="6">
        <v>78</v>
      </c>
      <c r="B79" t="s">
        <v>38</v>
      </c>
      <c r="C79" s="6" t="s">
        <v>43</v>
      </c>
      <c r="D79">
        <v>76</v>
      </c>
    </row>
    <row r="80" spans="1:4" x14ac:dyDescent="0.3">
      <c r="A80" s="6">
        <v>79</v>
      </c>
      <c r="B80" t="s">
        <v>40</v>
      </c>
      <c r="C80" s="6" t="s">
        <v>42</v>
      </c>
      <c r="D80">
        <v>65</v>
      </c>
    </row>
    <row r="81" spans="1:4" x14ac:dyDescent="0.3">
      <c r="A81" s="6">
        <v>80</v>
      </c>
      <c r="B81" t="s">
        <v>44</v>
      </c>
      <c r="C81" s="6" t="s">
        <v>42</v>
      </c>
      <c r="D81">
        <v>219</v>
      </c>
    </row>
    <row r="82" spans="1:4" x14ac:dyDescent="0.3">
      <c r="A82" s="6">
        <v>81</v>
      </c>
      <c r="B82" t="s">
        <v>38</v>
      </c>
      <c r="C82" s="6" t="s">
        <v>42</v>
      </c>
      <c r="D82">
        <v>172</v>
      </c>
    </row>
    <row r="83" spans="1:4" x14ac:dyDescent="0.3">
      <c r="A83" s="6">
        <v>82</v>
      </c>
      <c r="B83" t="s">
        <v>41</v>
      </c>
      <c r="C83" s="6" t="s">
        <v>42</v>
      </c>
      <c r="D83">
        <v>404</v>
      </c>
    </row>
    <row r="84" spans="1:4" x14ac:dyDescent="0.3">
      <c r="A84" s="6">
        <v>83</v>
      </c>
      <c r="B84" t="s">
        <v>40</v>
      </c>
      <c r="C84" s="6" t="s">
        <v>42</v>
      </c>
      <c r="D84">
        <v>469</v>
      </c>
    </row>
    <row r="85" spans="1:4" x14ac:dyDescent="0.3">
      <c r="A85" s="6">
        <v>84</v>
      </c>
      <c r="B85" t="s">
        <v>38</v>
      </c>
      <c r="C85" s="6" t="s">
        <v>42</v>
      </c>
      <c r="D85">
        <v>237</v>
      </c>
    </row>
    <row r="86" spans="1:4" x14ac:dyDescent="0.3">
      <c r="A86" s="6">
        <v>85</v>
      </c>
      <c r="B86" t="s">
        <v>40</v>
      </c>
      <c r="C86" s="6" t="s">
        <v>42</v>
      </c>
      <c r="D86">
        <v>414</v>
      </c>
    </row>
    <row r="87" spans="1:4" x14ac:dyDescent="0.3">
      <c r="A87" s="6">
        <v>86</v>
      </c>
      <c r="B87" t="s">
        <v>40</v>
      </c>
      <c r="C87" s="6" t="s">
        <v>43</v>
      </c>
      <c r="D87">
        <v>313</v>
      </c>
    </row>
    <row r="88" spans="1:4" x14ac:dyDescent="0.3">
      <c r="A88" s="6">
        <v>87</v>
      </c>
      <c r="B88" t="s">
        <v>41</v>
      </c>
      <c r="C88" s="6" t="s">
        <v>42</v>
      </c>
      <c r="D88">
        <v>77</v>
      </c>
    </row>
    <row r="89" spans="1:4" x14ac:dyDescent="0.3">
      <c r="A89" s="6">
        <v>88</v>
      </c>
      <c r="B89" t="s">
        <v>44</v>
      </c>
      <c r="C89" s="6" t="s">
        <v>39</v>
      </c>
      <c r="D89">
        <v>382</v>
      </c>
    </row>
    <row r="90" spans="1:4" x14ac:dyDescent="0.3">
      <c r="A90" s="6">
        <v>89</v>
      </c>
      <c r="B90" t="s">
        <v>44</v>
      </c>
      <c r="C90" s="6" t="s">
        <v>42</v>
      </c>
      <c r="D90">
        <v>201</v>
      </c>
    </row>
    <row r="91" spans="1:4" x14ac:dyDescent="0.3">
      <c r="A91" s="6">
        <v>90</v>
      </c>
      <c r="B91" t="s">
        <v>40</v>
      </c>
      <c r="C91" s="6" t="s">
        <v>42</v>
      </c>
      <c r="D91">
        <v>451</v>
      </c>
    </row>
    <row r="92" spans="1:4" x14ac:dyDescent="0.3">
      <c r="A92" s="6">
        <v>91</v>
      </c>
      <c r="B92" t="s">
        <v>40</v>
      </c>
      <c r="C92" s="6" t="s">
        <v>43</v>
      </c>
      <c r="D92">
        <v>110</v>
      </c>
    </row>
    <row r="93" spans="1:4" x14ac:dyDescent="0.3">
      <c r="A93" s="6">
        <v>92</v>
      </c>
      <c r="B93" t="s">
        <v>44</v>
      </c>
      <c r="C93" s="6" t="s">
        <v>39</v>
      </c>
      <c r="D93">
        <v>69</v>
      </c>
    </row>
    <row r="94" spans="1:4" x14ac:dyDescent="0.3">
      <c r="A94" s="6">
        <v>93</v>
      </c>
      <c r="B94" t="s">
        <v>41</v>
      </c>
      <c r="C94" s="6" t="s">
        <v>39</v>
      </c>
      <c r="D94">
        <v>475</v>
      </c>
    </row>
    <row r="95" spans="1:4" x14ac:dyDescent="0.3">
      <c r="A95" s="6">
        <v>94</v>
      </c>
      <c r="B95" t="s">
        <v>41</v>
      </c>
      <c r="C95" s="6" t="s">
        <v>42</v>
      </c>
      <c r="D95">
        <v>371</v>
      </c>
    </row>
    <row r="96" spans="1:4" x14ac:dyDescent="0.3">
      <c r="A96" s="6">
        <v>95</v>
      </c>
      <c r="B96" t="s">
        <v>40</v>
      </c>
      <c r="C96" s="6" t="s">
        <v>43</v>
      </c>
      <c r="D96">
        <v>117</v>
      </c>
    </row>
    <row r="97" spans="1:4" x14ac:dyDescent="0.3">
      <c r="A97" s="6">
        <v>96</v>
      </c>
      <c r="B97" t="s">
        <v>38</v>
      </c>
      <c r="C97" s="6" t="s">
        <v>42</v>
      </c>
      <c r="D97">
        <v>411</v>
      </c>
    </row>
    <row r="98" spans="1:4" x14ac:dyDescent="0.3">
      <c r="A98" s="6">
        <v>97</v>
      </c>
      <c r="B98" t="s">
        <v>41</v>
      </c>
      <c r="C98" s="6" t="s">
        <v>42</v>
      </c>
      <c r="D98">
        <v>381</v>
      </c>
    </row>
    <row r="99" spans="1:4" x14ac:dyDescent="0.3">
      <c r="A99" s="6">
        <v>98</v>
      </c>
      <c r="B99" t="s">
        <v>40</v>
      </c>
      <c r="C99" s="6" t="s">
        <v>43</v>
      </c>
      <c r="D99">
        <v>104</v>
      </c>
    </row>
    <row r="100" spans="1:4" x14ac:dyDescent="0.3">
      <c r="A100" s="6">
        <v>99</v>
      </c>
      <c r="B100" t="s">
        <v>38</v>
      </c>
      <c r="C100" s="6" t="s">
        <v>42</v>
      </c>
      <c r="D100">
        <v>180</v>
      </c>
    </row>
    <row r="101" spans="1:4" x14ac:dyDescent="0.3">
      <c r="A101" s="6">
        <v>100</v>
      </c>
      <c r="B101" t="s">
        <v>40</v>
      </c>
      <c r="C101" s="6" t="s">
        <v>42</v>
      </c>
      <c r="D101">
        <v>106</v>
      </c>
    </row>
    <row r="102" spans="1:4" x14ac:dyDescent="0.3">
      <c r="A102" s="6">
        <v>101</v>
      </c>
      <c r="B102" t="s">
        <v>38</v>
      </c>
      <c r="C102" s="6" t="s">
        <v>42</v>
      </c>
      <c r="D102">
        <v>99</v>
      </c>
    </row>
    <row r="103" spans="1:4" x14ac:dyDescent="0.3">
      <c r="A103" s="6">
        <v>102</v>
      </c>
      <c r="B103" t="s">
        <v>40</v>
      </c>
      <c r="C103" s="6" t="s">
        <v>39</v>
      </c>
      <c r="D103">
        <v>373</v>
      </c>
    </row>
    <row r="104" spans="1:4" x14ac:dyDescent="0.3">
      <c r="A104" s="6">
        <v>103</v>
      </c>
      <c r="B104" t="s">
        <v>38</v>
      </c>
      <c r="C104" s="6" t="s">
        <v>43</v>
      </c>
      <c r="D104">
        <v>476</v>
      </c>
    </row>
    <row r="105" spans="1:4" x14ac:dyDescent="0.3">
      <c r="A105" s="6">
        <v>104</v>
      </c>
      <c r="B105" t="s">
        <v>41</v>
      </c>
      <c r="C105" s="6" t="s">
        <v>42</v>
      </c>
      <c r="D105">
        <v>305</v>
      </c>
    </row>
    <row r="106" spans="1:4" x14ac:dyDescent="0.3">
      <c r="A106" s="6">
        <v>105</v>
      </c>
      <c r="B106" t="s">
        <v>40</v>
      </c>
      <c r="C106" s="6" t="s">
        <v>42</v>
      </c>
      <c r="D106">
        <v>438</v>
      </c>
    </row>
    <row r="107" spans="1:4" x14ac:dyDescent="0.3">
      <c r="A107" s="6">
        <v>106</v>
      </c>
      <c r="B107" t="s">
        <v>40</v>
      </c>
      <c r="C107" s="6" t="s">
        <v>39</v>
      </c>
      <c r="D107">
        <v>423</v>
      </c>
    </row>
    <row r="108" spans="1:4" x14ac:dyDescent="0.3">
      <c r="A108" s="6">
        <v>107</v>
      </c>
      <c r="B108" t="s">
        <v>38</v>
      </c>
      <c r="C108" s="6" t="s">
        <v>42</v>
      </c>
      <c r="D108">
        <v>272</v>
      </c>
    </row>
    <row r="109" spans="1:4" x14ac:dyDescent="0.3">
      <c r="A109" s="6">
        <v>108</v>
      </c>
      <c r="B109" t="s">
        <v>44</v>
      </c>
      <c r="C109" s="6" t="s">
        <v>42</v>
      </c>
      <c r="D109">
        <v>377</v>
      </c>
    </row>
    <row r="110" spans="1:4" x14ac:dyDescent="0.3">
      <c r="A110" s="6">
        <v>109</v>
      </c>
      <c r="B110" t="s">
        <v>40</v>
      </c>
      <c r="C110" s="6" t="s">
        <v>39</v>
      </c>
      <c r="D110">
        <v>385</v>
      </c>
    </row>
    <row r="111" spans="1:4" x14ac:dyDescent="0.3">
      <c r="A111" s="6">
        <v>110</v>
      </c>
      <c r="B111" t="s">
        <v>38</v>
      </c>
      <c r="C111" s="6" t="s">
        <v>39</v>
      </c>
      <c r="D111">
        <v>311</v>
      </c>
    </row>
    <row r="112" spans="1:4" x14ac:dyDescent="0.3">
      <c r="A112" s="6">
        <v>111</v>
      </c>
      <c r="B112" t="s">
        <v>40</v>
      </c>
      <c r="C112" s="6" t="s">
        <v>42</v>
      </c>
      <c r="D112">
        <v>349</v>
      </c>
    </row>
    <row r="113" spans="1:4" x14ac:dyDescent="0.3">
      <c r="A113" s="6">
        <v>112</v>
      </c>
      <c r="B113" t="s">
        <v>41</v>
      </c>
      <c r="C113" s="6" t="s">
        <v>43</v>
      </c>
      <c r="D113">
        <v>203</v>
      </c>
    </row>
    <row r="114" spans="1:4" x14ac:dyDescent="0.3">
      <c r="A114" s="6">
        <v>113</v>
      </c>
      <c r="B114" t="s">
        <v>38</v>
      </c>
      <c r="C114" s="6" t="s">
        <v>42</v>
      </c>
      <c r="D114">
        <v>433</v>
      </c>
    </row>
    <row r="115" spans="1:4" x14ac:dyDescent="0.3">
      <c r="A115" s="6">
        <v>114</v>
      </c>
      <c r="B115" t="s">
        <v>38</v>
      </c>
      <c r="C115" s="6" t="s">
        <v>42</v>
      </c>
      <c r="D115">
        <v>108</v>
      </c>
    </row>
    <row r="116" spans="1:4" x14ac:dyDescent="0.3">
      <c r="A116" s="6">
        <v>115</v>
      </c>
      <c r="B116" t="s">
        <v>44</v>
      </c>
      <c r="C116" s="6" t="s">
        <v>39</v>
      </c>
      <c r="D116">
        <v>426</v>
      </c>
    </row>
    <row r="117" spans="1:4" x14ac:dyDescent="0.3">
      <c r="A117" s="6">
        <v>116</v>
      </c>
      <c r="B117" t="s">
        <v>40</v>
      </c>
      <c r="C117" s="6" t="s">
        <v>42</v>
      </c>
      <c r="D117">
        <v>328</v>
      </c>
    </row>
    <row r="118" spans="1:4" x14ac:dyDescent="0.3">
      <c r="A118" s="6">
        <v>117</v>
      </c>
      <c r="B118" t="s">
        <v>38</v>
      </c>
      <c r="C118" s="6" t="s">
        <v>42</v>
      </c>
      <c r="D118">
        <v>86</v>
      </c>
    </row>
    <row r="119" spans="1:4" x14ac:dyDescent="0.3">
      <c r="A119" s="6">
        <v>118</v>
      </c>
      <c r="B119" t="s">
        <v>40</v>
      </c>
      <c r="C119" s="6" t="s">
        <v>43</v>
      </c>
      <c r="D119">
        <v>246</v>
      </c>
    </row>
    <row r="120" spans="1:4" x14ac:dyDescent="0.3">
      <c r="A120" s="6">
        <v>119</v>
      </c>
      <c r="B120" t="s">
        <v>38</v>
      </c>
      <c r="C120" s="6" t="s">
        <v>42</v>
      </c>
      <c r="D120">
        <v>157</v>
      </c>
    </row>
    <row r="121" spans="1:4" x14ac:dyDescent="0.3">
      <c r="A121" s="6">
        <v>120</v>
      </c>
      <c r="B121" t="s">
        <v>38</v>
      </c>
      <c r="C121" s="6" t="s">
        <v>42</v>
      </c>
      <c r="D121">
        <v>166</v>
      </c>
    </row>
    <row r="122" spans="1:4" x14ac:dyDescent="0.3">
      <c r="A122" s="6">
        <v>121</v>
      </c>
      <c r="B122" t="s">
        <v>38</v>
      </c>
      <c r="C122" s="6" t="s">
        <v>43</v>
      </c>
      <c r="D122">
        <v>293</v>
      </c>
    </row>
    <row r="123" spans="1:4" x14ac:dyDescent="0.3">
      <c r="A123" s="6">
        <v>122</v>
      </c>
      <c r="B123" t="s">
        <v>40</v>
      </c>
      <c r="C123" s="6" t="s">
        <v>42</v>
      </c>
      <c r="D123">
        <v>130</v>
      </c>
    </row>
    <row r="124" spans="1:4" x14ac:dyDescent="0.3">
      <c r="A124" s="6">
        <v>123</v>
      </c>
      <c r="B124" t="s">
        <v>40</v>
      </c>
      <c r="C124" s="6" t="s">
        <v>39</v>
      </c>
      <c r="D124">
        <v>347</v>
      </c>
    </row>
    <row r="125" spans="1:4" x14ac:dyDescent="0.3">
      <c r="A125" s="6">
        <v>124</v>
      </c>
      <c r="B125" t="s">
        <v>38</v>
      </c>
      <c r="C125" s="6" t="s">
        <v>43</v>
      </c>
      <c r="D125">
        <v>257</v>
      </c>
    </row>
    <row r="126" spans="1:4" x14ac:dyDescent="0.3">
      <c r="A126" s="6">
        <v>125</v>
      </c>
      <c r="B126" t="s">
        <v>40</v>
      </c>
      <c r="C126" s="6" t="s">
        <v>39</v>
      </c>
      <c r="D126">
        <v>345</v>
      </c>
    </row>
    <row r="127" spans="1:4" x14ac:dyDescent="0.3">
      <c r="A127" s="6">
        <v>126</v>
      </c>
      <c r="B127" t="s">
        <v>38</v>
      </c>
      <c r="C127" s="6" t="s">
        <v>42</v>
      </c>
      <c r="D127">
        <v>237</v>
      </c>
    </row>
    <row r="128" spans="1:4" x14ac:dyDescent="0.3">
      <c r="A128" s="6">
        <v>127</v>
      </c>
      <c r="B128" t="s">
        <v>44</v>
      </c>
      <c r="C128" s="6" t="s">
        <v>42</v>
      </c>
      <c r="D128">
        <v>244</v>
      </c>
    </row>
    <row r="129" spans="1:4" x14ac:dyDescent="0.3">
      <c r="A129" s="6">
        <v>128</v>
      </c>
      <c r="B129" t="s">
        <v>44</v>
      </c>
      <c r="C129" s="6" t="s">
        <v>42</v>
      </c>
      <c r="D129">
        <v>179</v>
      </c>
    </row>
    <row r="130" spans="1:4" x14ac:dyDescent="0.3">
      <c r="A130" s="6">
        <v>129</v>
      </c>
      <c r="B130" t="s">
        <v>44</v>
      </c>
      <c r="C130" s="6" t="s">
        <v>43</v>
      </c>
      <c r="D130">
        <v>106</v>
      </c>
    </row>
    <row r="131" spans="1:4" x14ac:dyDescent="0.3">
      <c r="A131" s="6">
        <v>130</v>
      </c>
      <c r="B131" t="s">
        <v>41</v>
      </c>
      <c r="C131" s="6" t="s">
        <v>42</v>
      </c>
      <c r="D131">
        <v>290</v>
      </c>
    </row>
    <row r="132" spans="1:4" x14ac:dyDescent="0.3">
      <c r="A132" s="6">
        <v>131</v>
      </c>
      <c r="B132" t="s">
        <v>40</v>
      </c>
      <c r="C132" s="6" t="s">
        <v>42</v>
      </c>
      <c r="D132">
        <v>75</v>
      </c>
    </row>
    <row r="133" spans="1:4" x14ac:dyDescent="0.3">
      <c r="A133" s="6">
        <v>132</v>
      </c>
      <c r="B133" t="s">
        <v>41</v>
      </c>
      <c r="C133" s="6" t="s">
        <v>42</v>
      </c>
      <c r="D133">
        <v>268</v>
      </c>
    </row>
    <row r="134" spans="1:4" x14ac:dyDescent="0.3">
      <c r="A134" s="6">
        <v>133</v>
      </c>
      <c r="B134" t="s">
        <v>40</v>
      </c>
      <c r="C134" s="6" t="s">
        <v>39</v>
      </c>
      <c r="D134">
        <v>348</v>
      </c>
    </row>
    <row r="135" spans="1:4" x14ac:dyDescent="0.3">
      <c r="A135" s="6">
        <v>134</v>
      </c>
      <c r="B135" t="s">
        <v>44</v>
      </c>
      <c r="C135" s="6" t="s">
        <v>43</v>
      </c>
      <c r="D135">
        <v>389</v>
      </c>
    </row>
    <row r="136" spans="1:4" x14ac:dyDescent="0.3">
      <c r="A136" s="6">
        <v>135</v>
      </c>
      <c r="B136" t="s">
        <v>40</v>
      </c>
      <c r="C136" s="6" t="s">
        <v>43</v>
      </c>
      <c r="D136">
        <v>157</v>
      </c>
    </row>
    <row r="137" spans="1:4" x14ac:dyDescent="0.3">
      <c r="A137" s="6">
        <v>136</v>
      </c>
      <c r="B137" t="s">
        <v>40</v>
      </c>
      <c r="C137" s="6" t="s">
        <v>39</v>
      </c>
      <c r="D137">
        <v>79</v>
      </c>
    </row>
    <row r="138" spans="1:4" x14ac:dyDescent="0.3">
      <c r="A138" s="6">
        <v>137</v>
      </c>
      <c r="B138" t="s">
        <v>40</v>
      </c>
      <c r="C138" s="6" t="s">
        <v>42</v>
      </c>
      <c r="D138">
        <v>125</v>
      </c>
    </row>
    <row r="139" spans="1:4" x14ac:dyDescent="0.3">
      <c r="A139" s="6">
        <v>138</v>
      </c>
      <c r="B139" t="s">
        <v>40</v>
      </c>
      <c r="C139" s="6" t="s">
        <v>43</v>
      </c>
      <c r="D139">
        <v>236</v>
      </c>
    </row>
    <row r="140" spans="1:4" x14ac:dyDescent="0.3">
      <c r="A140" s="6">
        <v>139</v>
      </c>
      <c r="B140" t="s">
        <v>44</v>
      </c>
      <c r="C140" s="6" t="s">
        <v>43</v>
      </c>
      <c r="D140">
        <v>135</v>
      </c>
    </row>
    <row r="141" spans="1:4" x14ac:dyDescent="0.3">
      <c r="A141" s="6">
        <v>140</v>
      </c>
      <c r="B141" t="s">
        <v>41</v>
      </c>
      <c r="C141" s="6" t="s">
        <v>42</v>
      </c>
      <c r="D141">
        <v>103</v>
      </c>
    </row>
    <row r="142" spans="1:4" x14ac:dyDescent="0.3">
      <c r="A142" s="6">
        <v>141</v>
      </c>
      <c r="B142" t="s">
        <v>44</v>
      </c>
      <c r="C142" s="6" t="s">
        <v>42</v>
      </c>
      <c r="D142">
        <v>329</v>
      </c>
    </row>
    <row r="143" spans="1:4" x14ac:dyDescent="0.3">
      <c r="A143" s="6">
        <v>142</v>
      </c>
      <c r="B143" t="s">
        <v>38</v>
      </c>
      <c r="C143" s="6" t="s">
        <v>42</v>
      </c>
      <c r="D143">
        <v>395</v>
      </c>
    </row>
    <row r="144" spans="1:4" x14ac:dyDescent="0.3">
      <c r="A144" s="6">
        <v>143</v>
      </c>
      <c r="B144" t="s">
        <v>40</v>
      </c>
      <c r="C144" s="6" t="s">
        <v>42</v>
      </c>
      <c r="D144">
        <v>78</v>
      </c>
    </row>
    <row r="145" spans="1:4" x14ac:dyDescent="0.3">
      <c r="A145" s="6">
        <v>144</v>
      </c>
      <c r="B145" t="s">
        <v>44</v>
      </c>
      <c r="C145" s="6" t="s">
        <v>43</v>
      </c>
      <c r="D145">
        <v>110</v>
      </c>
    </row>
    <row r="146" spans="1:4" x14ac:dyDescent="0.3">
      <c r="A146" s="6">
        <v>145</v>
      </c>
      <c r="B146" t="s">
        <v>44</v>
      </c>
      <c r="C146" s="6" t="s">
        <v>43</v>
      </c>
      <c r="D146">
        <v>407</v>
      </c>
    </row>
    <row r="147" spans="1:4" x14ac:dyDescent="0.3">
      <c r="A147" s="6">
        <v>146</v>
      </c>
      <c r="B147" t="s">
        <v>38</v>
      </c>
      <c r="C147" s="6" t="s">
        <v>42</v>
      </c>
      <c r="D147">
        <v>199</v>
      </c>
    </row>
    <row r="148" spans="1:4" x14ac:dyDescent="0.3">
      <c r="A148" s="6">
        <v>147</v>
      </c>
      <c r="B148" t="s">
        <v>44</v>
      </c>
      <c r="C148" s="6" t="s">
        <v>42</v>
      </c>
      <c r="D148">
        <v>258</v>
      </c>
    </row>
    <row r="149" spans="1:4" x14ac:dyDescent="0.3">
      <c r="A149" s="6">
        <v>148</v>
      </c>
      <c r="B149" t="s">
        <v>38</v>
      </c>
      <c r="C149" s="6" t="s">
        <v>42</v>
      </c>
      <c r="D149">
        <v>356</v>
      </c>
    </row>
    <row r="150" spans="1:4" x14ac:dyDescent="0.3">
      <c r="A150" s="6">
        <v>149</v>
      </c>
      <c r="B150" t="s">
        <v>44</v>
      </c>
      <c r="C150" s="6" t="s">
        <v>42</v>
      </c>
      <c r="D150">
        <v>263</v>
      </c>
    </row>
    <row r="151" spans="1:4" x14ac:dyDescent="0.3">
      <c r="A151" s="6">
        <v>150</v>
      </c>
      <c r="B151" t="s">
        <v>41</v>
      </c>
      <c r="C151" s="6" t="s">
        <v>43</v>
      </c>
      <c r="D151">
        <v>219</v>
      </c>
    </row>
  </sheetData>
  <autoFilter ref="A1:D151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4819-2745-43A1-8EA0-23E1C2F1C46C}">
  <dimension ref="A1:M38"/>
  <sheetViews>
    <sheetView workbookViewId="0">
      <selection activeCell="I3" sqref="I3"/>
    </sheetView>
  </sheetViews>
  <sheetFormatPr defaultRowHeight="14.4" x14ac:dyDescent="0.3"/>
  <cols>
    <col min="1" max="1" width="12.5546875" bestFit="1" customWidth="1"/>
    <col min="2" max="2" width="8.44140625" bestFit="1" customWidth="1"/>
    <col min="3" max="3" width="11.6640625" bestFit="1" customWidth="1"/>
    <col min="9" max="11" width="20.6640625" customWidth="1"/>
    <col min="13" max="13" width="17.21875" customWidth="1"/>
  </cols>
  <sheetData>
    <row r="1" spans="1:13" x14ac:dyDescent="0.3">
      <c r="A1" s="30" t="s">
        <v>145</v>
      </c>
      <c r="B1" s="31" t="s">
        <v>146</v>
      </c>
      <c r="C1" s="31" t="s">
        <v>147</v>
      </c>
      <c r="D1" s="31" t="s">
        <v>148</v>
      </c>
      <c r="E1" s="31" t="s">
        <v>2</v>
      </c>
      <c r="F1" s="32" t="s">
        <v>149</v>
      </c>
    </row>
    <row r="2" spans="1:13" x14ac:dyDescent="0.3">
      <c r="A2" s="33" t="s">
        <v>150</v>
      </c>
      <c r="B2" t="s">
        <v>151</v>
      </c>
      <c r="C2" t="s">
        <v>152</v>
      </c>
      <c r="D2" t="s">
        <v>153</v>
      </c>
      <c r="E2">
        <v>70</v>
      </c>
      <c r="F2" s="34">
        <v>55</v>
      </c>
    </row>
    <row r="3" spans="1:13" x14ac:dyDescent="0.3">
      <c r="A3" s="53" t="s">
        <v>154</v>
      </c>
      <c r="B3" t="s">
        <v>151</v>
      </c>
      <c r="C3" t="s">
        <v>155</v>
      </c>
      <c r="D3" t="s">
        <v>156</v>
      </c>
      <c r="E3">
        <v>65</v>
      </c>
      <c r="F3" s="34">
        <v>36</v>
      </c>
      <c r="I3" t="str" cm="1">
        <f t="array" ref="I3:K21">_xlfn.GROUPBY(A1:B16,E1:E16,_xleta.MAX,3,2)</f>
        <v>City</v>
      </c>
      <c r="J3" t="str">
        <v>Singer</v>
      </c>
      <c r="K3" t="str">
        <v>Sales</v>
      </c>
      <c r="M3" t="s">
        <v>196</v>
      </c>
    </row>
    <row r="4" spans="1:13" x14ac:dyDescent="0.3">
      <c r="A4" s="35" t="s">
        <v>157</v>
      </c>
      <c r="B4" t="s">
        <v>158</v>
      </c>
      <c r="C4" t="s">
        <v>159</v>
      </c>
      <c r="D4" t="s">
        <v>153</v>
      </c>
      <c r="E4">
        <v>70</v>
      </c>
      <c r="F4" s="34">
        <v>85</v>
      </c>
      <c r="I4" t="str">
        <v>Cannes</v>
      </c>
      <c r="J4" t="str">
        <v>Dua Lipa</v>
      </c>
      <c r="K4">
        <v>35</v>
      </c>
      <c r="M4">
        <f>SUMIFS(E2:E16,A2:A16,"London",B2:B16,"Adele")</f>
        <v>85</v>
      </c>
    </row>
    <row r="5" spans="1:13" x14ac:dyDescent="0.3">
      <c r="A5" s="35" t="s">
        <v>160</v>
      </c>
      <c r="B5" t="s">
        <v>161</v>
      </c>
      <c r="C5" t="s">
        <v>162</v>
      </c>
      <c r="D5" t="s">
        <v>153</v>
      </c>
      <c r="E5">
        <v>35</v>
      </c>
      <c r="F5" s="34">
        <v>30</v>
      </c>
      <c r="I5" t="str">
        <v>Cannes</v>
      </c>
      <c r="J5" t="str">
        <v/>
      </c>
      <c r="K5">
        <v>35</v>
      </c>
    </row>
    <row r="6" spans="1:13" x14ac:dyDescent="0.3">
      <c r="A6" s="35" t="s">
        <v>150</v>
      </c>
      <c r="B6" t="s">
        <v>163</v>
      </c>
      <c r="C6" t="s">
        <v>164</v>
      </c>
      <c r="D6" t="s">
        <v>153</v>
      </c>
      <c r="E6">
        <v>40</v>
      </c>
      <c r="F6" s="34">
        <v>48</v>
      </c>
      <c r="I6" s="43" t="str">
        <v>London</v>
      </c>
      <c r="J6" s="43" t="str">
        <v>Adele</v>
      </c>
      <c r="K6" s="43">
        <v>45</v>
      </c>
    </row>
    <row r="7" spans="1:13" x14ac:dyDescent="0.3">
      <c r="A7" s="53" t="s">
        <v>154</v>
      </c>
      <c r="B7" s="46" t="s">
        <v>158</v>
      </c>
      <c r="C7" t="s">
        <v>165</v>
      </c>
      <c r="D7" t="s">
        <v>156</v>
      </c>
      <c r="E7">
        <v>40</v>
      </c>
      <c r="F7" s="34">
        <v>23</v>
      </c>
      <c r="I7" t="str">
        <v>London</v>
      </c>
      <c r="J7" t="str">
        <v>Bieber</v>
      </c>
      <c r="K7">
        <v>20</v>
      </c>
    </row>
    <row r="8" spans="1:13" x14ac:dyDescent="0.3">
      <c r="A8" s="35" t="s">
        <v>150</v>
      </c>
      <c r="B8" t="s">
        <v>151</v>
      </c>
      <c r="C8" t="s">
        <v>166</v>
      </c>
      <c r="D8" t="s">
        <v>153</v>
      </c>
      <c r="E8">
        <v>70</v>
      </c>
      <c r="F8" s="34">
        <v>38</v>
      </c>
      <c r="I8" t="str">
        <v>London</v>
      </c>
      <c r="J8" t="str">
        <v>Tay tay</v>
      </c>
      <c r="K8">
        <v>65</v>
      </c>
    </row>
    <row r="9" spans="1:13" x14ac:dyDescent="0.3">
      <c r="A9" s="35" t="s">
        <v>157</v>
      </c>
      <c r="B9" t="s">
        <v>161</v>
      </c>
      <c r="C9" t="s">
        <v>167</v>
      </c>
      <c r="D9" t="s">
        <v>153</v>
      </c>
      <c r="E9">
        <v>40</v>
      </c>
      <c r="F9" s="34">
        <v>74</v>
      </c>
      <c r="I9" t="str">
        <v>London</v>
      </c>
      <c r="J9" t="str">
        <v/>
      </c>
      <c r="K9">
        <v>65</v>
      </c>
    </row>
    <row r="10" spans="1:13" x14ac:dyDescent="0.3">
      <c r="A10" s="35" t="s">
        <v>157</v>
      </c>
      <c r="B10" t="s">
        <v>161</v>
      </c>
      <c r="C10" t="s">
        <v>168</v>
      </c>
      <c r="D10" t="s">
        <v>153</v>
      </c>
      <c r="E10">
        <v>45</v>
      </c>
      <c r="F10" s="34">
        <v>47</v>
      </c>
      <c r="I10" t="str">
        <v>Lyon</v>
      </c>
      <c r="J10" t="str">
        <v>Dua Lipa</v>
      </c>
      <c r="K10">
        <v>45</v>
      </c>
    </row>
    <row r="11" spans="1:13" x14ac:dyDescent="0.3">
      <c r="A11" s="35" t="s">
        <v>169</v>
      </c>
      <c r="B11" t="s">
        <v>151</v>
      </c>
      <c r="C11" t="s">
        <v>170</v>
      </c>
      <c r="D11" t="s">
        <v>153</v>
      </c>
      <c r="E11">
        <v>30</v>
      </c>
      <c r="F11" s="34">
        <v>73</v>
      </c>
      <c r="I11" t="str">
        <v>Lyon</v>
      </c>
      <c r="J11" t="str">
        <v>Tay tay</v>
      </c>
      <c r="K11">
        <v>30</v>
      </c>
    </row>
    <row r="12" spans="1:13" x14ac:dyDescent="0.3">
      <c r="A12" s="35" t="s">
        <v>157</v>
      </c>
      <c r="B12" t="s">
        <v>151</v>
      </c>
      <c r="C12" t="s">
        <v>171</v>
      </c>
      <c r="D12" t="s">
        <v>153</v>
      </c>
      <c r="E12">
        <v>80</v>
      </c>
      <c r="F12" s="34">
        <v>8</v>
      </c>
      <c r="I12" t="str">
        <v>Lyon</v>
      </c>
      <c r="J12" t="str">
        <v/>
      </c>
      <c r="K12">
        <v>45</v>
      </c>
    </row>
    <row r="13" spans="1:13" x14ac:dyDescent="0.3">
      <c r="A13" s="53" t="s">
        <v>154</v>
      </c>
      <c r="B13" t="s">
        <v>163</v>
      </c>
      <c r="C13" t="s">
        <v>172</v>
      </c>
      <c r="D13" t="s">
        <v>156</v>
      </c>
      <c r="E13">
        <v>20</v>
      </c>
      <c r="F13" s="34">
        <v>60</v>
      </c>
      <c r="I13" t="str">
        <v>Nice</v>
      </c>
      <c r="J13" t="str">
        <v>Adele</v>
      </c>
      <c r="K13">
        <v>70</v>
      </c>
    </row>
    <row r="14" spans="1:13" x14ac:dyDescent="0.3">
      <c r="A14" s="53" t="s">
        <v>154</v>
      </c>
      <c r="B14" s="46" t="s">
        <v>158</v>
      </c>
      <c r="C14" t="s">
        <v>173</v>
      </c>
      <c r="D14" t="s">
        <v>156</v>
      </c>
      <c r="E14">
        <v>45</v>
      </c>
      <c r="F14" s="34">
        <v>70</v>
      </c>
      <c r="I14" t="str">
        <v>Nice</v>
      </c>
      <c r="J14" t="str">
        <v>Dua Lipa</v>
      </c>
      <c r="K14">
        <v>45</v>
      </c>
    </row>
    <row r="15" spans="1:13" x14ac:dyDescent="0.3">
      <c r="A15" s="35" t="s">
        <v>150</v>
      </c>
      <c r="B15" t="s">
        <v>158</v>
      </c>
      <c r="C15" t="s">
        <v>174</v>
      </c>
      <c r="D15" t="s">
        <v>153</v>
      </c>
      <c r="E15">
        <v>75</v>
      </c>
      <c r="F15" s="34">
        <v>71</v>
      </c>
      <c r="I15" t="str">
        <v>Nice</v>
      </c>
      <c r="J15" t="str">
        <v>Tay tay</v>
      </c>
      <c r="K15">
        <v>80</v>
      </c>
    </row>
    <row r="16" spans="1:13" x14ac:dyDescent="0.3">
      <c r="A16" s="36" t="s">
        <v>169</v>
      </c>
      <c r="B16" s="37" t="s">
        <v>161</v>
      </c>
      <c r="C16" s="37" t="s">
        <v>175</v>
      </c>
      <c r="D16" s="37" t="s">
        <v>153</v>
      </c>
      <c r="E16" s="37">
        <v>45</v>
      </c>
      <c r="F16" s="38">
        <v>77</v>
      </c>
      <c r="I16" t="str">
        <v>Nice</v>
      </c>
      <c r="J16" t="str">
        <v/>
      </c>
      <c r="K16">
        <v>80</v>
      </c>
    </row>
    <row r="17" spans="1:11" x14ac:dyDescent="0.3">
      <c r="I17" t="str">
        <v>Paris</v>
      </c>
      <c r="J17" t="str">
        <v>Adele</v>
      </c>
      <c r="K17">
        <v>75</v>
      </c>
    </row>
    <row r="18" spans="1:11" x14ac:dyDescent="0.3">
      <c r="I18" t="str">
        <v>Paris</v>
      </c>
      <c r="J18" t="str">
        <v>Bieber</v>
      </c>
      <c r="K18">
        <v>40</v>
      </c>
    </row>
    <row r="19" spans="1:11" x14ac:dyDescent="0.3">
      <c r="I19" t="str">
        <v>Paris</v>
      </c>
      <c r="J19" t="str">
        <v>Tay tay</v>
      </c>
      <c r="K19">
        <v>70</v>
      </c>
    </row>
    <row r="20" spans="1:11" x14ac:dyDescent="0.3">
      <c r="A20" s="41" t="s">
        <v>145</v>
      </c>
      <c r="B20" s="41" t="s">
        <v>146</v>
      </c>
      <c r="C20" t="s">
        <v>190</v>
      </c>
      <c r="I20" t="str">
        <v>Paris</v>
      </c>
      <c r="J20" t="str">
        <v/>
      </c>
      <c r="K20">
        <v>75</v>
      </c>
    </row>
    <row r="21" spans="1:11" x14ac:dyDescent="0.3">
      <c r="A21" t="s">
        <v>160</v>
      </c>
      <c r="B21" t="s">
        <v>161</v>
      </c>
      <c r="C21">
        <v>35</v>
      </c>
      <c r="I21" t="str">
        <v>Grand Total</v>
      </c>
      <c r="J21" t="str">
        <v/>
      </c>
      <c r="K21">
        <v>80</v>
      </c>
    </row>
    <row r="22" spans="1:11" x14ac:dyDescent="0.3">
      <c r="A22" t="s">
        <v>191</v>
      </c>
      <c r="C22">
        <v>35</v>
      </c>
    </row>
    <row r="23" spans="1:11" x14ac:dyDescent="0.3">
      <c r="A23" t="s">
        <v>154</v>
      </c>
      <c r="B23" t="s">
        <v>158</v>
      </c>
      <c r="C23">
        <v>45</v>
      </c>
    </row>
    <row r="24" spans="1:11" x14ac:dyDescent="0.3">
      <c r="B24" t="s">
        <v>163</v>
      </c>
      <c r="C24">
        <v>60</v>
      </c>
    </row>
    <row r="25" spans="1:11" x14ac:dyDescent="0.3">
      <c r="B25" t="s">
        <v>151</v>
      </c>
      <c r="C25">
        <v>65</v>
      </c>
    </row>
    <row r="26" spans="1:11" x14ac:dyDescent="0.3">
      <c r="A26" t="s">
        <v>192</v>
      </c>
      <c r="C26">
        <v>170</v>
      </c>
    </row>
    <row r="27" spans="1:11" x14ac:dyDescent="0.3">
      <c r="A27" t="s">
        <v>169</v>
      </c>
      <c r="B27" t="s">
        <v>161</v>
      </c>
      <c r="C27">
        <v>45</v>
      </c>
    </row>
    <row r="28" spans="1:11" x14ac:dyDescent="0.3">
      <c r="B28" t="s">
        <v>151</v>
      </c>
      <c r="C28">
        <v>30</v>
      </c>
    </row>
    <row r="29" spans="1:11" x14ac:dyDescent="0.3">
      <c r="A29" t="s">
        <v>193</v>
      </c>
      <c r="C29">
        <v>75</v>
      </c>
    </row>
    <row r="30" spans="1:11" x14ac:dyDescent="0.3">
      <c r="A30" t="s">
        <v>157</v>
      </c>
      <c r="B30" t="s">
        <v>158</v>
      </c>
      <c r="C30">
        <v>70</v>
      </c>
    </row>
    <row r="31" spans="1:11" x14ac:dyDescent="0.3">
      <c r="B31" t="s">
        <v>161</v>
      </c>
      <c r="C31">
        <v>85</v>
      </c>
    </row>
    <row r="32" spans="1:11" x14ac:dyDescent="0.3">
      <c r="B32" t="s">
        <v>151</v>
      </c>
      <c r="C32">
        <v>80</v>
      </c>
    </row>
    <row r="33" spans="1:3" x14ac:dyDescent="0.3">
      <c r="A33" t="s">
        <v>194</v>
      </c>
      <c r="C33">
        <v>235</v>
      </c>
    </row>
    <row r="34" spans="1:3" x14ac:dyDescent="0.3">
      <c r="A34" t="s">
        <v>150</v>
      </c>
      <c r="B34" t="s">
        <v>158</v>
      </c>
      <c r="C34">
        <v>75</v>
      </c>
    </row>
    <row r="35" spans="1:3" x14ac:dyDescent="0.3">
      <c r="B35" t="s">
        <v>163</v>
      </c>
      <c r="C35">
        <v>40</v>
      </c>
    </row>
    <row r="36" spans="1:3" x14ac:dyDescent="0.3">
      <c r="B36" t="s">
        <v>151</v>
      </c>
      <c r="C36">
        <v>140</v>
      </c>
    </row>
    <row r="37" spans="1:3" x14ac:dyDescent="0.3">
      <c r="A37" t="s">
        <v>195</v>
      </c>
      <c r="C37">
        <v>255</v>
      </c>
    </row>
    <row r="38" spans="1:3" x14ac:dyDescent="0.3">
      <c r="A38" t="s">
        <v>188</v>
      </c>
      <c r="C38">
        <v>770</v>
      </c>
    </row>
  </sheetData>
  <conditionalFormatting sqref="C2:C16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>
      <selection activeCell="L11" sqref="L11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>
        <v>9583</v>
      </c>
      <c r="C2">
        <v>1556.29</v>
      </c>
    </row>
    <row r="3" spans="1:3" x14ac:dyDescent="0.3">
      <c r="A3" t="s">
        <v>4</v>
      </c>
      <c r="B3">
        <v>46224</v>
      </c>
      <c r="C3">
        <v>6447.92</v>
      </c>
    </row>
    <row r="4" spans="1:3" x14ac:dyDescent="0.3">
      <c r="A4" t="s">
        <v>5</v>
      </c>
      <c r="B4">
        <v>41804</v>
      </c>
      <c r="C4">
        <v>4595.05</v>
      </c>
    </row>
    <row r="5" spans="1:3" x14ac:dyDescent="0.3">
      <c r="A5" t="s">
        <v>6</v>
      </c>
      <c r="B5">
        <v>23683</v>
      </c>
      <c r="C5">
        <v>4297.96</v>
      </c>
    </row>
    <row r="6" spans="1:3" x14ac:dyDescent="0.3">
      <c r="A6" t="s">
        <v>7</v>
      </c>
      <c r="B6">
        <v>38739</v>
      </c>
      <c r="C6">
        <v>8809.34</v>
      </c>
    </row>
    <row r="7" spans="1:3" x14ac:dyDescent="0.3">
      <c r="A7" t="s">
        <v>8</v>
      </c>
      <c r="B7">
        <v>25730</v>
      </c>
      <c r="C7">
        <v>5405.34</v>
      </c>
    </row>
    <row r="8" spans="1:3" x14ac:dyDescent="0.3">
      <c r="A8" t="s">
        <v>9</v>
      </c>
      <c r="B8">
        <v>30072</v>
      </c>
      <c r="C8">
        <v>3812.01</v>
      </c>
    </row>
    <row r="9" spans="1:3" x14ac:dyDescent="0.3">
      <c r="A9" t="s">
        <v>8</v>
      </c>
      <c r="B9">
        <v>21425</v>
      </c>
      <c r="C9">
        <v>5174.5200000000004</v>
      </c>
    </row>
    <row r="10" spans="1:3" x14ac:dyDescent="0.3">
      <c r="A10" t="s">
        <v>10</v>
      </c>
      <c r="B10">
        <v>48809</v>
      </c>
      <c r="C10">
        <v>18612.759999999998</v>
      </c>
    </row>
    <row r="11" spans="1:3" x14ac:dyDescent="0.3">
      <c r="A11" t="s">
        <v>8</v>
      </c>
      <c r="B11">
        <v>25507</v>
      </c>
      <c r="C11">
        <v>8925.7800000000007</v>
      </c>
    </row>
    <row r="12" spans="1:3" x14ac:dyDescent="0.3">
      <c r="A12" t="s">
        <v>11</v>
      </c>
      <c r="B12">
        <v>10693</v>
      </c>
      <c r="C12">
        <v>1347.78</v>
      </c>
    </row>
    <row r="13" spans="1:3" x14ac:dyDescent="0.3">
      <c r="A13" t="s">
        <v>5</v>
      </c>
      <c r="B13">
        <v>46898</v>
      </c>
      <c r="C13">
        <v>7333.56</v>
      </c>
    </row>
    <row r="14" spans="1:3" x14ac:dyDescent="0.3">
      <c r="A14" t="s">
        <v>5</v>
      </c>
      <c r="B14">
        <v>28809</v>
      </c>
      <c r="C14">
        <v>10754.91</v>
      </c>
    </row>
    <row r="15" spans="1:3" x14ac:dyDescent="0.3">
      <c r="A15" t="s">
        <v>9</v>
      </c>
      <c r="B15">
        <v>22203</v>
      </c>
      <c r="C15">
        <v>8065.9</v>
      </c>
    </row>
    <row r="16" spans="1:3" x14ac:dyDescent="0.3">
      <c r="A16" t="s">
        <v>9</v>
      </c>
      <c r="B16">
        <v>22895</v>
      </c>
      <c r="C16">
        <v>8067.6</v>
      </c>
    </row>
    <row r="17" spans="1:3" x14ac:dyDescent="0.3">
      <c r="A17" t="s">
        <v>8</v>
      </c>
      <c r="B17">
        <v>45609</v>
      </c>
      <c r="C17">
        <v>12568.96</v>
      </c>
    </row>
    <row r="18" spans="1:3" x14ac:dyDescent="0.3">
      <c r="A18" t="s">
        <v>12</v>
      </c>
      <c r="B18">
        <v>14871</v>
      </c>
      <c r="C18">
        <v>4659.45</v>
      </c>
    </row>
    <row r="19" spans="1:3" x14ac:dyDescent="0.3">
      <c r="A19" t="s">
        <v>5</v>
      </c>
      <c r="B19">
        <v>29107</v>
      </c>
      <c r="C19">
        <v>6354.67</v>
      </c>
    </row>
    <row r="20" spans="1:3" x14ac:dyDescent="0.3">
      <c r="A20" t="s">
        <v>4</v>
      </c>
      <c r="B20">
        <v>31619</v>
      </c>
      <c r="C20">
        <v>10984.87</v>
      </c>
    </row>
    <row r="21" spans="1:3" x14ac:dyDescent="0.3">
      <c r="A21" t="s">
        <v>9</v>
      </c>
      <c r="B21">
        <v>23635</v>
      </c>
      <c r="C21">
        <v>5389.85</v>
      </c>
    </row>
    <row r="22" spans="1:3" x14ac:dyDescent="0.3">
      <c r="A22" t="s">
        <v>10</v>
      </c>
      <c r="B22">
        <v>30810</v>
      </c>
      <c r="C22">
        <v>4082.21</v>
      </c>
    </row>
    <row r="23" spans="1:3" x14ac:dyDescent="0.3">
      <c r="A23" t="s">
        <v>6</v>
      </c>
      <c r="B23">
        <v>29873</v>
      </c>
      <c r="C23">
        <v>10297.629999999999</v>
      </c>
    </row>
    <row r="24" spans="1:3" x14ac:dyDescent="0.3">
      <c r="A24" t="s">
        <v>9</v>
      </c>
      <c r="B24">
        <v>41523</v>
      </c>
      <c r="C24">
        <v>6573.12</v>
      </c>
    </row>
    <row r="25" spans="1:3" x14ac:dyDescent="0.3">
      <c r="A25" t="s">
        <v>12</v>
      </c>
      <c r="B25">
        <v>29929</v>
      </c>
      <c r="C25">
        <v>6599.61</v>
      </c>
    </row>
    <row r="26" spans="1:3" x14ac:dyDescent="0.3">
      <c r="A26" t="s">
        <v>12</v>
      </c>
      <c r="B26">
        <v>9662</v>
      </c>
      <c r="C26">
        <v>2583.71</v>
      </c>
    </row>
    <row r="27" spans="1:3" x14ac:dyDescent="0.3">
      <c r="A27" t="s">
        <v>10</v>
      </c>
      <c r="B27">
        <v>8247</v>
      </c>
      <c r="C27">
        <v>2571.8200000000002</v>
      </c>
    </row>
    <row r="28" spans="1:3" x14ac:dyDescent="0.3">
      <c r="A28" t="s">
        <v>7</v>
      </c>
      <c r="B28">
        <v>27482</v>
      </c>
      <c r="C28">
        <v>10236.370000000001</v>
      </c>
    </row>
    <row r="29" spans="1:3" x14ac:dyDescent="0.3">
      <c r="A29" t="s">
        <v>6</v>
      </c>
      <c r="B29">
        <v>42243</v>
      </c>
      <c r="C29">
        <v>9620.6200000000008</v>
      </c>
    </row>
    <row r="30" spans="1:3" x14ac:dyDescent="0.3">
      <c r="A30" t="s">
        <v>10</v>
      </c>
      <c r="B30">
        <v>30394</v>
      </c>
      <c r="C30">
        <v>10882.9</v>
      </c>
    </row>
    <row r="31" spans="1:3" x14ac:dyDescent="0.3">
      <c r="A31" t="s">
        <v>9</v>
      </c>
      <c r="B31">
        <v>9249</v>
      </c>
      <c r="C31">
        <v>1191.03</v>
      </c>
    </row>
    <row r="32" spans="1:3" x14ac:dyDescent="0.3">
      <c r="A32" t="s">
        <v>13</v>
      </c>
      <c r="B32">
        <v>30120</v>
      </c>
      <c r="C32">
        <v>8431.06</v>
      </c>
    </row>
    <row r="33" spans="1:3" x14ac:dyDescent="0.3">
      <c r="A33" t="s">
        <v>9</v>
      </c>
      <c r="B33">
        <v>22197</v>
      </c>
      <c r="C33">
        <v>3403.24</v>
      </c>
    </row>
    <row r="34" spans="1:3" x14ac:dyDescent="0.3">
      <c r="A34" t="s">
        <v>5</v>
      </c>
      <c r="B34">
        <v>16851</v>
      </c>
      <c r="C34">
        <v>1928.37</v>
      </c>
    </row>
    <row r="35" spans="1:3" x14ac:dyDescent="0.3">
      <c r="A35" t="s">
        <v>7</v>
      </c>
      <c r="B35">
        <v>8273</v>
      </c>
      <c r="C35">
        <v>2063.9</v>
      </c>
    </row>
    <row r="36" spans="1:3" x14ac:dyDescent="0.3">
      <c r="A36" t="s">
        <v>6</v>
      </c>
      <c r="B36">
        <v>43825</v>
      </c>
      <c r="C36">
        <v>16297.49</v>
      </c>
    </row>
    <row r="37" spans="1:3" x14ac:dyDescent="0.3">
      <c r="A37" t="s">
        <v>9</v>
      </c>
      <c r="B37">
        <v>35793</v>
      </c>
      <c r="C37">
        <v>7112.68</v>
      </c>
    </row>
    <row r="38" spans="1:3" x14ac:dyDescent="0.3">
      <c r="A38" t="s">
        <v>11</v>
      </c>
      <c r="B38">
        <v>37178</v>
      </c>
      <c r="C38">
        <v>10468.61</v>
      </c>
    </row>
    <row r="39" spans="1:3" x14ac:dyDescent="0.3">
      <c r="A39" t="s">
        <v>14</v>
      </c>
      <c r="B39">
        <v>7479</v>
      </c>
      <c r="C39">
        <v>2982.75</v>
      </c>
    </row>
    <row r="40" spans="1:3" x14ac:dyDescent="0.3">
      <c r="A40" t="s">
        <v>10</v>
      </c>
      <c r="B40">
        <v>14159</v>
      </c>
      <c r="C40">
        <v>4511.3599999999997</v>
      </c>
    </row>
    <row r="41" spans="1:3" x14ac:dyDescent="0.3">
      <c r="A41" t="s">
        <v>13</v>
      </c>
      <c r="B41">
        <v>43217</v>
      </c>
      <c r="C41">
        <v>8999.9500000000007</v>
      </c>
    </row>
    <row r="42" spans="1:3" x14ac:dyDescent="0.3">
      <c r="A42" t="s">
        <v>9</v>
      </c>
      <c r="B42">
        <v>22961</v>
      </c>
      <c r="C42">
        <v>4857.66</v>
      </c>
    </row>
    <row r="43" spans="1:3" x14ac:dyDescent="0.3">
      <c r="A43" t="s">
        <v>10</v>
      </c>
      <c r="B43">
        <v>44305</v>
      </c>
      <c r="C43">
        <v>9369.18</v>
      </c>
    </row>
    <row r="44" spans="1:3" x14ac:dyDescent="0.3">
      <c r="A44" t="s">
        <v>12</v>
      </c>
      <c r="B44">
        <v>10714</v>
      </c>
      <c r="C44">
        <v>3011.34</v>
      </c>
    </row>
    <row r="45" spans="1:3" x14ac:dyDescent="0.3">
      <c r="A45" t="s">
        <v>10</v>
      </c>
      <c r="B45">
        <v>20946</v>
      </c>
      <c r="C45">
        <v>2927.57</v>
      </c>
    </row>
    <row r="46" spans="1:3" x14ac:dyDescent="0.3">
      <c r="A46" t="s">
        <v>14</v>
      </c>
      <c r="B46">
        <v>44217</v>
      </c>
      <c r="C46">
        <v>15721.01</v>
      </c>
    </row>
    <row r="47" spans="1:3" x14ac:dyDescent="0.3">
      <c r="A47" t="s">
        <v>13</v>
      </c>
      <c r="B47">
        <v>36335</v>
      </c>
      <c r="C47">
        <v>5323.26</v>
      </c>
    </row>
    <row r="48" spans="1:3" x14ac:dyDescent="0.3">
      <c r="A48" t="s">
        <v>5</v>
      </c>
      <c r="B48">
        <v>13131</v>
      </c>
      <c r="C48">
        <v>2159.9299999999998</v>
      </c>
    </row>
    <row r="49" spans="1:3" x14ac:dyDescent="0.3">
      <c r="A49" t="s">
        <v>6</v>
      </c>
      <c r="B49">
        <v>44596</v>
      </c>
      <c r="C49">
        <v>15073.99</v>
      </c>
    </row>
    <row r="50" spans="1:3" x14ac:dyDescent="0.3">
      <c r="A50" t="s">
        <v>7</v>
      </c>
      <c r="B50">
        <v>19526</v>
      </c>
      <c r="C50">
        <v>6392.25</v>
      </c>
    </row>
    <row r="51" spans="1:3" x14ac:dyDescent="0.3">
      <c r="A51" t="s">
        <v>14</v>
      </c>
      <c r="B51">
        <v>13949</v>
      </c>
      <c r="C51">
        <v>4309.03</v>
      </c>
    </row>
    <row r="52" spans="1:3" x14ac:dyDescent="0.3">
      <c r="A52" t="s">
        <v>12</v>
      </c>
      <c r="B52">
        <v>16790</v>
      </c>
      <c r="C52">
        <v>5605.43</v>
      </c>
    </row>
    <row r="53" spans="1:3" x14ac:dyDescent="0.3">
      <c r="A53" t="s">
        <v>12</v>
      </c>
      <c r="B53">
        <v>39291</v>
      </c>
      <c r="C53">
        <v>4732.47</v>
      </c>
    </row>
    <row r="54" spans="1:3" x14ac:dyDescent="0.3">
      <c r="A54" t="s">
        <v>15</v>
      </c>
      <c r="B54">
        <v>6889</v>
      </c>
      <c r="C54">
        <v>2144.7800000000002</v>
      </c>
    </row>
    <row r="55" spans="1:3" x14ac:dyDescent="0.3">
      <c r="A55" t="s">
        <v>7</v>
      </c>
      <c r="B55">
        <v>28768</v>
      </c>
      <c r="C55">
        <v>7998.09</v>
      </c>
    </row>
    <row r="56" spans="1:3" x14ac:dyDescent="0.3">
      <c r="A56" t="s">
        <v>4</v>
      </c>
      <c r="B56">
        <v>31569</v>
      </c>
      <c r="C56">
        <v>12011.27</v>
      </c>
    </row>
    <row r="57" spans="1:3" x14ac:dyDescent="0.3">
      <c r="A57" t="s">
        <v>4</v>
      </c>
      <c r="B57">
        <v>5438</v>
      </c>
      <c r="C57">
        <v>1984.32</v>
      </c>
    </row>
    <row r="58" spans="1:3" x14ac:dyDescent="0.3">
      <c r="A58" t="s">
        <v>12</v>
      </c>
      <c r="B58">
        <v>49982</v>
      </c>
      <c r="C58">
        <v>6521.44</v>
      </c>
    </row>
    <row r="59" spans="1:3" x14ac:dyDescent="0.3">
      <c r="A59" t="s">
        <v>10</v>
      </c>
      <c r="B59">
        <v>43376</v>
      </c>
      <c r="C59">
        <v>16110.2</v>
      </c>
    </row>
    <row r="60" spans="1:3" x14ac:dyDescent="0.3">
      <c r="A60" t="s">
        <v>7</v>
      </c>
      <c r="B60">
        <v>19225</v>
      </c>
      <c r="C60">
        <v>4417.1000000000004</v>
      </c>
    </row>
    <row r="61" spans="1:3" x14ac:dyDescent="0.3">
      <c r="A61" t="s">
        <v>8</v>
      </c>
      <c r="B61">
        <v>31701</v>
      </c>
      <c r="C61">
        <v>11752.65</v>
      </c>
    </row>
    <row r="62" spans="1:3" x14ac:dyDescent="0.3">
      <c r="A62" t="s">
        <v>6</v>
      </c>
      <c r="B62">
        <v>8152</v>
      </c>
      <c r="C62">
        <v>3079.13</v>
      </c>
    </row>
    <row r="63" spans="1:3" x14ac:dyDescent="0.3">
      <c r="A63" t="s">
        <v>9</v>
      </c>
      <c r="B63">
        <v>16245</v>
      </c>
      <c r="C63">
        <v>1715.71</v>
      </c>
    </row>
    <row r="64" spans="1:3" x14ac:dyDescent="0.3">
      <c r="A64" t="s">
        <v>14</v>
      </c>
      <c r="B64">
        <v>10718</v>
      </c>
      <c r="C64">
        <v>2245.44</v>
      </c>
    </row>
    <row r="65" spans="1:3" x14ac:dyDescent="0.3">
      <c r="A65" t="s">
        <v>15</v>
      </c>
      <c r="B65">
        <v>34314</v>
      </c>
      <c r="C65">
        <v>9128.1299999999992</v>
      </c>
    </row>
    <row r="66" spans="1:3" x14ac:dyDescent="0.3">
      <c r="A66" t="s">
        <v>6</v>
      </c>
      <c r="B66">
        <v>44656</v>
      </c>
      <c r="C66">
        <v>13447.51</v>
      </c>
    </row>
    <row r="67" spans="1:3" x14ac:dyDescent="0.3">
      <c r="A67" t="s">
        <v>8</v>
      </c>
      <c r="B67">
        <v>37187</v>
      </c>
      <c r="C67">
        <v>9906.3799999999992</v>
      </c>
    </row>
    <row r="68" spans="1:3" x14ac:dyDescent="0.3">
      <c r="A68" t="s">
        <v>12</v>
      </c>
      <c r="B68">
        <v>29343</v>
      </c>
      <c r="C68">
        <v>3287.61</v>
      </c>
    </row>
    <row r="69" spans="1:3" x14ac:dyDescent="0.3">
      <c r="A69" t="s">
        <v>14</v>
      </c>
      <c r="B69">
        <v>37424</v>
      </c>
      <c r="C69">
        <v>4797.72</v>
      </c>
    </row>
    <row r="70" spans="1:3" x14ac:dyDescent="0.3">
      <c r="A70" t="s">
        <v>12</v>
      </c>
      <c r="B70">
        <v>14237</v>
      </c>
      <c r="C70">
        <v>4686.5200000000004</v>
      </c>
    </row>
    <row r="71" spans="1:3" x14ac:dyDescent="0.3">
      <c r="A71" t="s">
        <v>14</v>
      </c>
      <c r="B71">
        <v>15035</v>
      </c>
      <c r="C71">
        <v>2992.69</v>
      </c>
    </row>
    <row r="72" spans="1:3" x14ac:dyDescent="0.3">
      <c r="A72" t="s">
        <v>7</v>
      </c>
      <c r="B72">
        <v>46234</v>
      </c>
      <c r="C72">
        <v>13542.62</v>
      </c>
    </row>
    <row r="73" spans="1:3" x14ac:dyDescent="0.3">
      <c r="A73" t="s">
        <v>10</v>
      </c>
      <c r="B73">
        <v>40476</v>
      </c>
      <c r="C73">
        <v>6341.28</v>
      </c>
    </row>
    <row r="74" spans="1:3" x14ac:dyDescent="0.3">
      <c r="A74" t="s">
        <v>7</v>
      </c>
      <c r="B74">
        <v>37898</v>
      </c>
      <c r="C74">
        <v>6378.19</v>
      </c>
    </row>
    <row r="75" spans="1:3" x14ac:dyDescent="0.3">
      <c r="A75" t="s">
        <v>12</v>
      </c>
      <c r="B75">
        <v>19682</v>
      </c>
      <c r="C75">
        <v>3689.35</v>
      </c>
    </row>
    <row r="76" spans="1:3" x14ac:dyDescent="0.3">
      <c r="A76" t="s">
        <v>6</v>
      </c>
      <c r="B76">
        <v>44915</v>
      </c>
      <c r="C76">
        <v>7605.55</v>
      </c>
    </row>
    <row r="77" spans="1:3" x14ac:dyDescent="0.3">
      <c r="A77" t="s">
        <v>13</v>
      </c>
      <c r="B77">
        <v>5360</v>
      </c>
      <c r="C77">
        <v>766.02</v>
      </c>
    </row>
    <row r="78" spans="1:3" x14ac:dyDescent="0.3">
      <c r="A78" t="s">
        <v>5</v>
      </c>
      <c r="B78">
        <v>25981</v>
      </c>
      <c r="C78">
        <v>7671.97</v>
      </c>
    </row>
    <row r="79" spans="1:3" x14ac:dyDescent="0.3">
      <c r="A79" t="s">
        <v>12</v>
      </c>
      <c r="B79">
        <v>30414</v>
      </c>
      <c r="C79">
        <v>4042.95</v>
      </c>
    </row>
    <row r="80" spans="1:3" x14ac:dyDescent="0.3">
      <c r="A80" t="s">
        <v>6</v>
      </c>
      <c r="B80">
        <v>22028</v>
      </c>
      <c r="C80">
        <v>5609.79</v>
      </c>
    </row>
    <row r="81" spans="1:3" x14ac:dyDescent="0.3">
      <c r="A81" t="s">
        <v>5</v>
      </c>
      <c r="B81">
        <v>28655</v>
      </c>
      <c r="C81">
        <v>6643.73</v>
      </c>
    </row>
    <row r="82" spans="1:3" x14ac:dyDescent="0.3">
      <c r="A82" t="s">
        <v>10</v>
      </c>
      <c r="B82">
        <v>20693</v>
      </c>
      <c r="C82">
        <v>4063.36</v>
      </c>
    </row>
    <row r="83" spans="1:3" x14ac:dyDescent="0.3">
      <c r="A83" t="s">
        <v>6</v>
      </c>
      <c r="B83">
        <v>8379</v>
      </c>
      <c r="C83">
        <v>1751.19</v>
      </c>
    </row>
    <row r="84" spans="1:3" x14ac:dyDescent="0.3">
      <c r="A84" t="s">
        <v>15</v>
      </c>
      <c r="B84">
        <v>30497</v>
      </c>
      <c r="C84">
        <v>7223.77</v>
      </c>
    </row>
    <row r="85" spans="1:3" x14ac:dyDescent="0.3">
      <c r="A85" t="s">
        <v>10</v>
      </c>
      <c r="B85">
        <v>46142</v>
      </c>
      <c r="C85">
        <v>12708.83</v>
      </c>
    </row>
    <row r="86" spans="1:3" x14ac:dyDescent="0.3">
      <c r="A86" t="s">
        <v>13</v>
      </c>
      <c r="B86">
        <v>25249</v>
      </c>
      <c r="C86">
        <v>4095.12</v>
      </c>
    </row>
    <row r="87" spans="1:3" x14ac:dyDescent="0.3">
      <c r="A87" t="s">
        <v>11</v>
      </c>
      <c r="B87">
        <v>31076</v>
      </c>
      <c r="C87">
        <v>4720.5600000000004</v>
      </c>
    </row>
    <row r="88" spans="1:3" x14ac:dyDescent="0.3">
      <c r="A88" t="s">
        <v>7</v>
      </c>
      <c r="B88">
        <v>22786</v>
      </c>
      <c r="C88">
        <v>5534.71</v>
      </c>
    </row>
    <row r="89" spans="1:3" x14ac:dyDescent="0.3">
      <c r="A89" t="s">
        <v>12</v>
      </c>
      <c r="B89">
        <v>16407</v>
      </c>
      <c r="C89">
        <v>5341.96</v>
      </c>
    </row>
    <row r="90" spans="1:3" x14ac:dyDescent="0.3">
      <c r="A90" t="s">
        <v>11</v>
      </c>
      <c r="B90">
        <v>41582</v>
      </c>
      <c r="C90">
        <v>4491.2299999999996</v>
      </c>
    </row>
    <row r="91" spans="1:3" x14ac:dyDescent="0.3">
      <c r="A91" t="s">
        <v>8</v>
      </c>
      <c r="B91">
        <v>46993</v>
      </c>
      <c r="C91">
        <v>13805.26</v>
      </c>
    </row>
    <row r="92" spans="1:3" x14ac:dyDescent="0.3">
      <c r="A92" t="s">
        <v>7</v>
      </c>
      <c r="B92">
        <v>16584</v>
      </c>
      <c r="C92">
        <v>4721.3100000000004</v>
      </c>
    </row>
    <row r="93" spans="1:3" x14ac:dyDescent="0.3">
      <c r="A93" t="s">
        <v>13</v>
      </c>
      <c r="B93">
        <v>31309</v>
      </c>
      <c r="C93">
        <v>7275.2</v>
      </c>
    </row>
    <row r="94" spans="1:3" x14ac:dyDescent="0.3">
      <c r="A94" t="s">
        <v>6</v>
      </c>
      <c r="B94">
        <v>5245</v>
      </c>
      <c r="C94">
        <v>1621.01</v>
      </c>
    </row>
    <row r="95" spans="1:3" x14ac:dyDescent="0.3">
      <c r="A95" t="s">
        <v>13</v>
      </c>
      <c r="B95">
        <v>33879</v>
      </c>
      <c r="C95">
        <v>8212.4699999999993</v>
      </c>
    </row>
    <row r="96" spans="1:3" x14ac:dyDescent="0.3">
      <c r="A96" t="s">
        <v>7</v>
      </c>
      <c r="B96">
        <v>38218</v>
      </c>
      <c r="C96">
        <v>13533.73</v>
      </c>
    </row>
    <row r="97" spans="1:3" x14ac:dyDescent="0.3">
      <c r="A97" t="s">
        <v>6</v>
      </c>
      <c r="B97">
        <v>31126</v>
      </c>
      <c r="C97">
        <v>7245.03</v>
      </c>
    </row>
    <row r="98" spans="1:3" x14ac:dyDescent="0.3">
      <c r="A98" t="s">
        <v>12</v>
      </c>
      <c r="B98">
        <v>13988</v>
      </c>
      <c r="C98">
        <v>5350.36</v>
      </c>
    </row>
    <row r="99" spans="1:3" x14ac:dyDescent="0.3">
      <c r="A99" t="s">
        <v>7</v>
      </c>
      <c r="B99">
        <v>9594</v>
      </c>
      <c r="C99">
        <v>2720.47</v>
      </c>
    </row>
    <row r="100" spans="1:3" x14ac:dyDescent="0.3">
      <c r="A100" t="s">
        <v>11</v>
      </c>
      <c r="B100">
        <v>34299</v>
      </c>
      <c r="C100">
        <v>7128.31</v>
      </c>
    </row>
    <row r="101" spans="1:3" x14ac:dyDescent="0.3">
      <c r="A101" t="s">
        <v>14</v>
      </c>
      <c r="B101">
        <v>11661</v>
      </c>
      <c r="C101">
        <v>1919.34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46C3-A99D-48F6-9A14-669CEBB85B82}">
  <dimension ref="B3:H13"/>
  <sheetViews>
    <sheetView tabSelected="1" zoomScale="175" zoomScaleNormal="175" workbookViewId="0">
      <selection activeCell="G3" sqref="G3"/>
    </sheetView>
  </sheetViews>
  <sheetFormatPr defaultColWidth="9.109375" defaultRowHeight="14.4" x14ac:dyDescent="0.3"/>
  <cols>
    <col min="1" max="1" width="2.21875" customWidth="1"/>
    <col min="2" max="2" width="14.5546875" bestFit="1" customWidth="1"/>
    <col min="3" max="3" width="16.6640625" customWidth="1"/>
    <col min="4" max="4" width="12.5546875" bestFit="1" customWidth="1"/>
    <col min="5" max="5" width="12.109375" bestFit="1" customWidth="1"/>
    <col min="6" max="6" width="1.21875" customWidth="1"/>
    <col min="7" max="7" width="22.6640625" bestFit="1" customWidth="1"/>
    <col min="8" max="8" width="9.44140625" customWidth="1"/>
    <col min="9" max="9" width="16.6640625" customWidth="1"/>
    <col min="10" max="10" width="1" customWidth="1"/>
    <col min="11" max="11" width="14.5546875" bestFit="1" customWidth="1"/>
    <col min="12" max="12" width="14.21875" customWidth="1"/>
  </cols>
  <sheetData>
    <row r="3" spans="2:8" x14ac:dyDescent="0.3">
      <c r="B3" s="6" t="s">
        <v>179</v>
      </c>
      <c r="C3" s="6" t="s">
        <v>202</v>
      </c>
      <c r="D3" s="6" t="s">
        <v>184</v>
      </c>
      <c r="E3" s="6" t="s">
        <v>203</v>
      </c>
    </row>
    <row r="4" spans="2:8" x14ac:dyDescent="0.3">
      <c r="B4" t="s">
        <v>180</v>
      </c>
      <c r="C4" s="46" t="s">
        <v>208</v>
      </c>
      <c r="D4" s="46" t="s">
        <v>29</v>
      </c>
      <c r="E4">
        <v>10</v>
      </c>
      <c r="G4" t="s">
        <v>210</v>
      </c>
      <c r="H4">
        <f>SUM(Table1[Amount])</f>
        <v>80</v>
      </c>
    </row>
    <row r="5" spans="2:8" x14ac:dyDescent="0.3">
      <c r="B5" t="s">
        <v>181</v>
      </c>
      <c r="C5" s="46" t="s">
        <v>208</v>
      </c>
      <c r="D5" t="s">
        <v>185</v>
      </c>
      <c r="E5">
        <v>10</v>
      </c>
      <c r="G5" t="s">
        <v>211</v>
      </c>
      <c r="H5">
        <f>SUMIF(Table1[Gender],"Male",Table1[Amount])</f>
        <v>30</v>
      </c>
    </row>
    <row r="6" spans="2:8" x14ac:dyDescent="0.3">
      <c r="B6" t="s">
        <v>182</v>
      </c>
      <c r="C6" t="s">
        <v>209</v>
      </c>
      <c r="D6" t="s">
        <v>29</v>
      </c>
      <c r="E6">
        <v>10</v>
      </c>
      <c r="G6" t="s">
        <v>212</v>
      </c>
      <c r="H6">
        <f>SUMIFS(Table1[Amount],Table1[Gender],"Male",Table1[Address],"Dhaka")</f>
        <v>20</v>
      </c>
    </row>
    <row r="7" spans="2:8" x14ac:dyDescent="0.3">
      <c r="B7" t="s">
        <v>183</v>
      </c>
      <c r="C7" t="s">
        <v>209</v>
      </c>
      <c r="D7" t="s">
        <v>25</v>
      </c>
      <c r="E7">
        <v>10</v>
      </c>
    </row>
    <row r="8" spans="2:8" ht="14.25" customHeight="1" x14ac:dyDescent="0.3">
      <c r="B8" t="s">
        <v>204</v>
      </c>
      <c r="C8" t="s">
        <v>209</v>
      </c>
      <c r="D8" t="s">
        <v>25</v>
      </c>
      <c r="E8">
        <v>10</v>
      </c>
    </row>
    <row r="9" spans="2:8" x14ac:dyDescent="0.3">
      <c r="B9" t="s">
        <v>205</v>
      </c>
      <c r="C9" t="s">
        <v>209</v>
      </c>
      <c r="D9" t="s">
        <v>25</v>
      </c>
      <c r="E9">
        <v>10</v>
      </c>
      <c r="G9" t="s">
        <v>213</v>
      </c>
      <c r="H9">
        <f>SUMIFS(Table1[Amount],Table1[Gender],"Female",Table1[Address],"Khulna")</f>
        <v>30</v>
      </c>
    </row>
    <row r="10" spans="2:8" x14ac:dyDescent="0.3">
      <c r="B10" t="s">
        <v>206</v>
      </c>
      <c r="C10" s="46" t="s">
        <v>208</v>
      </c>
      <c r="D10" s="46" t="s">
        <v>29</v>
      </c>
      <c r="E10">
        <v>10</v>
      </c>
    </row>
    <row r="11" spans="2:8" x14ac:dyDescent="0.3">
      <c r="B11" t="s">
        <v>207</v>
      </c>
      <c r="C11" t="s">
        <v>209</v>
      </c>
      <c r="D11" t="s">
        <v>185</v>
      </c>
      <c r="E11">
        <v>10</v>
      </c>
      <c r="G11" t="s">
        <v>223</v>
      </c>
      <c r="H11" t="s">
        <v>226</v>
      </c>
    </row>
    <row r="12" spans="2:8" x14ac:dyDescent="0.3">
      <c r="G12" t="s">
        <v>224</v>
      </c>
      <c r="H12" t="s">
        <v>227</v>
      </c>
    </row>
    <row r="13" spans="2:8" x14ac:dyDescent="0.3">
      <c r="G13" t="s">
        <v>225</v>
      </c>
    </row>
  </sheetData>
  <dataConsolidate/>
  <pageMargins left="0.75" right="0.75" top="1" bottom="1" header="0.5" footer="0.5"/>
  <pageSetup orientation="landscape" horizontalDpi="4294967292" verticalDpi="300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11"/>
  <sheetViews>
    <sheetView zoomScale="130" zoomScaleNormal="130" workbookViewId="0">
      <selection activeCell="H9" sqref="H9"/>
    </sheetView>
  </sheetViews>
  <sheetFormatPr defaultRowHeight="14.4" x14ac:dyDescent="0.3"/>
  <cols>
    <col min="1" max="1" width="5" bestFit="1" customWidth="1"/>
    <col min="2" max="4" width="19.5546875" customWidth="1"/>
    <col min="5" max="5" width="19.5546875" style="6" customWidth="1"/>
    <col min="6" max="6" width="5.33203125" customWidth="1"/>
    <col min="7" max="7" width="24.6640625" customWidth="1"/>
  </cols>
  <sheetData>
    <row r="3" spans="2:8" x14ac:dyDescent="0.3">
      <c r="B3" t="s">
        <v>179</v>
      </c>
      <c r="C3" t="s">
        <v>202</v>
      </c>
      <c r="D3" t="s">
        <v>184</v>
      </c>
      <c r="E3" s="6" t="s">
        <v>203</v>
      </c>
    </row>
    <row r="4" spans="2:8" x14ac:dyDescent="0.3">
      <c r="B4" t="s">
        <v>180</v>
      </c>
      <c r="C4" s="46" t="s">
        <v>208</v>
      </c>
      <c r="D4" s="46" t="s">
        <v>29</v>
      </c>
      <c r="E4" s="47">
        <v>1</v>
      </c>
      <c r="G4" t="s">
        <v>214</v>
      </c>
      <c r="H4">
        <f>AVERAGE(Table14[Amount])</f>
        <v>4.5</v>
      </c>
    </row>
    <row r="5" spans="2:8" x14ac:dyDescent="0.3">
      <c r="B5" t="s">
        <v>181</v>
      </c>
      <c r="C5" s="46" t="s">
        <v>208</v>
      </c>
      <c r="D5" t="s">
        <v>185</v>
      </c>
      <c r="E5" s="47">
        <v>2</v>
      </c>
      <c r="G5" t="s">
        <v>215</v>
      </c>
      <c r="H5">
        <f>AVERAGEIF(Table14[Gender],"Male",Table14[Amount])</f>
        <v>3.3333333333333335</v>
      </c>
    </row>
    <row r="6" spans="2:8" x14ac:dyDescent="0.3">
      <c r="B6" t="s">
        <v>182</v>
      </c>
      <c r="C6" t="s">
        <v>209</v>
      </c>
      <c r="D6" t="s">
        <v>29</v>
      </c>
      <c r="E6" s="6">
        <v>3</v>
      </c>
      <c r="G6" t="s">
        <v>216</v>
      </c>
      <c r="H6" s="48">
        <f>AVERAGEIFS(Table14[Amount],Table14[Address],"Dhaka",Table14[Gender],"Male")</f>
        <v>4</v>
      </c>
    </row>
    <row r="7" spans="2:8" x14ac:dyDescent="0.3">
      <c r="B7" t="s">
        <v>183</v>
      </c>
      <c r="C7" t="s">
        <v>209</v>
      </c>
      <c r="D7" t="s">
        <v>29</v>
      </c>
      <c r="E7" s="6">
        <v>4</v>
      </c>
    </row>
    <row r="8" spans="2:8" x14ac:dyDescent="0.3">
      <c r="B8" t="s">
        <v>204</v>
      </c>
      <c r="C8" t="s">
        <v>209</v>
      </c>
      <c r="D8" t="s">
        <v>25</v>
      </c>
      <c r="E8" s="6">
        <v>5</v>
      </c>
    </row>
    <row r="9" spans="2:8" x14ac:dyDescent="0.3">
      <c r="B9" t="s">
        <v>205</v>
      </c>
      <c r="C9" t="s">
        <v>209</v>
      </c>
      <c r="D9" t="s">
        <v>25</v>
      </c>
      <c r="E9" s="6">
        <v>6</v>
      </c>
      <c r="G9" t="s">
        <v>217</v>
      </c>
      <c r="H9">
        <f>AVERAGEIFS(Table14[Amount],Table14[Gender],"Female",Table14[Address],"Khulna")</f>
        <v>5.5</v>
      </c>
    </row>
    <row r="10" spans="2:8" x14ac:dyDescent="0.3">
      <c r="B10" t="s">
        <v>206</v>
      </c>
      <c r="C10" s="46" t="s">
        <v>208</v>
      </c>
      <c r="D10" s="46" t="s">
        <v>29</v>
      </c>
      <c r="E10" s="47">
        <v>7</v>
      </c>
    </row>
    <row r="11" spans="2:8" x14ac:dyDescent="0.3">
      <c r="B11" t="s">
        <v>207</v>
      </c>
      <c r="C11" t="s">
        <v>209</v>
      </c>
      <c r="D11" t="s">
        <v>185</v>
      </c>
      <c r="E11" s="6">
        <v>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AA47-3891-45C5-8696-D4C0B80CFF59}">
  <dimension ref="A3:H15"/>
  <sheetViews>
    <sheetView zoomScale="170" zoomScaleNormal="170" workbookViewId="0">
      <selection activeCell="H7" sqref="H7"/>
    </sheetView>
  </sheetViews>
  <sheetFormatPr defaultColWidth="9" defaultRowHeight="14.4" x14ac:dyDescent="0.3"/>
  <cols>
    <col min="1" max="1" width="17.21875" style="6" customWidth="1"/>
    <col min="6" max="6" width="3.21875" customWidth="1"/>
    <col min="7" max="7" width="25.6640625" customWidth="1"/>
  </cols>
  <sheetData>
    <row r="3" spans="1:8" x14ac:dyDescent="0.3">
      <c r="A3" s="6" t="s">
        <v>222</v>
      </c>
      <c r="B3" t="s">
        <v>179</v>
      </c>
      <c r="C3" t="s">
        <v>202</v>
      </c>
      <c r="D3" t="s">
        <v>184</v>
      </c>
      <c r="E3" t="s">
        <v>203</v>
      </c>
    </row>
    <row r="4" spans="1:8" x14ac:dyDescent="0.3">
      <c r="A4" s="6">
        <v>1</v>
      </c>
      <c r="B4" t="s">
        <v>180</v>
      </c>
      <c r="C4" s="46" t="s">
        <v>208</v>
      </c>
      <c r="D4" s="46" t="s">
        <v>29</v>
      </c>
      <c r="E4">
        <v>10</v>
      </c>
      <c r="G4" t="s">
        <v>218</v>
      </c>
      <c r="H4">
        <f>COUNTA(Table24[Name])</f>
        <v>8</v>
      </c>
    </row>
    <row r="5" spans="1:8" x14ac:dyDescent="0.3">
      <c r="A5" s="6">
        <v>2</v>
      </c>
      <c r="B5" t="s">
        <v>181</v>
      </c>
      <c r="C5" t="s">
        <v>208</v>
      </c>
      <c r="D5" t="s">
        <v>185</v>
      </c>
      <c r="E5">
        <v>10</v>
      </c>
      <c r="G5" t="s">
        <v>219</v>
      </c>
      <c r="H5">
        <f>COUNTIF(Table24[Gender],"Male")</f>
        <v>4</v>
      </c>
    </row>
    <row r="6" spans="1:8" x14ac:dyDescent="0.3">
      <c r="A6" s="6">
        <v>10</v>
      </c>
      <c r="B6" t="s">
        <v>182</v>
      </c>
      <c r="C6" t="s">
        <v>209</v>
      </c>
      <c r="D6" t="s">
        <v>29</v>
      </c>
      <c r="E6">
        <v>10</v>
      </c>
      <c r="G6" t="s">
        <v>220</v>
      </c>
      <c r="H6">
        <f>COUNTIFS(Table24[Gender],"Male",Table24[Address],"Dhaka")</f>
        <v>2</v>
      </c>
    </row>
    <row r="7" spans="1:8" x14ac:dyDescent="0.3">
      <c r="A7" s="6">
        <v>4</v>
      </c>
      <c r="B7" t="s">
        <v>183</v>
      </c>
      <c r="C7" t="s">
        <v>209</v>
      </c>
      <c r="D7" t="s">
        <v>29</v>
      </c>
      <c r="E7">
        <v>10</v>
      </c>
      <c r="G7" t="s">
        <v>233</v>
      </c>
      <c r="H7" s="46">
        <f>COUNTIF(Table24[Serial No],"&gt;5")</f>
        <v>4</v>
      </c>
    </row>
    <row r="8" spans="1:8" x14ac:dyDescent="0.3">
      <c r="A8" s="6">
        <v>5</v>
      </c>
      <c r="B8" t="s">
        <v>204</v>
      </c>
      <c r="C8" t="s">
        <v>209</v>
      </c>
      <c r="D8" t="s">
        <v>232</v>
      </c>
      <c r="E8">
        <v>10</v>
      </c>
    </row>
    <row r="9" spans="1:8" x14ac:dyDescent="0.3">
      <c r="A9" s="6">
        <v>6</v>
      </c>
      <c r="B9" t="s">
        <v>205</v>
      </c>
      <c r="C9" t="s">
        <v>209</v>
      </c>
      <c r="D9" t="s">
        <v>25</v>
      </c>
      <c r="E9">
        <v>10</v>
      </c>
      <c r="G9" t="s">
        <v>221</v>
      </c>
      <c r="H9">
        <f>COUNTIFS(Table24[Gender],"Female",Table24[Address],"Khulna")</f>
        <v>1</v>
      </c>
    </row>
    <row r="10" spans="1:8" x14ac:dyDescent="0.3">
      <c r="A10" s="6">
        <v>7</v>
      </c>
      <c r="B10" t="s">
        <v>206</v>
      </c>
      <c r="C10" s="46" t="s">
        <v>208</v>
      </c>
      <c r="D10" s="46" t="s">
        <v>29</v>
      </c>
      <c r="E10">
        <v>10</v>
      </c>
    </row>
    <row r="11" spans="1:8" x14ac:dyDescent="0.3">
      <c r="A11" s="6">
        <v>8</v>
      </c>
      <c r="B11" t="s">
        <v>231</v>
      </c>
      <c r="C11" t="s">
        <v>208</v>
      </c>
      <c r="D11" t="s">
        <v>185</v>
      </c>
      <c r="E11">
        <v>10</v>
      </c>
    </row>
    <row r="13" spans="1:8" x14ac:dyDescent="0.3">
      <c r="G13" t="s">
        <v>228</v>
      </c>
      <c r="H13">
        <f>COUNT(Table24[Serial No])</f>
        <v>8</v>
      </c>
    </row>
    <row r="14" spans="1:8" x14ac:dyDescent="0.3">
      <c r="G14" t="s">
        <v>230</v>
      </c>
      <c r="H14">
        <f>COUNTA(Table24[Serial No])</f>
        <v>8</v>
      </c>
    </row>
    <row r="15" spans="1:8" x14ac:dyDescent="0.3">
      <c r="G15" t="s">
        <v>229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5E2B-8428-4563-BD6C-10EF820F9634}">
  <sheetPr>
    <tabColor rgb="FF00B050"/>
  </sheetPr>
  <dimension ref="B2:K63"/>
  <sheetViews>
    <sheetView zoomScale="85" zoomScaleNormal="85" workbookViewId="0">
      <selection activeCell="K2" sqref="K2:K5"/>
    </sheetView>
  </sheetViews>
  <sheetFormatPr defaultRowHeight="13.2" x14ac:dyDescent="0.25"/>
  <cols>
    <col min="1" max="1" width="3.109375" style="7" customWidth="1"/>
    <col min="2" max="2" width="7.33203125" style="7" bestFit="1" customWidth="1"/>
    <col min="3" max="3" width="20.5546875" style="7" bestFit="1" customWidth="1"/>
    <col min="4" max="4" width="20.88671875" style="7" bestFit="1" customWidth="1"/>
    <col min="5" max="5" width="9.109375" style="7" bestFit="1" customWidth="1"/>
    <col min="6" max="8" width="19.88671875" style="7" bestFit="1" customWidth="1"/>
    <col min="9" max="9" width="10.33203125" style="7" bestFit="1" customWidth="1"/>
    <col min="10" max="10" width="10.5546875" style="7" bestFit="1" customWidth="1"/>
    <col min="11" max="11" width="52.44140625" style="7" bestFit="1" customWidth="1"/>
    <col min="12" max="16384" width="8.88671875" style="7"/>
  </cols>
  <sheetData>
    <row r="2" spans="2:11" x14ac:dyDescent="0.25">
      <c r="K2" s="9"/>
    </row>
    <row r="3" spans="2:11" x14ac:dyDescent="0.25">
      <c r="K3" s="9"/>
    </row>
    <row r="4" spans="2:11" ht="41.4" customHeight="1" thickBot="1" x14ac:dyDescent="0.3">
      <c r="C4" s="10" t="s">
        <v>45</v>
      </c>
      <c r="D4" s="11" t="s">
        <v>46</v>
      </c>
      <c r="K4" s="12"/>
    </row>
    <row r="5" spans="2:11" ht="30.6" customHeight="1" x14ac:dyDescent="0.25">
      <c r="B5" s="13" t="s">
        <v>47</v>
      </c>
      <c r="C5" s="14" t="s">
        <v>48</v>
      </c>
      <c r="D5" s="15" t="s">
        <v>49</v>
      </c>
      <c r="F5" s="16" t="s">
        <v>50</v>
      </c>
      <c r="G5" s="16" t="s">
        <v>51</v>
      </c>
      <c r="H5" s="16" t="s">
        <v>52</v>
      </c>
    </row>
    <row r="6" spans="2:11" ht="14.4" x14ac:dyDescent="0.3">
      <c r="B6" s="17">
        <v>1415</v>
      </c>
      <c r="C6" s="17">
        <f>INDEX(B6:B11,3)</f>
        <v>1605</v>
      </c>
      <c r="D6" s="18">
        <f>MATCH(1605,B6:B11,0)</f>
        <v>3</v>
      </c>
      <c r="F6" s="7" t="str">
        <f>INDEX('INDEX MATCH Master Emp List'!D2:D38,MATCH(B6,'INDEX MATCH Master Emp List'!J2:J38,0))</f>
        <v>HR</v>
      </c>
      <c r="G6" s="19" t="str">
        <f>INDEX(D27:D63,MATCH(B6,K27:K63,0))</f>
        <v>Bulbul</v>
      </c>
    </row>
    <row r="7" spans="2:11" ht="14.4" x14ac:dyDescent="0.3">
      <c r="B7" s="20">
        <v>1558</v>
      </c>
      <c r="C7" s="17"/>
      <c r="D7" s="18"/>
      <c r="G7" s="19"/>
    </row>
    <row r="8" spans="2:11" ht="14.4" x14ac:dyDescent="0.3">
      <c r="B8" s="49">
        <v>1605</v>
      </c>
      <c r="C8" s="17"/>
      <c r="D8" s="18"/>
      <c r="G8" s="19"/>
    </row>
    <row r="9" spans="2:11" ht="14.4" x14ac:dyDescent="0.3">
      <c r="B9" s="20">
        <v>1453</v>
      </c>
      <c r="C9" s="17"/>
      <c r="D9" s="18"/>
      <c r="G9" s="19"/>
    </row>
    <row r="10" spans="2:11" ht="14.4" x14ac:dyDescent="0.3">
      <c r="B10" s="21">
        <v>1463</v>
      </c>
      <c r="C10" s="17"/>
      <c r="D10" s="18"/>
      <c r="G10" s="19"/>
    </row>
    <row r="11" spans="2:11" ht="14.4" x14ac:dyDescent="0.3">
      <c r="B11" s="21">
        <v>1415</v>
      </c>
      <c r="C11" s="17"/>
      <c r="D11" s="18"/>
      <c r="G11" s="19"/>
    </row>
    <row r="12" spans="2:11" ht="14.4" x14ac:dyDescent="0.3">
      <c r="C12" s="17"/>
      <c r="D12" s="17"/>
      <c r="G12" s="19"/>
    </row>
    <row r="13" spans="2:11" ht="14.4" x14ac:dyDescent="0.3">
      <c r="C13" s="17"/>
      <c r="D13" s="17"/>
      <c r="G13" s="19"/>
    </row>
    <row r="14" spans="2:11" ht="14.4" x14ac:dyDescent="0.3">
      <c r="C14" s="17"/>
      <c r="D14" s="17"/>
      <c r="G14" s="19"/>
    </row>
    <row r="15" spans="2:11" ht="14.4" x14ac:dyDescent="0.3">
      <c r="C15" s="17"/>
      <c r="D15" s="17"/>
      <c r="G15" s="19"/>
    </row>
    <row r="16" spans="2:11" ht="14.4" x14ac:dyDescent="0.3">
      <c r="C16" s="17"/>
      <c r="D16" s="17"/>
      <c r="G16" s="19"/>
    </row>
    <row r="17" spans="3:11" ht="14.4" x14ac:dyDescent="0.3">
      <c r="C17" s="17"/>
      <c r="D17" s="17"/>
      <c r="G17" s="19"/>
    </row>
    <row r="18" spans="3:11" ht="14.4" x14ac:dyDescent="0.3">
      <c r="C18" s="17"/>
      <c r="D18" s="17"/>
      <c r="G18" s="19"/>
    </row>
    <row r="19" spans="3:11" ht="14.4" x14ac:dyDescent="0.3">
      <c r="C19" s="17"/>
      <c r="D19" s="17"/>
      <c r="G19" s="19"/>
    </row>
    <row r="20" spans="3:11" ht="14.4" x14ac:dyDescent="0.3">
      <c r="C20" s="17"/>
      <c r="D20" s="17"/>
      <c r="G20" s="19"/>
    </row>
    <row r="21" spans="3:11" ht="14.4" x14ac:dyDescent="0.3">
      <c r="C21" s="17"/>
      <c r="D21" s="17"/>
      <c r="G21" s="19"/>
    </row>
    <row r="26" spans="3:11" ht="13.8" x14ac:dyDescent="0.25">
      <c r="C26" s="22" t="s">
        <v>17</v>
      </c>
      <c r="D26" s="22" t="s">
        <v>16</v>
      </c>
      <c r="E26" s="22" t="s">
        <v>53</v>
      </c>
      <c r="F26" s="22" t="s">
        <v>54</v>
      </c>
      <c r="G26" s="22" t="s">
        <v>55</v>
      </c>
      <c r="H26" s="22" t="s">
        <v>56</v>
      </c>
      <c r="I26" s="22" t="s">
        <v>58</v>
      </c>
      <c r="J26" s="22" t="s">
        <v>59</v>
      </c>
      <c r="K26" s="22" t="s">
        <v>57</v>
      </c>
    </row>
    <row r="27" spans="3:11" ht="14.4" x14ac:dyDescent="0.3">
      <c r="C27" s="23" t="s">
        <v>0</v>
      </c>
      <c r="D27" s="23" t="s">
        <v>60</v>
      </c>
      <c r="E27" s="24" t="s">
        <v>27</v>
      </c>
      <c r="F27" s="23" t="s">
        <v>61</v>
      </c>
      <c r="G27" s="23">
        <v>109</v>
      </c>
      <c r="H27" s="23" t="s">
        <v>62</v>
      </c>
      <c r="I27" s="26">
        <v>42325</v>
      </c>
      <c r="J27" s="27">
        <v>11250</v>
      </c>
      <c r="K27" s="25">
        <v>1577</v>
      </c>
    </row>
    <row r="28" spans="3:11" ht="26.4" x14ac:dyDescent="0.3">
      <c r="C28" s="23" t="s">
        <v>63</v>
      </c>
      <c r="D28" s="23" t="s">
        <v>64</v>
      </c>
      <c r="E28" s="23" t="s">
        <v>65</v>
      </c>
      <c r="F28" s="23" t="s">
        <v>66</v>
      </c>
      <c r="G28" s="23">
        <v>112</v>
      </c>
      <c r="H28" s="23" t="s">
        <v>25</v>
      </c>
      <c r="I28" s="26">
        <v>40536</v>
      </c>
      <c r="J28" s="27">
        <v>12250</v>
      </c>
      <c r="K28" s="21">
        <v>1681</v>
      </c>
    </row>
    <row r="29" spans="3:11" ht="26.4" x14ac:dyDescent="0.3">
      <c r="C29" s="23" t="s">
        <v>67</v>
      </c>
      <c r="D29" s="24" t="s">
        <v>68</v>
      </c>
      <c r="E29" s="23" t="s">
        <v>65</v>
      </c>
      <c r="F29" s="23" t="s">
        <v>69</v>
      </c>
      <c r="G29" s="23">
        <v>114</v>
      </c>
      <c r="H29" s="23" t="s">
        <v>62</v>
      </c>
      <c r="I29" s="26">
        <v>42007</v>
      </c>
      <c r="J29" s="27">
        <v>14550</v>
      </c>
      <c r="K29" s="21">
        <v>1605</v>
      </c>
    </row>
    <row r="30" spans="3:11" ht="26.4" x14ac:dyDescent="0.3">
      <c r="C30" s="23" t="s">
        <v>70</v>
      </c>
      <c r="D30" s="23" t="s">
        <v>71</v>
      </c>
      <c r="E30" s="23" t="s">
        <v>2</v>
      </c>
      <c r="F30" s="23" t="s">
        <v>72</v>
      </c>
      <c r="G30" s="23">
        <v>130</v>
      </c>
      <c r="H30" s="23" t="s">
        <v>25</v>
      </c>
      <c r="I30" s="26">
        <v>42763</v>
      </c>
      <c r="J30" s="27">
        <v>11250</v>
      </c>
      <c r="K30" s="21">
        <v>1482</v>
      </c>
    </row>
    <row r="31" spans="3:11" ht="14.4" x14ac:dyDescent="0.3">
      <c r="C31" s="23" t="s">
        <v>20</v>
      </c>
      <c r="D31" s="23" t="s">
        <v>73</v>
      </c>
      <c r="E31" s="23" t="s">
        <v>27</v>
      </c>
      <c r="F31" s="23" t="s">
        <v>74</v>
      </c>
      <c r="G31" s="23">
        <v>206</v>
      </c>
      <c r="H31" s="23" t="s">
        <v>28</v>
      </c>
      <c r="I31" s="26">
        <v>41896</v>
      </c>
      <c r="J31" s="27">
        <v>10200</v>
      </c>
      <c r="K31" s="21">
        <v>1567</v>
      </c>
    </row>
    <row r="32" spans="3:11" ht="26.4" x14ac:dyDescent="0.3">
      <c r="C32" s="23" t="s">
        <v>75</v>
      </c>
      <c r="D32" s="23" t="s">
        <v>76</v>
      </c>
      <c r="E32" s="23" t="s">
        <v>24</v>
      </c>
      <c r="F32" s="23" t="s">
        <v>77</v>
      </c>
      <c r="G32" s="23">
        <v>290</v>
      </c>
      <c r="H32" s="23" t="s">
        <v>29</v>
      </c>
      <c r="I32" s="26">
        <v>39539</v>
      </c>
      <c r="J32" s="27">
        <v>12250</v>
      </c>
      <c r="K32" s="20">
        <v>2222</v>
      </c>
    </row>
    <row r="33" spans="3:11" ht="39.6" x14ac:dyDescent="0.3">
      <c r="C33" s="23" t="s">
        <v>19</v>
      </c>
      <c r="D33" s="23" t="s">
        <v>78</v>
      </c>
      <c r="E33" s="23" t="s">
        <v>79</v>
      </c>
      <c r="F33" s="23" t="s">
        <v>80</v>
      </c>
      <c r="G33" s="23">
        <v>155</v>
      </c>
      <c r="H33" s="23" t="s">
        <v>25</v>
      </c>
      <c r="I33" s="26">
        <v>36339</v>
      </c>
      <c r="J33" s="27">
        <v>9950</v>
      </c>
      <c r="K33" s="21">
        <v>1586</v>
      </c>
    </row>
    <row r="34" spans="3:11" ht="14.4" x14ac:dyDescent="0.3">
      <c r="C34" s="23" t="s">
        <v>81</v>
      </c>
      <c r="D34" s="23" t="s">
        <v>82</v>
      </c>
      <c r="E34" s="23" t="s">
        <v>27</v>
      </c>
      <c r="F34" s="23" t="s">
        <v>83</v>
      </c>
      <c r="G34" s="23">
        <v>120</v>
      </c>
      <c r="H34" s="24" t="s">
        <v>28</v>
      </c>
      <c r="I34" s="50">
        <v>33346</v>
      </c>
      <c r="J34" s="51">
        <v>12300</v>
      </c>
      <c r="K34" s="44">
        <v>1643</v>
      </c>
    </row>
    <row r="35" spans="3:11" ht="14.4" x14ac:dyDescent="0.3">
      <c r="C35" s="24" t="s">
        <v>26</v>
      </c>
      <c r="D35" s="23" t="s">
        <v>84</v>
      </c>
      <c r="E35" s="23" t="s">
        <v>27</v>
      </c>
      <c r="F35" s="23" t="s">
        <v>85</v>
      </c>
      <c r="G35" s="23">
        <v>111</v>
      </c>
      <c r="H35" s="24" t="s">
        <v>62</v>
      </c>
      <c r="I35" s="26">
        <v>40714</v>
      </c>
      <c r="J35" s="27">
        <v>13250</v>
      </c>
      <c r="K35" s="21">
        <v>1415</v>
      </c>
    </row>
    <row r="36" spans="3:11" ht="39.6" x14ac:dyDescent="0.3">
      <c r="C36" s="23" t="s">
        <v>81</v>
      </c>
      <c r="D36" s="23" t="s">
        <v>86</v>
      </c>
      <c r="E36" s="23" t="s">
        <v>79</v>
      </c>
      <c r="F36" s="23" t="s">
        <v>83</v>
      </c>
      <c r="G36" s="23">
        <v>199</v>
      </c>
      <c r="H36" s="23" t="s">
        <v>25</v>
      </c>
      <c r="I36" s="26">
        <v>35855</v>
      </c>
      <c r="J36" s="27">
        <v>10200</v>
      </c>
      <c r="K36" s="21">
        <v>1434</v>
      </c>
    </row>
    <row r="37" spans="3:11" ht="26.4" x14ac:dyDescent="0.3">
      <c r="C37" s="23" t="s">
        <v>87</v>
      </c>
      <c r="D37" s="24" t="s">
        <v>88</v>
      </c>
      <c r="E37" s="23" t="s">
        <v>2</v>
      </c>
      <c r="F37" s="23" t="s">
        <v>89</v>
      </c>
      <c r="G37" s="23">
        <v>115</v>
      </c>
      <c r="H37" s="23" t="s">
        <v>25</v>
      </c>
      <c r="I37" s="26">
        <v>40284</v>
      </c>
      <c r="J37" s="27">
        <v>12200</v>
      </c>
      <c r="K37" s="28">
        <v>1558</v>
      </c>
    </row>
    <row r="38" spans="3:11" ht="14.4" x14ac:dyDescent="0.3">
      <c r="C38" s="23" t="s">
        <v>21</v>
      </c>
      <c r="D38" s="23" t="s">
        <v>90</v>
      </c>
      <c r="E38" s="23" t="s">
        <v>27</v>
      </c>
      <c r="F38" s="23" t="s">
        <v>91</v>
      </c>
      <c r="G38" s="23">
        <v>154</v>
      </c>
      <c r="H38" s="23" t="s">
        <v>28</v>
      </c>
      <c r="I38" s="26">
        <v>40399</v>
      </c>
      <c r="J38" s="27">
        <v>14250</v>
      </c>
      <c r="K38" s="21">
        <v>1425</v>
      </c>
    </row>
    <row r="39" spans="3:11" ht="26.4" x14ac:dyDescent="0.3">
      <c r="C39" s="23" t="s">
        <v>92</v>
      </c>
      <c r="D39" s="23" t="s">
        <v>93</v>
      </c>
      <c r="E39" s="23" t="s">
        <v>65</v>
      </c>
      <c r="F39" s="23" t="s">
        <v>94</v>
      </c>
      <c r="G39" s="23">
        <v>160</v>
      </c>
      <c r="H39" s="23" t="s">
        <v>28</v>
      </c>
      <c r="I39" s="26">
        <v>43934</v>
      </c>
      <c r="J39" s="27">
        <v>11500</v>
      </c>
      <c r="K39" s="21">
        <v>1596</v>
      </c>
    </row>
    <row r="40" spans="3:11" ht="26.4" x14ac:dyDescent="0.3">
      <c r="C40" s="23" t="s">
        <v>95</v>
      </c>
      <c r="D40" s="23" t="s">
        <v>96</v>
      </c>
      <c r="E40" s="23" t="s">
        <v>24</v>
      </c>
      <c r="F40" s="23" t="s">
        <v>97</v>
      </c>
      <c r="G40" s="23">
        <v>108</v>
      </c>
      <c r="H40" s="23" t="s">
        <v>62</v>
      </c>
      <c r="I40" s="26">
        <v>43908</v>
      </c>
      <c r="J40" s="27">
        <v>10350</v>
      </c>
      <c r="K40" s="21">
        <v>1624</v>
      </c>
    </row>
    <row r="41" spans="3:11" ht="26.4" x14ac:dyDescent="0.3">
      <c r="C41" s="23" t="s">
        <v>87</v>
      </c>
      <c r="D41" s="23" t="s">
        <v>98</v>
      </c>
      <c r="E41" s="23" t="s">
        <v>24</v>
      </c>
      <c r="F41" s="23" t="s">
        <v>89</v>
      </c>
      <c r="G41" s="23">
        <v>148</v>
      </c>
      <c r="H41" s="23" t="s">
        <v>28</v>
      </c>
      <c r="I41" s="26">
        <v>37176</v>
      </c>
      <c r="J41" s="27">
        <v>10150</v>
      </c>
      <c r="K41" s="21">
        <v>1396</v>
      </c>
    </row>
    <row r="42" spans="3:11" ht="26.4" x14ac:dyDescent="0.3">
      <c r="C42" s="23" t="s">
        <v>99</v>
      </c>
      <c r="D42" s="23" t="s">
        <v>100</v>
      </c>
      <c r="E42" s="23" t="s">
        <v>65</v>
      </c>
      <c r="F42" s="23" t="s">
        <v>101</v>
      </c>
      <c r="G42" s="23">
        <v>205</v>
      </c>
      <c r="H42" s="23" t="s">
        <v>28</v>
      </c>
      <c r="I42" s="26">
        <v>35765</v>
      </c>
      <c r="J42" s="27">
        <v>12250</v>
      </c>
      <c r="K42" s="20">
        <v>1453</v>
      </c>
    </row>
    <row r="43" spans="3:11" ht="26.4" x14ac:dyDescent="0.3">
      <c r="C43" s="23" t="s">
        <v>102</v>
      </c>
      <c r="D43" s="23" t="s">
        <v>103</v>
      </c>
      <c r="E43" s="23" t="s">
        <v>2</v>
      </c>
      <c r="F43" s="23" t="s">
        <v>104</v>
      </c>
      <c r="G43" s="23">
        <v>113</v>
      </c>
      <c r="H43" s="23" t="s">
        <v>62</v>
      </c>
      <c r="I43" s="26">
        <v>33688</v>
      </c>
      <c r="J43" s="27">
        <v>13250</v>
      </c>
      <c r="K43" s="21">
        <v>1634</v>
      </c>
    </row>
    <row r="44" spans="3:11" ht="26.4" x14ac:dyDescent="0.3">
      <c r="C44" s="23" t="s">
        <v>105</v>
      </c>
      <c r="D44" s="23" t="s">
        <v>106</v>
      </c>
      <c r="E44" s="23" t="s">
        <v>107</v>
      </c>
      <c r="F44" s="23" t="s">
        <v>108</v>
      </c>
      <c r="G44" s="23">
        <v>156</v>
      </c>
      <c r="H44" s="23" t="s">
        <v>29</v>
      </c>
      <c r="I44" s="26">
        <v>40814</v>
      </c>
      <c r="J44" s="27">
        <v>9500</v>
      </c>
      <c r="K44" s="21">
        <v>1306</v>
      </c>
    </row>
    <row r="45" spans="3:11" ht="14.4" x14ac:dyDescent="0.3">
      <c r="C45" s="23" t="s">
        <v>109</v>
      </c>
      <c r="D45" s="23" t="s">
        <v>110</v>
      </c>
      <c r="E45" s="23" t="s">
        <v>27</v>
      </c>
      <c r="F45" s="23" t="s">
        <v>111</v>
      </c>
      <c r="G45" s="23">
        <v>136</v>
      </c>
      <c r="H45" s="23" t="s">
        <v>25</v>
      </c>
      <c r="I45" s="26">
        <v>42174</v>
      </c>
      <c r="J45" s="27">
        <v>11300</v>
      </c>
      <c r="K45" s="21">
        <v>1491</v>
      </c>
    </row>
    <row r="46" spans="3:11" ht="14.4" x14ac:dyDescent="0.3">
      <c r="C46" s="23" t="s">
        <v>112</v>
      </c>
      <c r="D46" s="23" t="s">
        <v>113</v>
      </c>
      <c r="E46" s="23" t="s">
        <v>27</v>
      </c>
      <c r="F46" s="23" t="s">
        <v>114</v>
      </c>
      <c r="G46" s="23">
        <v>104</v>
      </c>
      <c r="H46" s="23" t="s">
        <v>29</v>
      </c>
      <c r="I46" s="26">
        <v>40606</v>
      </c>
      <c r="J46" s="27">
        <v>12350</v>
      </c>
      <c r="K46" s="21">
        <v>1813</v>
      </c>
    </row>
    <row r="47" spans="3:11" ht="14.4" x14ac:dyDescent="0.3">
      <c r="C47" s="23" t="s">
        <v>21</v>
      </c>
      <c r="D47" s="23" t="s">
        <v>115</v>
      </c>
      <c r="E47" s="23" t="s">
        <v>27</v>
      </c>
      <c r="F47" s="23" t="s">
        <v>91</v>
      </c>
      <c r="G47" s="23">
        <v>127</v>
      </c>
      <c r="H47" s="23" t="s">
        <v>62</v>
      </c>
      <c r="I47" s="26">
        <v>37475</v>
      </c>
      <c r="J47" s="27">
        <v>11900</v>
      </c>
      <c r="K47" s="20">
        <v>1501</v>
      </c>
    </row>
    <row r="48" spans="3:11" ht="26.4" x14ac:dyDescent="0.3">
      <c r="C48" s="23" t="s">
        <v>116</v>
      </c>
      <c r="D48" s="23" t="s">
        <v>117</v>
      </c>
      <c r="E48" s="23" t="s">
        <v>65</v>
      </c>
      <c r="F48" s="23" t="s">
        <v>118</v>
      </c>
      <c r="G48" s="23">
        <v>140</v>
      </c>
      <c r="H48" s="23" t="s">
        <v>25</v>
      </c>
      <c r="I48" s="26">
        <v>38205</v>
      </c>
      <c r="J48" s="27">
        <v>11850</v>
      </c>
      <c r="K48" s="21">
        <v>1368</v>
      </c>
    </row>
    <row r="49" spans="3:11" ht="14.4" x14ac:dyDescent="0.3">
      <c r="C49" s="23" t="s">
        <v>21</v>
      </c>
      <c r="D49" s="23" t="s">
        <v>119</v>
      </c>
      <c r="E49" s="23" t="s">
        <v>27</v>
      </c>
      <c r="F49" s="23" t="s">
        <v>120</v>
      </c>
      <c r="G49" s="23">
        <v>103</v>
      </c>
      <c r="H49" s="23" t="s">
        <v>29</v>
      </c>
      <c r="I49" s="26">
        <v>40396</v>
      </c>
      <c r="J49" s="27">
        <v>10750</v>
      </c>
      <c r="K49" s="20">
        <v>1303</v>
      </c>
    </row>
    <row r="50" spans="3:11" ht="26.4" x14ac:dyDescent="0.3">
      <c r="C50" s="23" t="s">
        <v>121</v>
      </c>
      <c r="D50" s="24" t="s">
        <v>122</v>
      </c>
      <c r="E50" s="24" t="s">
        <v>107</v>
      </c>
      <c r="F50" s="23" t="s">
        <v>123</v>
      </c>
      <c r="G50" s="23">
        <v>129</v>
      </c>
      <c r="H50" s="23" t="s">
        <v>28</v>
      </c>
      <c r="I50" s="26">
        <v>28376</v>
      </c>
      <c r="J50" s="27">
        <v>9750</v>
      </c>
      <c r="K50" s="44">
        <v>1463</v>
      </c>
    </row>
    <row r="51" spans="3:11" ht="14.4" x14ac:dyDescent="0.3">
      <c r="C51" s="23" t="s">
        <v>124</v>
      </c>
      <c r="D51" s="23" t="s">
        <v>18</v>
      </c>
      <c r="E51" s="23" t="s">
        <v>27</v>
      </c>
      <c r="F51" s="23" t="s">
        <v>125</v>
      </c>
      <c r="G51" s="23">
        <v>203</v>
      </c>
      <c r="H51" s="23" t="s">
        <v>28</v>
      </c>
      <c r="I51" s="26">
        <v>35523</v>
      </c>
      <c r="J51" s="27">
        <v>13950</v>
      </c>
      <c r="K51" s="21">
        <v>1653</v>
      </c>
    </row>
    <row r="52" spans="3:11" ht="26.4" x14ac:dyDescent="0.3">
      <c r="C52" s="23" t="s">
        <v>21</v>
      </c>
      <c r="D52" s="23" t="s">
        <v>126</v>
      </c>
      <c r="E52" s="23" t="s">
        <v>24</v>
      </c>
      <c r="F52" s="23" t="s">
        <v>91</v>
      </c>
      <c r="G52" s="23">
        <v>151</v>
      </c>
      <c r="H52" s="23" t="s">
        <v>25</v>
      </c>
      <c r="I52" s="26">
        <v>39034</v>
      </c>
      <c r="J52" s="27">
        <v>11200</v>
      </c>
      <c r="K52" s="21">
        <v>1548</v>
      </c>
    </row>
    <row r="53" spans="3:11" ht="39.6" x14ac:dyDescent="0.3">
      <c r="C53" s="23" t="s">
        <v>81</v>
      </c>
      <c r="D53" s="23" t="s">
        <v>127</v>
      </c>
      <c r="E53" s="23" t="s">
        <v>79</v>
      </c>
      <c r="F53" s="23" t="s">
        <v>83</v>
      </c>
      <c r="G53" s="23">
        <v>119</v>
      </c>
      <c r="H53" s="23" t="s">
        <v>62</v>
      </c>
      <c r="I53" s="26">
        <v>40199</v>
      </c>
      <c r="J53" s="27">
        <v>10300</v>
      </c>
      <c r="K53" s="21">
        <v>1510</v>
      </c>
    </row>
    <row r="54" spans="3:11" ht="26.4" x14ac:dyDescent="0.3">
      <c r="C54" s="23" t="s">
        <v>21</v>
      </c>
      <c r="D54" s="23" t="s">
        <v>127</v>
      </c>
      <c r="E54" s="23" t="s">
        <v>107</v>
      </c>
      <c r="F54" s="23" t="s">
        <v>91</v>
      </c>
      <c r="G54" s="23">
        <v>126</v>
      </c>
      <c r="H54" s="23" t="s">
        <v>62</v>
      </c>
      <c r="I54" s="26">
        <v>38777</v>
      </c>
      <c r="J54" s="27">
        <v>12250</v>
      </c>
      <c r="K54" s="20">
        <v>1539</v>
      </c>
    </row>
    <row r="55" spans="3:11" ht="26.4" x14ac:dyDescent="0.3">
      <c r="C55" s="23" t="s">
        <v>20</v>
      </c>
      <c r="D55" s="23" t="s">
        <v>127</v>
      </c>
      <c r="E55" s="23" t="s">
        <v>65</v>
      </c>
      <c r="F55" s="23" t="s">
        <v>74</v>
      </c>
      <c r="G55" s="23">
        <v>122</v>
      </c>
      <c r="H55" s="23" t="s">
        <v>25</v>
      </c>
      <c r="I55" s="26">
        <v>37189</v>
      </c>
      <c r="J55" s="27">
        <v>10250</v>
      </c>
      <c r="K55" s="21">
        <v>1529</v>
      </c>
    </row>
    <row r="56" spans="3:11" ht="26.4" x14ac:dyDescent="0.3">
      <c r="C56" s="23" t="s">
        <v>128</v>
      </c>
      <c r="D56" s="23" t="s">
        <v>127</v>
      </c>
      <c r="E56" s="23" t="s">
        <v>65</v>
      </c>
      <c r="F56" s="23" t="s">
        <v>129</v>
      </c>
      <c r="G56" s="23">
        <v>102</v>
      </c>
      <c r="H56" s="23" t="s">
        <v>62</v>
      </c>
      <c r="I56" s="26">
        <v>37712</v>
      </c>
      <c r="J56" s="27">
        <v>9850</v>
      </c>
      <c r="K56" s="21">
        <v>1520</v>
      </c>
    </row>
    <row r="57" spans="3:11" ht="26.4" x14ac:dyDescent="0.3">
      <c r="C57" s="23" t="s">
        <v>87</v>
      </c>
      <c r="D57" s="23" t="s">
        <v>130</v>
      </c>
      <c r="E57" s="23" t="s">
        <v>2</v>
      </c>
      <c r="F57" s="23" t="s">
        <v>89</v>
      </c>
      <c r="G57" s="23">
        <v>146</v>
      </c>
      <c r="H57" s="23" t="s">
        <v>25</v>
      </c>
      <c r="I57" s="26">
        <v>39854</v>
      </c>
      <c r="J57" s="27">
        <v>11650</v>
      </c>
      <c r="K57" s="21">
        <v>1406</v>
      </c>
    </row>
    <row r="58" spans="3:11" ht="26.4" x14ac:dyDescent="0.3">
      <c r="C58" s="23" t="s">
        <v>19</v>
      </c>
      <c r="D58" s="23" t="s">
        <v>131</v>
      </c>
      <c r="E58" s="23" t="s">
        <v>107</v>
      </c>
      <c r="F58" s="23" t="s">
        <v>80</v>
      </c>
      <c r="G58" s="23">
        <v>124</v>
      </c>
      <c r="H58" s="23" t="s">
        <v>25</v>
      </c>
      <c r="I58" s="26">
        <v>42998</v>
      </c>
      <c r="J58" s="27">
        <v>9250</v>
      </c>
      <c r="K58" s="21">
        <v>1387</v>
      </c>
    </row>
    <row r="59" spans="3:11" ht="26.4" x14ac:dyDescent="0.3">
      <c r="C59" s="23" t="s">
        <v>112</v>
      </c>
      <c r="D59" s="23" t="s">
        <v>132</v>
      </c>
      <c r="E59" s="23" t="s">
        <v>65</v>
      </c>
      <c r="F59" s="23" t="s">
        <v>133</v>
      </c>
      <c r="G59" s="23">
        <v>116</v>
      </c>
      <c r="H59" s="23" t="s">
        <v>25</v>
      </c>
      <c r="I59" s="26">
        <v>41938</v>
      </c>
      <c r="J59" s="27">
        <v>9250</v>
      </c>
      <c r="K59" s="20">
        <v>1444</v>
      </c>
    </row>
    <row r="60" spans="3:11" ht="26.4" x14ac:dyDescent="0.3">
      <c r="C60" s="23" t="s">
        <v>128</v>
      </c>
      <c r="D60" s="23" t="s">
        <v>134</v>
      </c>
      <c r="E60" s="23" t="s">
        <v>107</v>
      </c>
      <c r="F60" s="23" t="s">
        <v>135</v>
      </c>
      <c r="G60" s="23">
        <v>199</v>
      </c>
      <c r="H60" s="23" t="s">
        <v>25</v>
      </c>
      <c r="I60" s="26">
        <v>35840</v>
      </c>
      <c r="J60" s="27">
        <v>11000</v>
      </c>
      <c r="K60" s="21">
        <v>1615</v>
      </c>
    </row>
    <row r="61" spans="3:11" ht="26.4" x14ac:dyDescent="0.3">
      <c r="C61" s="23" t="s">
        <v>136</v>
      </c>
      <c r="D61" s="23" t="s">
        <v>137</v>
      </c>
      <c r="E61" s="23" t="s">
        <v>2</v>
      </c>
      <c r="F61" s="23" t="s">
        <v>138</v>
      </c>
      <c r="G61" s="23">
        <v>429</v>
      </c>
      <c r="H61" s="23" t="s">
        <v>29</v>
      </c>
      <c r="I61" s="26">
        <v>39999</v>
      </c>
      <c r="J61" s="27">
        <v>10950</v>
      </c>
      <c r="K61" s="21">
        <v>1904</v>
      </c>
    </row>
    <row r="62" spans="3:11" ht="26.4" x14ac:dyDescent="0.3">
      <c r="C62" s="23" t="s">
        <v>139</v>
      </c>
      <c r="D62" s="23" t="s">
        <v>140</v>
      </c>
      <c r="E62" s="23" t="s">
        <v>65</v>
      </c>
      <c r="F62" s="23" t="s">
        <v>141</v>
      </c>
      <c r="G62" s="23">
        <v>128</v>
      </c>
      <c r="H62" s="23" t="s">
        <v>25</v>
      </c>
      <c r="I62" s="26">
        <v>40898</v>
      </c>
      <c r="J62" s="27">
        <v>11750</v>
      </c>
      <c r="K62" s="21">
        <v>1377</v>
      </c>
    </row>
    <row r="63" spans="3:11" ht="26.4" x14ac:dyDescent="0.3">
      <c r="C63" s="23" t="s">
        <v>142</v>
      </c>
      <c r="D63" s="23" t="s">
        <v>143</v>
      </c>
      <c r="E63" s="23" t="s">
        <v>24</v>
      </c>
      <c r="F63" s="23" t="s">
        <v>144</v>
      </c>
      <c r="G63" s="23">
        <v>150</v>
      </c>
      <c r="H63" s="23" t="s">
        <v>25</v>
      </c>
      <c r="I63" s="26">
        <v>43083</v>
      </c>
      <c r="J63" s="27">
        <v>10150</v>
      </c>
      <c r="K63" s="21">
        <v>1472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1FBD-BE92-4410-B0C0-FFFEE9C1A91C}">
  <sheetPr>
    <tabColor rgb="FF00B050"/>
  </sheetPr>
  <dimension ref="A1:P38"/>
  <sheetViews>
    <sheetView topLeftCell="D1" zoomScaleNormal="100" workbookViewId="0">
      <selection activeCell="M19" sqref="M19:M21"/>
    </sheetView>
  </sheetViews>
  <sheetFormatPr defaultRowHeight="14.25" customHeight="1" x14ac:dyDescent="0.3"/>
  <cols>
    <col min="2" max="8" width="14.109375" style="29" customWidth="1"/>
    <col min="9" max="9" width="14.109375" style="7" customWidth="1"/>
    <col min="10" max="10" width="14.109375" style="29" customWidth="1"/>
    <col min="11" max="11" width="14.109375" customWidth="1"/>
    <col min="12" max="12" width="15.5546875" style="7" customWidth="1"/>
    <col min="13" max="16" width="12.33203125" style="7" customWidth="1"/>
    <col min="17" max="16384" width="8.88671875" style="7"/>
  </cols>
  <sheetData>
    <row r="1" spans="2:16" ht="24.75" customHeight="1" x14ac:dyDescent="0.3">
      <c r="B1" s="22" t="s">
        <v>17</v>
      </c>
      <c r="C1" s="22" t="s">
        <v>16</v>
      </c>
      <c r="D1" s="22" t="s">
        <v>53</v>
      </c>
      <c r="E1" s="22" t="s">
        <v>54</v>
      </c>
      <c r="F1" s="22" t="s">
        <v>55</v>
      </c>
      <c r="G1" s="22" t="s">
        <v>56</v>
      </c>
      <c r="H1" s="22" t="s">
        <v>58</v>
      </c>
      <c r="I1" s="22" t="s">
        <v>59</v>
      </c>
      <c r="J1" s="22" t="s">
        <v>57</v>
      </c>
    </row>
    <row r="2" spans="2:16" ht="14.25" customHeight="1" x14ac:dyDescent="0.3">
      <c r="B2" s="23" t="s">
        <v>0</v>
      </c>
      <c r="C2" s="23" t="s">
        <v>60</v>
      </c>
      <c r="D2" s="24" t="s">
        <v>27</v>
      </c>
      <c r="E2" s="23" t="s">
        <v>61</v>
      </c>
      <c r="F2" s="23">
        <v>109</v>
      </c>
      <c r="G2" s="23" t="s">
        <v>62</v>
      </c>
      <c r="H2" s="26">
        <v>42325</v>
      </c>
      <c r="I2" s="27">
        <v>11250</v>
      </c>
      <c r="J2" s="25">
        <v>1577</v>
      </c>
    </row>
    <row r="3" spans="2:16" ht="14.25" customHeight="1" x14ac:dyDescent="0.3">
      <c r="B3" s="23" t="s">
        <v>63</v>
      </c>
      <c r="C3" s="23" t="s">
        <v>64</v>
      </c>
      <c r="D3" s="23" t="s">
        <v>65</v>
      </c>
      <c r="E3" s="23" t="s">
        <v>66</v>
      </c>
      <c r="F3" s="23">
        <v>112</v>
      </c>
      <c r="G3" s="23" t="s">
        <v>25</v>
      </c>
      <c r="H3" s="26">
        <v>40536</v>
      </c>
      <c r="I3" s="27">
        <v>12250</v>
      </c>
      <c r="J3" s="21">
        <v>1681</v>
      </c>
    </row>
    <row r="4" spans="2:16" ht="14.25" customHeight="1" x14ac:dyDescent="0.3">
      <c r="B4" s="23" t="s">
        <v>67</v>
      </c>
      <c r="C4" s="23" t="s">
        <v>68</v>
      </c>
      <c r="D4" s="23" t="s">
        <v>65</v>
      </c>
      <c r="E4" s="23" t="s">
        <v>69</v>
      </c>
      <c r="F4" s="23">
        <v>114</v>
      </c>
      <c r="G4" s="23" t="s">
        <v>62</v>
      </c>
      <c r="H4" s="26">
        <v>42007</v>
      </c>
      <c r="I4" s="27">
        <v>14550</v>
      </c>
      <c r="J4" s="21">
        <v>1605</v>
      </c>
    </row>
    <row r="5" spans="2:16" ht="14.25" customHeight="1" x14ac:dyDescent="0.3">
      <c r="B5" s="23" t="s">
        <v>70</v>
      </c>
      <c r="C5" s="23" t="s">
        <v>71</v>
      </c>
      <c r="D5" s="23" t="s">
        <v>2</v>
      </c>
      <c r="E5" s="23" t="s">
        <v>72</v>
      </c>
      <c r="F5" s="23">
        <v>130</v>
      </c>
      <c r="G5" s="23" t="s">
        <v>25</v>
      </c>
      <c r="H5" s="26">
        <v>42763</v>
      </c>
      <c r="I5" s="27">
        <v>11250</v>
      </c>
      <c r="J5" s="21">
        <v>1482</v>
      </c>
      <c r="L5" s="22" t="s">
        <v>57</v>
      </c>
      <c r="M5" s="22" t="s">
        <v>56</v>
      </c>
    </row>
    <row r="6" spans="2:16" ht="14.25" customHeight="1" x14ac:dyDescent="0.3">
      <c r="B6" s="23" t="s">
        <v>20</v>
      </c>
      <c r="C6" s="23" t="s">
        <v>73</v>
      </c>
      <c r="D6" s="23" t="s">
        <v>27</v>
      </c>
      <c r="E6" s="23" t="s">
        <v>74</v>
      </c>
      <c r="F6" s="23">
        <v>206</v>
      </c>
      <c r="G6" s="23" t="s">
        <v>28</v>
      </c>
      <c r="H6" s="26">
        <v>41896</v>
      </c>
      <c r="I6" s="27">
        <v>10200</v>
      </c>
      <c r="J6" s="21">
        <v>1567</v>
      </c>
      <c r="L6" s="8">
        <v>1577</v>
      </c>
      <c r="M6" s="8" t="str" cm="1">
        <f t="array" ref="M6:P6">_xlfn.XLOOKUP(L6,J:J,B:E,"",0)</f>
        <v>Rahim</v>
      </c>
      <c r="N6" s="54" t="str">
        <v>Abdur</v>
      </c>
      <c r="O6" s="7" t="str">
        <v>HR</v>
      </c>
      <c r="P6" s="7" t="str">
        <v>rahim</v>
      </c>
    </row>
    <row r="7" spans="2:16" ht="14.25" customHeight="1" x14ac:dyDescent="0.3">
      <c r="B7" s="23" t="s">
        <v>75</v>
      </c>
      <c r="C7" s="23" t="s">
        <v>76</v>
      </c>
      <c r="D7" s="23" t="s">
        <v>24</v>
      </c>
      <c r="E7" s="23" t="s">
        <v>77</v>
      </c>
      <c r="F7" s="23">
        <v>290</v>
      </c>
      <c r="G7" s="23" t="s">
        <v>29</v>
      </c>
      <c r="H7" s="26">
        <v>39539</v>
      </c>
      <c r="I7" s="27">
        <v>12250</v>
      </c>
      <c r="J7" s="20">
        <v>2222</v>
      </c>
    </row>
    <row r="8" spans="2:16" ht="14.25" customHeight="1" x14ac:dyDescent="0.3">
      <c r="B8" s="23" t="s">
        <v>19</v>
      </c>
      <c r="C8" s="23" t="s">
        <v>78</v>
      </c>
      <c r="D8" s="23" t="s">
        <v>79</v>
      </c>
      <c r="E8" s="23" t="s">
        <v>80</v>
      </c>
      <c r="F8" s="23">
        <v>155</v>
      </c>
      <c r="G8" s="23" t="s">
        <v>25</v>
      </c>
      <c r="H8" s="26">
        <v>36339</v>
      </c>
      <c r="I8" s="27">
        <v>9950</v>
      </c>
      <c r="J8" s="21">
        <v>1586</v>
      </c>
    </row>
    <row r="9" spans="2:16" ht="14.25" customHeight="1" x14ac:dyDescent="0.3">
      <c r="B9" s="23" t="s">
        <v>81</v>
      </c>
      <c r="C9" s="23" t="s">
        <v>82</v>
      </c>
      <c r="D9" s="23" t="s">
        <v>27</v>
      </c>
      <c r="E9" s="23" t="s">
        <v>83</v>
      </c>
      <c r="F9" s="23">
        <v>120</v>
      </c>
      <c r="G9" s="24" t="s">
        <v>28</v>
      </c>
      <c r="H9" s="50">
        <v>33346</v>
      </c>
      <c r="I9" s="51">
        <v>12300</v>
      </c>
      <c r="J9" s="44">
        <v>1643</v>
      </c>
    </row>
    <row r="10" spans="2:16" ht="14.25" customHeight="1" x14ac:dyDescent="0.3">
      <c r="B10" s="24" t="s">
        <v>26</v>
      </c>
      <c r="C10" s="23" t="s">
        <v>84</v>
      </c>
      <c r="D10" s="23" t="s">
        <v>27</v>
      </c>
      <c r="E10" s="23" t="s">
        <v>85</v>
      </c>
      <c r="F10" s="23">
        <v>111</v>
      </c>
      <c r="G10" s="24" t="s">
        <v>62</v>
      </c>
      <c r="H10" s="26">
        <v>40714</v>
      </c>
      <c r="I10" s="27">
        <v>13250</v>
      </c>
      <c r="J10" s="21">
        <v>1415</v>
      </c>
      <c r="L10" s="7" t="s">
        <v>238</v>
      </c>
      <c r="M10" s="7" t="s">
        <v>239</v>
      </c>
    </row>
    <row r="11" spans="2:16" ht="14.25" customHeight="1" x14ac:dyDescent="0.3">
      <c r="B11" s="23" t="s">
        <v>81</v>
      </c>
      <c r="C11" s="23" t="s">
        <v>86</v>
      </c>
      <c r="D11" s="23" t="s">
        <v>79</v>
      </c>
      <c r="E11" s="23" t="s">
        <v>83</v>
      </c>
      <c r="F11" s="23">
        <v>199</v>
      </c>
      <c r="G11" s="23" t="s">
        <v>25</v>
      </c>
      <c r="H11" s="26">
        <v>35855</v>
      </c>
      <c r="I11" s="27">
        <v>10200</v>
      </c>
      <c r="J11" s="21">
        <v>1434</v>
      </c>
      <c r="L11" s="7" t="s">
        <v>235</v>
      </c>
      <c r="M11" s="7">
        <v>2</v>
      </c>
    </row>
    <row r="12" spans="2:16" ht="14.25" customHeight="1" x14ac:dyDescent="0.3">
      <c r="B12" s="23" t="s">
        <v>87</v>
      </c>
      <c r="C12" s="24" t="s">
        <v>88</v>
      </c>
      <c r="D12" s="23" t="s">
        <v>2</v>
      </c>
      <c r="E12" s="23" t="s">
        <v>89</v>
      </c>
      <c r="F12" s="23">
        <v>115</v>
      </c>
      <c r="G12" s="23" t="s">
        <v>25</v>
      </c>
      <c r="H12" s="26">
        <v>40284</v>
      </c>
      <c r="I12" s="27">
        <v>12200</v>
      </c>
      <c r="J12" s="28">
        <v>1558</v>
      </c>
      <c r="L12" s="7" t="s">
        <v>236</v>
      </c>
      <c r="M12" s="7">
        <v>3</v>
      </c>
    </row>
    <row r="13" spans="2:16" ht="14.25" customHeight="1" x14ac:dyDescent="0.3">
      <c r="B13" s="23" t="s">
        <v>21</v>
      </c>
      <c r="C13" s="23" t="s">
        <v>90</v>
      </c>
      <c r="D13" s="23" t="s">
        <v>27</v>
      </c>
      <c r="E13" s="23" t="s">
        <v>91</v>
      </c>
      <c r="F13" s="23">
        <v>154</v>
      </c>
      <c r="G13" s="23" t="s">
        <v>28</v>
      </c>
      <c r="H13" s="26">
        <v>40399</v>
      </c>
      <c r="I13" s="27">
        <v>14250</v>
      </c>
      <c r="J13" s="21">
        <v>1425</v>
      </c>
      <c r="L13" s="7" t="s">
        <v>235</v>
      </c>
      <c r="M13" s="7">
        <v>4</v>
      </c>
    </row>
    <row r="14" spans="2:16" ht="14.25" customHeight="1" x14ac:dyDescent="0.3">
      <c r="B14" s="23" t="s">
        <v>92</v>
      </c>
      <c r="C14" s="23" t="s">
        <v>93</v>
      </c>
      <c r="D14" s="23" t="s">
        <v>65</v>
      </c>
      <c r="E14" s="23" t="s">
        <v>94</v>
      </c>
      <c r="F14" s="23">
        <v>160</v>
      </c>
      <c r="G14" s="23" t="s">
        <v>28</v>
      </c>
      <c r="H14" s="26">
        <v>43934</v>
      </c>
      <c r="I14" s="27">
        <v>11500</v>
      </c>
      <c r="J14" s="21">
        <v>1596</v>
      </c>
      <c r="L14" s="7" t="s">
        <v>237</v>
      </c>
      <c r="M14" s="7">
        <v>5</v>
      </c>
    </row>
    <row r="15" spans="2:16" ht="14.25" customHeight="1" x14ac:dyDescent="0.3">
      <c r="B15" s="23" t="s">
        <v>95</v>
      </c>
      <c r="C15" s="23" t="s">
        <v>96</v>
      </c>
      <c r="D15" s="23" t="s">
        <v>24</v>
      </c>
      <c r="E15" s="23" t="s">
        <v>97</v>
      </c>
      <c r="F15" s="23">
        <v>108</v>
      </c>
      <c r="G15" s="23" t="s">
        <v>62</v>
      </c>
      <c r="H15" s="26">
        <v>43908</v>
      </c>
      <c r="I15" s="27">
        <v>10350</v>
      </c>
      <c r="J15" s="21">
        <v>1624</v>
      </c>
    </row>
    <row r="16" spans="2:16" ht="14.25" customHeight="1" x14ac:dyDescent="0.3">
      <c r="B16" s="23" t="s">
        <v>87</v>
      </c>
      <c r="C16" s="23" t="s">
        <v>98</v>
      </c>
      <c r="D16" s="23" t="s">
        <v>24</v>
      </c>
      <c r="E16" s="23" t="s">
        <v>89</v>
      </c>
      <c r="F16" s="23">
        <v>148</v>
      </c>
      <c r="G16" s="23" t="s">
        <v>28</v>
      </c>
      <c r="H16" s="26">
        <v>37176</v>
      </c>
      <c r="I16" s="27">
        <v>10150</v>
      </c>
      <c r="J16" s="21">
        <v>1396</v>
      </c>
    </row>
    <row r="17" spans="2:13" ht="14.25" customHeight="1" x14ac:dyDescent="0.3">
      <c r="B17" s="23" t="s">
        <v>99</v>
      </c>
      <c r="C17" s="23" t="s">
        <v>100</v>
      </c>
      <c r="D17" s="23" t="s">
        <v>65</v>
      </c>
      <c r="E17" s="23" t="s">
        <v>101</v>
      </c>
      <c r="F17" s="23">
        <v>205</v>
      </c>
      <c r="G17" s="23" t="s">
        <v>28</v>
      </c>
      <c r="H17" s="26">
        <v>35765</v>
      </c>
      <c r="I17" s="27">
        <v>12250</v>
      </c>
      <c r="J17" s="20">
        <v>1453</v>
      </c>
    </row>
    <row r="18" spans="2:13" ht="14.25" customHeight="1" x14ac:dyDescent="0.3">
      <c r="B18" s="23" t="s">
        <v>102</v>
      </c>
      <c r="C18" s="23" t="s">
        <v>103</v>
      </c>
      <c r="D18" s="23" t="s">
        <v>2</v>
      </c>
      <c r="E18" s="23" t="s">
        <v>104</v>
      </c>
      <c r="F18" s="23">
        <v>113</v>
      </c>
      <c r="G18" s="23" t="s">
        <v>62</v>
      </c>
      <c r="H18" s="26">
        <v>33688</v>
      </c>
      <c r="I18" s="27">
        <v>13250</v>
      </c>
      <c r="J18" s="21">
        <v>1634</v>
      </c>
      <c r="L18" s="7" t="s">
        <v>238</v>
      </c>
      <c r="M18" s="7" t="s">
        <v>239</v>
      </c>
    </row>
    <row r="19" spans="2:13" ht="14.25" customHeight="1" x14ac:dyDescent="0.3">
      <c r="B19" s="23" t="s">
        <v>105</v>
      </c>
      <c r="C19" s="23" t="s">
        <v>106</v>
      </c>
      <c r="D19" s="23" t="s">
        <v>107</v>
      </c>
      <c r="E19" s="23" t="s">
        <v>108</v>
      </c>
      <c r="F19" s="23">
        <v>156</v>
      </c>
      <c r="G19" s="23" t="s">
        <v>29</v>
      </c>
      <c r="H19" s="26">
        <v>40814</v>
      </c>
      <c r="I19" s="27">
        <v>9500</v>
      </c>
      <c r="J19" s="21">
        <v>1306</v>
      </c>
      <c r="L19" s="7" t="str" cm="1">
        <f t="array" ref="L19:L21">_xlfn.UNIQUE(L11:L14)</f>
        <v>mas123</v>
      </c>
      <c r="M19" s="7">
        <f>SUMIF($L$11:$L$14,L19,$M$11:$M$14)</f>
        <v>6</v>
      </c>
    </row>
    <row r="20" spans="2:13" ht="14.25" customHeight="1" x14ac:dyDescent="0.3">
      <c r="B20" s="23" t="s">
        <v>109</v>
      </c>
      <c r="C20" s="23" t="s">
        <v>110</v>
      </c>
      <c r="D20" s="23" t="s">
        <v>27</v>
      </c>
      <c r="E20" s="23" t="s">
        <v>111</v>
      </c>
      <c r="F20" s="23">
        <v>136</v>
      </c>
      <c r="G20" s="23" t="s">
        <v>25</v>
      </c>
      <c r="H20" s="26">
        <v>42174</v>
      </c>
      <c r="I20" s="27">
        <v>11300</v>
      </c>
      <c r="J20" s="21">
        <v>1491</v>
      </c>
      <c r="L20" s="7" t="str">
        <v>zam123</v>
      </c>
      <c r="M20" s="7">
        <f t="shared" ref="M20:M21" si="0">SUMIF($L$11:$L$14,L20,$M$11:$M$14)</f>
        <v>3</v>
      </c>
    </row>
    <row r="21" spans="2:13" ht="14.25" customHeight="1" x14ac:dyDescent="0.3">
      <c r="B21" s="23" t="s">
        <v>112</v>
      </c>
      <c r="C21" s="23" t="s">
        <v>113</v>
      </c>
      <c r="D21" s="23" t="s">
        <v>27</v>
      </c>
      <c r="E21" s="23" t="s">
        <v>114</v>
      </c>
      <c r="F21" s="23">
        <v>104</v>
      </c>
      <c r="G21" s="23" t="s">
        <v>29</v>
      </c>
      <c r="H21" s="26">
        <v>40606</v>
      </c>
      <c r="I21" s="27">
        <v>12350</v>
      </c>
      <c r="J21" s="21">
        <v>1813</v>
      </c>
      <c r="L21" s="7" t="str">
        <v>rut123</v>
      </c>
      <c r="M21" s="7">
        <f t="shared" si="0"/>
        <v>5</v>
      </c>
    </row>
    <row r="22" spans="2:13" ht="14.25" customHeight="1" x14ac:dyDescent="0.3">
      <c r="B22" s="23" t="s">
        <v>21</v>
      </c>
      <c r="C22" s="23" t="s">
        <v>115</v>
      </c>
      <c r="D22" s="23" t="s">
        <v>27</v>
      </c>
      <c r="E22" s="23" t="s">
        <v>91</v>
      </c>
      <c r="F22" s="23">
        <v>127</v>
      </c>
      <c r="G22" s="23" t="s">
        <v>62</v>
      </c>
      <c r="H22" s="26">
        <v>37475</v>
      </c>
      <c r="I22" s="27">
        <v>11900</v>
      </c>
      <c r="J22" s="20">
        <v>1501</v>
      </c>
    </row>
    <row r="23" spans="2:13" ht="14.25" customHeight="1" x14ac:dyDescent="0.3">
      <c r="B23" s="23" t="s">
        <v>116</v>
      </c>
      <c r="C23" s="23" t="s">
        <v>117</v>
      </c>
      <c r="D23" s="23" t="s">
        <v>65</v>
      </c>
      <c r="E23" s="23" t="s">
        <v>118</v>
      </c>
      <c r="F23" s="23">
        <v>140</v>
      </c>
      <c r="G23" s="23" t="s">
        <v>25</v>
      </c>
      <c r="H23" s="26">
        <v>38205</v>
      </c>
      <c r="I23" s="27">
        <v>11850</v>
      </c>
      <c r="J23" s="21">
        <v>1368</v>
      </c>
    </row>
    <row r="24" spans="2:13" ht="14.25" customHeight="1" x14ac:dyDescent="0.3">
      <c r="B24" s="23" t="s">
        <v>21</v>
      </c>
      <c r="C24" s="23" t="s">
        <v>119</v>
      </c>
      <c r="D24" s="23" t="s">
        <v>27</v>
      </c>
      <c r="E24" s="23" t="s">
        <v>120</v>
      </c>
      <c r="F24" s="23">
        <v>103</v>
      </c>
      <c r="G24" s="23" t="s">
        <v>29</v>
      </c>
      <c r="H24" s="26">
        <v>40396</v>
      </c>
      <c r="I24" s="27">
        <v>10750</v>
      </c>
      <c r="J24" s="20">
        <v>1303</v>
      </c>
    </row>
    <row r="25" spans="2:13" ht="14.25" customHeight="1" x14ac:dyDescent="0.3">
      <c r="B25" s="23" t="s">
        <v>121</v>
      </c>
      <c r="C25" s="24" t="s">
        <v>122</v>
      </c>
      <c r="D25" s="24" t="s">
        <v>107</v>
      </c>
      <c r="E25" s="23" t="s">
        <v>123</v>
      </c>
      <c r="F25" s="23">
        <v>129</v>
      </c>
      <c r="G25" s="23" t="s">
        <v>28</v>
      </c>
      <c r="H25" s="26">
        <v>28376</v>
      </c>
      <c r="I25" s="27">
        <v>9750</v>
      </c>
      <c r="J25" s="44">
        <v>1463</v>
      </c>
    </row>
    <row r="26" spans="2:13" ht="14.25" customHeight="1" x14ac:dyDescent="0.3">
      <c r="B26" s="23" t="s">
        <v>124</v>
      </c>
      <c r="C26" s="23" t="s">
        <v>18</v>
      </c>
      <c r="D26" s="23" t="s">
        <v>27</v>
      </c>
      <c r="E26" s="23" t="s">
        <v>125</v>
      </c>
      <c r="F26" s="23">
        <v>203</v>
      </c>
      <c r="G26" s="23" t="s">
        <v>28</v>
      </c>
      <c r="H26" s="26">
        <v>35523</v>
      </c>
      <c r="I26" s="27">
        <v>13950</v>
      </c>
      <c r="J26" s="21">
        <v>1653</v>
      </c>
    </row>
    <row r="27" spans="2:13" ht="14.25" customHeight="1" x14ac:dyDescent="0.3">
      <c r="B27" s="23" t="s">
        <v>21</v>
      </c>
      <c r="C27" s="23" t="s">
        <v>126</v>
      </c>
      <c r="D27" s="23" t="s">
        <v>24</v>
      </c>
      <c r="E27" s="23" t="s">
        <v>91</v>
      </c>
      <c r="F27" s="23">
        <v>151</v>
      </c>
      <c r="G27" s="23" t="s">
        <v>25</v>
      </c>
      <c r="H27" s="26">
        <v>39034</v>
      </c>
      <c r="I27" s="27">
        <v>11200</v>
      </c>
      <c r="J27" s="21">
        <v>1548</v>
      </c>
    </row>
    <row r="28" spans="2:13" ht="14.25" customHeight="1" x14ac:dyDescent="0.3">
      <c r="B28" s="23" t="s">
        <v>81</v>
      </c>
      <c r="C28" s="23" t="s">
        <v>127</v>
      </c>
      <c r="D28" s="23" t="s">
        <v>79</v>
      </c>
      <c r="E28" s="23" t="s">
        <v>83</v>
      </c>
      <c r="F28" s="23">
        <v>119</v>
      </c>
      <c r="G28" s="23" t="s">
        <v>62</v>
      </c>
      <c r="H28" s="26">
        <v>40199</v>
      </c>
      <c r="I28" s="27">
        <v>10300</v>
      </c>
      <c r="J28" s="21">
        <v>1510</v>
      </c>
    </row>
    <row r="29" spans="2:13" ht="14.25" customHeight="1" x14ac:dyDescent="0.3">
      <c r="B29" s="23" t="s">
        <v>21</v>
      </c>
      <c r="C29" s="23" t="s">
        <v>127</v>
      </c>
      <c r="D29" s="23" t="s">
        <v>107</v>
      </c>
      <c r="E29" s="23" t="s">
        <v>91</v>
      </c>
      <c r="F29" s="23">
        <v>126</v>
      </c>
      <c r="G29" s="23" t="s">
        <v>62</v>
      </c>
      <c r="H29" s="26">
        <v>38777</v>
      </c>
      <c r="I29" s="27">
        <v>12250</v>
      </c>
      <c r="J29" s="20">
        <v>1539</v>
      </c>
    </row>
    <row r="30" spans="2:13" ht="14.25" customHeight="1" x14ac:dyDescent="0.3">
      <c r="B30" s="23" t="s">
        <v>20</v>
      </c>
      <c r="C30" s="23" t="s">
        <v>127</v>
      </c>
      <c r="D30" s="23" t="s">
        <v>65</v>
      </c>
      <c r="E30" s="23" t="s">
        <v>74</v>
      </c>
      <c r="F30" s="23">
        <v>122</v>
      </c>
      <c r="G30" s="23" t="s">
        <v>25</v>
      </c>
      <c r="H30" s="26">
        <v>37189</v>
      </c>
      <c r="I30" s="27">
        <v>10250</v>
      </c>
      <c r="J30" s="21">
        <v>1529</v>
      </c>
    </row>
    <row r="31" spans="2:13" ht="14.25" customHeight="1" x14ac:dyDescent="0.3">
      <c r="B31" s="23" t="s">
        <v>128</v>
      </c>
      <c r="C31" s="23" t="s">
        <v>127</v>
      </c>
      <c r="D31" s="23" t="s">
        <v>65</v>
      </c>
      <c r="E31" s="23" t="s">
        <v>129</v>
      </c>
      <c r="F31" s="23">
        <v>102</v>
      </c>
      <c r="G31" s="23" t="s">
        <v>62</v>
      </c>
      <c r="H31" s="26">
        <v>37712</v>
      </c>
      <c r="I31" s="27">
        <v>9850</v>
      </c>
      <c r="J31" s="21">
        <v>1520</v>
      </c>
    </row>
    <row r="32" spans="2:13" ht="14.25" customHeight="1" x14ac:dyDescent="0.3">
      <c r="B32" s="23" t="s">
        <v>87</v>
      </c>
      <c r="C32" s="23" t="s">
        <v>130</v>
      </c>
      <c r="D32" s="23" t="s">
        <v>2</v>
      </c>
      <c r="E32" s="23" t="s">
        <v>89</v>
      </c>
      <c r="F32" s="23">
        <v>146</v>
      </c>
      <c r="G32" s="23" t="s">
        <v>25</v>
      </c>
      <c r="H32" s="26">
        <v>39854</v>
      </c>
      <c r="I32" s="27">
        <v>11650</v>
      </c>
      <c r="J32" s="21">
        <v>1406</v>
      </c>
    </row>
    <row r="33" spans="2:10" ht="14.25" customHeight="1" x14ac:dyDescent="0.3">
      <c r="B33" s="23" t="s">
        <v>19</v>
      </c>
      <c r="C33" s="23" t="s">
        <v>131</v>
      </c>
      <c r="D33" s="23" t="s">
        <v>107</v>
      </c>
      <c r="E33" s="23" t="s">
        <v>80</v>
      </c>
      <c r="F33" s="23">
        <v>124</v>
      </c>
      <c r="G33" s="23" t="s">
        <v>25</v>
      </c>
      <c r="H33" s="26">
        <v>42998</v>
      </c>
      <c r="I33" s="27">
        <v>9250</v>
      </c>
      <c r="J33" s="21">
        <v>1387</v>
      </c>
    </row>
    <row r="34" spans="2:10" ht="14.25" customHeight="1" x14ac:dyDescent="0.3">
      <c r="B34" s="23" t="s">
        <v>112</v>
      </c>
      <c r="C34" s="23" t="s">
        <v>132</v>
      </c>
      <c r="D34" s="23" t="s">
        <v>65</v>
      </c>
      <c r="E34" s="23" t="s">
        <v>133</v>
      </c>
      <c r="F34" s="23">
        <v>116</v>
      </c>
      <c r="G34" s="23" t="s">
        <v>25</v>
      </c>
      <c r="H34" s="26">
        <v>41938</v>
      </c>
      <c r="I34" s="27">
        <v>9250</v>
      </c>
      <c r="J34" s="20">
        <v>1444</v>
      </c>
    </row>
    <row r="35" spans="2:10" ht="14.25" customHeight="1" x14ac:dyDescent="0.3">
      <c r="B35" s="23" t="s">
        <v>128</v>
      </c>
      <c r="C35" s="23" t="s">
        <v>134</v>
      </c>
      <c r="D35" s="23" t="s">
        <v>107</v>
      </c>
      <c r="E35" s="23" t="s">
        <v>135</v>
      </c>
      <c r="F35" s="23">
        <v>199</v>
      </c>
      <c r="G35" s="23" t="s">
        <v>25</v>
      </c>
      <c r="H35" s="26">
        <v>35840</v>
      </c>
      <c r="I35" s="27">
        <v>11000</v>
      </c>
      <c r="J35" s="21">
        <v>1615</v>
      </c>
    </row>
    <row r="36" spans="2:10" ht="14.25" customHeight="1" x14ac:dyDescent="0.3">
      <c r="B36" s="23" t="s">
        <v>136</v>
      </c>
      <c r="C36" s="23" t="s">
        <v>137</v>
      </c>
      <c r="D36" s="23" t="s">
        <v>2</v>
      </c>
      <c r="E36" s="23" t="s">
        <v>138</v>
      </c>
      <c r="F36" s="23">
        <v>429</v>
      </c>
      <c r="G36" s="23" t="s">
        <v>29</v>
      </c>
      <c r="H36" s="26">
        <v>39999</v>
      </c>
      <c r="I36" s="27">
        <v>10950</v>
      </c>
      <c r="J36" s="21">
        <v>1904</v>
      </c>
    </row>
    <row r="37" spans="2:10" ht="14.25" customHeight="1" x14ac:dyDescent="0.3">
      <c r="B37" s="23" t="s">
        <v>139</v>
      </c>
      <c r="C37" s="23" t="s">
        <v>140</v>
      </c>
      <c r="D37" s="23" t="s">
        <v>65</v>
      </c>
      <c r="E37" s="23" t="s">
        <v>141</v>
      </c>
      <c r="F37" s="23">
        <v>128</v>
      </c>
      <c r="G37" s="23" t="s">
        <v>25</v>
      </c>
      <c r="H37" s="26">
        <v>40898</v>
      </c>
      <c r="I37" s="27">
        <v>11750</v>
      </c>
      <c r="J37" s="21">
        <v>1377</v>
      </c>
    </row>
    <row r="38" spans="2:10" ht="14.25" customHeight="1" x14ac:dyDescent="0.3">
      <c r="B38" s="23" t="s">
        <v>142</v>
      </c>
      <c r="C38" s="23" t="s">
        <v>143</v>
      </c>
      <c r="D38" s="23" t="s">
        <v>24</v>
      </c>
      <c r="E38" s="23" t="s">
        <v>144</v>
      </c>
      <c r="F38" s="23">
        <v>150</v>
      </c>
      <c r="G38" s="23" t="s">
        <v>25</v>
      </c>
      <c r="H38" s="26">
        <v>43083</v>
      </c>
      <c r="I38" s="27">
        <v>10150</v>
      </c>
      <c r="J38" s="21">
        <v>1472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447F-7C38-4CEB-B199-463363BC632A}">
  <dimension ref="A2:G9"/>
  <sheetViews>
    <sheetView zoomScale="180" zoomScaleNormal="180" workbookViewId="0">
      <selection activeCell="B2" sqref="B2:B5"/>
    </sheetView>
  </sheetViews>
  <sheetFormatPr defaultRowHeight="14.4" x14ac:dyDescent="0.3"/>
  <cols>
    <col min="4" max="4" width="8.88671875" style="6"/>
  </cols>
  <sheetData>
    <row r="2" spans="1:7" x14ac:dyDescent="0.3">
      <c r="A2" t="s">
        <v>185</v>
      </c>
      <c r="B2" t="s">
        <v>185</v>
      </c>
      <c r="G2" t="s">
        <v>201</v>
      </c>
    </row>
    <row r="3" spans="1:7" x14ac:dyDescent="0.3">
      <c r="A3" t="s">
        <v>25</v>
      </c>
      <c r="B3" t="s">
        <v>25</v>
      </c>
      <c r="G3" t="s">
        <v>185</v>
      </c>
    </row>
    <row r="4" spans="1:7" x14ac:dyDescent="0.3">
      <c r="A4" t="s">
        <v>185</v>
      </c>
      <c r="B4" t="s">
        <v>29</v>
      </c>
    </row>
    <row r="5" spans="1:7" x14ac:dyDescent="0.3">
      <c r="A5" t="s">
        <v>185</v>
      </c>
      <c r="E5" t="s">
        <v>197</v>
      </c>
    </row>
    <row r="6" spans="1:7" x14ac:dyDescent="0.3">
      <c r="A6" t="s">
        <v>25</v>
      </c>
      <c r="D6" s="6">
        <v>100</v>
      </c>
      <c r="E6" t="s">
        <v>198</v>
      </c>
    </row>
    <row r="7" spans="1:7" x14ac:dyDescent="0.3">
      <c r="A7" t="s">
        <v>29</v>
      </c>
      <c r="D7" s="6">
        <v>33</v>
      </c>
      <c r="E7" t="s">
        <v>199</v>
      </c>
    </row>
    <row r="8" spans="1:7" x14ac:dyDescent="0.3">
      <c r="A8" t="s">
        <v>29</v>
      </c>
      <c r="D8" s="6">
        <v>99</v>
      </c>
      <c r="E8" t="s">
        <v>198</v>
      </c>
    </row>
    <row r="9" spans="1:7" x14ac:dyDescent="0.3">
      <c r="A9" t="s">
        <v>29</v>
      </c>
    </row>
  </sheetData>
  <dataValidations count="3">
    <dataValidation type="list" allowBlank="1" showInputMessage="1" showErrorMessage="1" sqref="E6:E8" xr:uid="{23ACCABF-1ED7-4F2E-AB6B-C8C455DF0DAB}">
      <formula1>"Pass, Fail"</formula1>
    </dataValidation>
    <dataValidation type="whole" allowBlank="1" showInputMessage="1" showErrorMessage="1" sqref="D6:D8" xr:uid="{725181CC-E8F1-43AF-8762-3A94DC20E375}">
      <formula1>0</formula1>
      <formula2>100</formula2>
    </dataValidation>
    <dataValidation type="list" allowBlank="1" showInputMessage="1" showErrorMessage="1" sqref="G3" xr:uid="{8A993F56-7CCF-407C-934B-FF8391AA4F8C}">
      <formula1>$B$2:$B$4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Topic D4 _ 150626</vt:lpstr>
      <vt:lpstr>IFS_Function_Example</vt:lpstr>
      <vt:lpstr>Groupby_Functions</vt:lpstr>
      <vt:lpstr>Groupby Continues</vt:lpstr>
      <vt:lpstr>AI_in_Excel</vt:lpstr>
      <vt:lpstr>SUMIF Function</vt:lpstr>
      <vt:lpstr>Avrageif, ifs</vt:lpstr>
      <vt:lpstr>Countif</vt:lpstr>
      <vt:lpstr>INDEX MATCH Functions</vt:lpstr>
      <vt:lpstr>INDEX MATCH Master Emp List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dcterms:created xsi:type="dcterms:W3CDTF">2026-05-07T11:34:57Z</dcterms:created>
  <dcterms:modified xsi:type="dcterms:W3CDTF">2026-06-15T17:30:46Z</dcterms:modified>
</cp:coreProperties>
</file>