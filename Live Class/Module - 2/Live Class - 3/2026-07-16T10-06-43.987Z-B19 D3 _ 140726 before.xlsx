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webextensions/webextension1.xml" ContentType="application/vnd.ms-office.webextension+xml"/>
  <Override PartName="/xl/drawings/drawing2.xml" ContentType="application/vnd.openxmlformats-officedocument.drawing+xml"/>
  <Override PartName="/xl/webextensions/webextension2.xml" ContentType="application/vnd.ms-office.webextensi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xl/webextensions/webextension8.xml" ContentType="application/vnd.ms-office.webextension+xml"/>
  <Override PartName="/xl/webextensions/webextension9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SUD\Desktop\Batch -19\"/>
    </mc:Choice>
  </mc:AlternateContent>
  <xr:revisionPtr revIDLastSave="0" documentId="13_ncr:1_{E714D410-E3D5-4A06-BD4A-D8E93A46FD14}" xr6:coauthVersionLast="47" xr6:coauthVersionMax="47" xr10:uidLastSave="{00000000-0000-0000-0000-000000000000}"/>
  <bookViews>
    <workbookView xWindow="-12" yWindow="-12" windowWidth="23064" windowHeight="12384" tabRatio="824" xr2:uid="{00000000-000D-0000-FFFF-FFFF00000000}"/>
  </bookViews>
  <sheets>
    <sheet name="Topic D3 _ 140726" sheetId="5" r:id="rId1"/>
    <sheet name="Logical_Functions" sheetId="1" r:id="rId2"/>
    <sheet name="AI_in_Excel" sheetId="2" state="hidden" r:id="rId3"/>
    <sheet name="Text_Functions" sheetId="3" r:id="rId4"/>
    <sheet name="Sheet1" sheetId="9" r:id="rId5"/>
    <sheet name="VLOOKUP_Carefulness" sheetId="4" r:id="rId6"/>
    <sheet name="Employee_Data" sheetId="7" r:id="rId7"/>
    <sheet name="Sheet2" sheetId="10" r:id="rId8"/>
    <sheet name="FILTER_Examples" sheetId="8" r:id="rId9"/>
  </sheets>
  <definedNames>
    <definedName name="_xlnm._FilterDatabase" localSheetId="6" hidden="1">Employee_Data!$A$1:$F$101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 a="1"/>
  <c r="J2" i="7" s="1"/>
  <c r="I10" i="4"/>
  <c r="I9" i="4"/>
  <c r="G17" i="4"/>
  <c r="G6" i="4"/>
  <c r="E6" i="9"/>
  <c r="E5" i="9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2" i="3" a="1"/>
  <c r="F2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D3" i="3"/>
  <c r="E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2" i="3"/>
  <c r="D11" i="3"/>
  <c r="D10" i="3"/>
  <c r="D9" i="3"/>
  <c r="D8" i="3"/>
  <c r="D7" i="3"/>
  <c r="D6" i="3"/>
  <c r="D5" i="3"/>
  <c r="D4" i="3"/>
  <c r="D2" i="3"/>
  <c r="H1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<sst xmlns="http://schemas.openxmlformats.org/spreadsheetml/2006/main" count="1116" uniqueCount="277">
  <si>
    <t>Name</t>
  </si>
  <si>
    <t>Score</t>
  </si>
  <si>
    <t>Approval</t>
  </si>
  <si>
    <t>IF_Result</t>
  </si>
  <si>
    <t>AND_OR_Result</t>
  </si>
  <si>
    <t>Rafi</t>
  </si>
  <si>
    <t>Yes</t>
  </si>
  <si>
    <t>Karim</t>
  </si>
  <si>
    <t>Tania</t>
  </si>
  <si>
    <t>No</t>
  </si>
  <si>
    <t>Nadia</t>
  </si>
  <si>
    <t>Badhon</t>
  </si>
  <si>
    <t>Lamia</t>
  </si>
  <si>
    <t>Sabbir</t>
  </si>
  <si>
    <t>Mizan</t>
  </si>
  <si>
    <t>Rahim</t>
  </si>
  <si>
    <t>Sohel</t>
  </si>
  <si>
    <t>Month</t>
  </si>
  <si>
    <t>Sales</t>
  </si>
  <si>
    <t>Profit</t>
  </si>
  <si>
    <t>Jun</t>
  </si>
  <si>
    <t>Sep</t>
  </si>
  <si>
    <t>May</t>
  </si>
  <si>
    <t>Oct</t>
  </si>
  <si>
    <t>Feb</t>
  </si>
  <si>
    <t>Aug</t>
  </si>
  <si>
    <t>Jul</t>
  </si>
  <si>
    <t>Jan</t>
  </si>
  <si>
    <t>Nov</t>
  </si>
  <si>
    <t>Apr</t>
  </si>
  <si>
    <t>Dec</t>
  </si>
  <si>
    <t>Mar</t>
  </si>
  <si>
    <t>First Name</t>
  </si>
  <si>
    <t>Last Name</t>
  </si>
  <si>
    <t>Full Name</t>
  </si>
  <si>
    <t>Split Example</t>
  </si>
  <si>
    <t>Shila</t>
  </si>
  <si>
    <t>Sarkar</t>
  </si>
  <si>
    <t>Akter</t>
  </si>
  <si>
    <t>Sadia</t>
  </si>
  <si>
    <t>Mamun</t>
  </si>
  <si>
    <t>Miah</t>
  </si>
  <si>
    <t>Hossain</t>
  </si>
  <si>
    <t>Abdul</t>
  </si>
  <si>
    <t>Rahman</t>
  </si>
  <si>
    <t>Nusrat</t>
  </si>
  <si>
    <t>Tariq</t>
  </si>
  <si>
    <t>Islam</t>
  </si>
  <si>
    <t>Product ID</t>
  </si>
  <si>
    <t>Product Name</t>
  </si>
  <si>
    <t>Price</t>
  </si>
  <si>
    <t>Bread</t>
  </si>
  <si>
    <t>Dal</t>
  </si>
  <si>
    <t>Topic Name</t>
  </si>
  <si>
    <t xml:space="preserve">Status </t>
  </si>
  <si>
    <t>Day -3</t>
  </si>
  <si>
    <t>Carefulness of VLOOKUP Function</t>
  </si>
  <si>
    <t>Logical Functions</t>
  </si>
  <si>
    <t>IF() Condition and Expression of Logical Test</t>
  </si>
  <si>
    <t>Using IF with AND &amp; OR</t>
  </si>
  <si>
    <t>AI In Excel</t>
  </si>
  <si>
    <t>Text Function (Join &amp; Split)</t>
  </si>
  <si>
    <t>Employee ID</t>
  </si>
  <si>
    <t>Department</t>
  </si>
  <si>
    <t>City</t>
  </si>
  <si>
    <t>Salary</t>
  </si>
  <si>
    <t>Performance Score</t>
  </si>
  <si>
    <t>EMP001</t>
  </si>
  <si>
    <t>David</t>
  </si>
  <si>
    <t>Marketing</t>
  </si>
  <si>
    <t>Khulna</t>
  </si>
  <si>
    <t>EMP002</t>
  </si>
  <si>
    <t>Ava</t>
  </si>
  <si>
    <t>IT</t>
  </si>
  <si>
    <t>Chattogram</t>
  </si>
  <si>
    <t>EMP003</t>
  </si>
  <si>
    <t>Sylhet</t>
  </si>
  <si>
    <t>EMP004</t>
  </si>
  <si>
    <t>Mia</t>
  </si>
  <si>
    <t>HR</t>
  </si>
  <si>
    <t>Rajshahi</t>
  </si>
  <si>
    <t>EMP005</t>
  </si>
  <si>
    <t>James</t>
  </si>
  <si>
    <t>EMP006</t>
  </si>
  <si>
    <t>Mike</t>
  </si>
  <si>
    <t>Operations</t>
  </si>
  <si>
    <t>EMP007</t>
  </si>
  <si>
    <t>EMP008</t>
  </si>
  <si>
    <t>Ethan</t>
  </si>
  <si>
    <t>EMP009</t>
  </si>
  <si>
    <t>EMP010</t>
  </si>
  <si>
    <t>Anna</t>
  </si>
  <si>
    <t>EMP011</t>
  </si>
  <si>
    <t>EMP012</t>
  </si>
  <si>
    <t>Noah</t>
  </si>
  <si>
    <t>EMP013</t>
  </si>
  <si>
    <t>EMP014</t>
  </si>
  <si>
    <t>EMP015</t>
  </si>
  <si>
    <t>EMP016</t>
  </si>
  <si>
    <t>Dhaka</t>
  </si>
  <si>
    <t>EMP017</t>
  </si>
  <si>
    <t>EMP018</t>
  </si>
  <si>
    <t>EMP019</t>
  </si>
  <si>
    <t>Olivia</t>
  </si>
  <si>
    <t>EMP020</t>
  </si>
  <si>
    <t>Finance</t>
  </si>
  <si>
    <t>EMP021</t>
  </si>
  <si>
    <t>Chris</t>
  </si>
  <si>
    <t>EMP022</t>
  </si>
  <si>
    <t>Sophia</t>
  </si>
  <si>
    <t>EMP023</t>
  </si>
  <si>
    <t>EMP024</t>
  </si>
  <si>
    <t>EMP025</t>
  </si>
  <si>
    <t>John</t>
  </si>
  <si>
    <t>EMP026</t>
  </si>
  <si>
    <t>Daniel</t>
  </si>
  <si>
    <t>EMP027</t>
  </si>
  <si>
    <t>Emma</t>
  </si>
  <si>
    <t>EMP028</t>
  </si>
  <si>
    <t>EMP029</t>
  </si>
  <si>
    <t>EMP030</t>
  </si>
  <si>
    <t>Liam</t>
  </si>
  <si>
    <t>EMP031</t>
  </si>
  <si>
    <t>EMP032</t>
  </si>
  <si>
    <t>Sara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</si>
  <si>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</si>
  <si>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</si>
  <si>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</si>
  <si>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</si>
  <si>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</si>
  <si>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</si>
  <si>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</si>
  <si>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</si>
  <si>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</si>
  <si>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</si>
  <si>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</si>
  <si>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</si>
  <si>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</si>
  <si>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</si>
  <si>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</si>
  <si>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</si>
  <si>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</si>
  <si>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</si>
  <si>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</si>
  <si>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</si>
  <si>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</si>
  <si>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</si>
  <si>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</si>
  <si>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</si>
  <si>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</si>
  <si>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</si>
  <si>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</si>
  <si>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</si>
  <si>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</si>
  <si>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</si>
  <si>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</si>
  <si>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</si>
  <si>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</si>
  <si>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</si>
  <si>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</si>
  <si>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</si>
  <si>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</si>
  <si>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</si>
  <si>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</si>
  <si>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</si>
  <si>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</si>
  <si>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</si>
  <si>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</si>
  <si>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</si>
  <si>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</si>
  <si>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</si>
  <si>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</si>
  <si>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</si>
  <si>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</si>
  <si>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</si>
  <si>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</si>
  <si>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</si>
  <si>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</si>
  <si>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</si>
  <si>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</si>
  <si>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</si>
  <si>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</si>
  <si>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</si>
  <si>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</si>
  <si>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</si>
  <si>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</si>
  <si>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</si>
  <si>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</si>
  <si>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</si>
  <si>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</si>
  <si>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</si>
  <si>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</si>
  <si>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</si>
  <si>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Example</t>
  </si>
  <si>
    <t>Formula</t>
  </si>
  <si>
    <t>Employees with Salary &gt; 80000</t>
  </si>
  <si>
    <t>Employees in IT Department</t>
  </si>
  <si>
    <t>Performance Score &gt; 90</t>
  </si>
  <si>
    <t>Salary &gt; 70000 AND Department = Sales</t>
  </si>
  <si>
    <t>City = Dhaka OR Khulna</t>
  </si>
  <si>
    <t>FILTER Function</t>
  </si>
  <si>
    <t>IF(AND(B2&gt;50,C2="Yes"),"Eligible","Not Eligible")</t>
  </si>
  <si>
    <t>IF(B2&gt;50,"Pass","Fail")</t>
  </si>
  <si>
    <t>Done</t>
  </si>
  <si>
    <t>=FunctionName(Function Argments)</t>
  </si>
  <si>
    <t>Rafid</t>
  </si>
  <si>
    <t>Masud</t>
  </si>
  <si>
    <t>Zaman</t>
  </si>
  <si>
    <t>Sana</t>
  </si>
  <si>
    <t>Surah</t>
  </si>
  <si>
    <t>Executive</t>
  </si>
  <si>
    <t>CEO</t>
  </si>
  <si>
    <t>Chairman</t>
  </si>
  <si>
    <t>Emp Name</t>
  </si>
  <si>
    <t>Designation</t>
  </si>
  <si>
    <t>Manager</t>
  </si>
  <si>
    <t>Shila Sarkar</t>
  </si>
  <si>
    <t>Shila Akter</t>
  </si>
  <si>
    <t>Sadia Akter</t>
  </si>
  <si>
    <t>Mamun Miah</t>
  </si>
  <si>
    <t>Lamia Hossain</t>
  </si>
  <si>
    <t>Rafi Sarkar</t>
  </si>
  <si>
    <t>Abdul Miah</t>
  </si>
  <si>
    <t>Mamun Rahman</t>
  </si>
  <si>
    <t>Nusrat Rahman</t>
  </si>
  <si>
    <t>Sadia Rahman</t>
  </si>
  <si>
    <t>Tariq Akter</t>
  </si>
  <si>
    <t>Abdul Islam</t>
  </si>
  <si>
    <t>Sadia Hossain</t>
  </si>
  <si>
    <t>Nusrat Sarkar</t>
  </si>
  <si>
    <t>Shila Rahman</t>
  </si>
  <si>
    <t>Abdul Akter</t>
  </si>
  <si>
    <t>Lamia Miah</t>
  </si>
  <si>
    <t>Sadia Karim</t>
  </si>
  <si>
    <t>Sadia Islam</t>
  </si>
  <si>
    <t>Sadia Sarkar</t>
  </si>
  <si>
    <t>Abdul Rahman</t>
  </si>
  <si>
    <t>Tariq Rahman</t>
  </si>
  <si>
    <t>Lamia Sarkar</t>
  </si>
  <si>
    <t>Rafi Miah</t>
  </si>
  <si>
    <t>Nusrat Karim</t>
  </si>
  <si>
    <t>Tariq Miah</t>
  </si>
  <si>
    <t>Lamia Rahman</t>
  </si>
  <si>
    <t>Sadia Miah</t>
  </si>
  <si>
    <t>Nusrat Islam</t>
  </si>
  <si>
    <t>Tariq Sarkar</t>
  </si>
  <si>
    <t>Lamia Islam</t>
  </si>
  <si>
    <t>Rafi Rahman</t>
  </si>
  <si>
    <t>Tariq Hossain</t>
  </si>
  <si>
    <t>Shila Miah</t>
  </si>
  <si>
    <t>Shila Hossain</t>
  </si>
  <si>
    <t>Nusrat Akter</t>
  </si>
  <si>
    <t>Mamun Hossain</t>
  </si>
  <si>
    <t>Rafi Akter</t>
  </si>
  <si>
    <t>Rafi Islam</t>
  </si>
  <si>
    <t>Mamun Karim</t>
  </si>
  <si>
    <t>Tariq Karim</t>
  </si>
  <si>
    <t>Rafi Karim</t>
  </si>
  <si>
    <t>Full Name - Concat</t>
  </si>
  <si>
    <t>Full Name - Textjoin</t>
  </si>
  <si>
    <t>Mid Name</t>
  </si>
  <si>
    <t>Patel</t>
  </si>
  <si>
    <t>Uz</t>
  </si>
  <si>
    <t>Akash</t>
  </si>
  <si>
    <t xml:space="preserve">Dept </t>
  </si>
  <si>
    <t>Milk-1</t>
  </si>
  <si>
    <t>Milk-2</t>
  </si>
  <si>
    <t>Milk-3</t>
  </si>
  <si>
    <t>Soap-1</t>
  </si>
  <si>
    <t>Soap-2</t>
  </si>
  <si>
    <t>Sugar-2</t>
  </si>
  <si>
    <t>Sugar-1</t>
  </si>
  <si>
    <t>INDEX+MATCH</t>
  </si>
  <si>
    <t>Total</t>
  </si>
  <si>
    <t>Hanif</t>
  </si>
  <si>
    <t>Rubayet</t>
  </si>
  <si>
    <t>Nila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</si>
</sst>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quotePrefix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0</xdr:rowOff>
    </xdr:from>
    <xdr:to>
      <xdr:col>7</xdr:col>
      <xdr:colOff>167640</xdr:colOff>
      <xdr:row>8</xdr:row>
      <xdr:rowOff>220980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161241F-E921-17BD-419D-E7C2FC18E97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161241F-E921-17BD-419D-E7C2FC18E9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32717</xdr:colOff>
      <xdr:row>22</xdr:row>
      <xdr:rowOff>38100</xdr:rowOff>
    </xdr:from>
    <xdr:to>
      <xdr:col>9</xdr:col>
      <xdr:colOff>271463</xdr:colOff>
      <xdr:row>31</xdr:row>
      <xdr:rowOff>102497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Excel Bubbles">
              <a:extLst>
                <a:ext uri="{FF2B5EF4-FFF2-40B4-BE49-F238E27FC236}">
                  <a16:creationId xmlns:a16="http://schemas.microsoft.com/office/drawing/2014/main" id="{245922A0-35E2-6AE7-B909-32BD89819FE3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Excel Bubbles">
              <a:extLst>
                <a:ext uri="{FF2B5EF4-FFF2-40B4-BE49-F238E27FC236}">
                  <a16:creationId xmlns:a16="http://schemas.microsoft.com/office/drawing/2014/main" id="{245922A0-35E2-6AE7-B909-32BD89819F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5.xml"/><Relationship Id="rId7" Type="http://schemas.microsoft.com/office/2011/relationships/webextension" Target="webextension9.xml"/><Relationship Id="rId2" Type="http://schemas.microsoft.com/office/2011/relationships/webextension" Target="webextension4.xml"/><Relationship Id="rId1" Type="http://schemas.microsoft.com/office/2011/relationships/webextension" Target="webextension3.xml"/><Relationship Id="rId6" Type="http://schemas.microsoft.com/office/2011/relationships/webextension" Target="webextension8.xml"/><Relationship Id="rId5" Type="http://schemas.microsoft.com/office/2011/relationships/webextension" Target="webextension7.xml"/><Relationship Id="rId4" Type="http://schemas.microsoft.com/office/2011/relationships/webextension" Target="webextension6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  <wetp:taskpane dockstate="right" visibility="0" width="438" row="4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  <wetp:taskpane dockstate="right" visibility="0" width="438" row="13">
    <wetp:webextensionref xmlns:r="http://schemas.openxmlformats.org/officeDocument/2006/relationships" r:id="rId6"/>
  </wetp:taskpane>
  <wetp:taskpane dockstate="right" visibility="0" width="438" row="5">
    <wetp:webextensionref xmlns:r="http://schemas.openxmlformats.org/officeDocument/2006/relationships" r:id="rId7"/>
  </wetp:taskpane>
</wetp:taskpanes>
</file>

<file path=xl/webextensions/webextension1.xml><?xml version="1.0" encoding="utf-8"?>
<we:webextension xmlns:we="http://schemas.microsoft.com/office/webextensions/webextension/2010/11" id="{0161241F-E921-17BD-419D-E7C2FC18E97D}">
  <we:reference id="wa102957665" version="1.3.0.0" store="en-US" storeType="OMEX"/>
  <we:alternateReferences>
    <we:reference id="WA102957665" version="1.3.0.0" store="WA102957665" storeType="OMEX"/>
  </we:alternateReferences>
  <we:properties/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245922A0-35E2-6AE7-B909-32BD89819FE3}">
  <we:reference id="wa103147117" version="1.1.0.0" store="en-US" storeType="OMEX"/>
  <we:alternateReferences>
    <we:reference id="WA103147117" version="1.1.0.0" store="WA103147117" storeType="OMEX"/>
  </we:alternateReferences>
  <we:properties/>
  <we:bindings>
    <we:binding id="Data" type="table" appref="{1691F78D-801B-48B6-BF11-BE5D7D9C7720}"/>
  </we:bindings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689920E7-696A-43AB-92E3-4ABE1330480A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CA23618E-3F4A-4297-9223-DB332061BF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5.xml><?xml version="1.0" encoding="utf-8"?>
<we:webextension xmlns:we="http://schemas.microsoft.com/office/webextensions/webextension/2010/11" id="{516E6113-E905-46FB-8B2E-A544A1C6C5C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Fqqd3bSG2iykIbU9MG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6.xml><?xml version="1.0" encoding="utf-8"?>
<we:webextension xmlns:we="http://schemas.microsoft.com/office/webextensions/webextension/2010/11" id="{9817D2E8-161B-4B69-9F8F-1E898D4E8CE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4ab488-0fb7-4670-a477-bec88bc985f3&quot;"/>
  </we:properties>
  <we:bindings/>
  <we:snapshot xmlns:r="http://schemas.openxmlformats.org/officeDocument/2006/relationships"/>
</we:webextension>
</file>

<file path=xl/webextensions/webextension7.xml><?xml version="1.0" encoding="utf-8"?>
<we:webextension xmlns:we="http://schemas.microsoft.com/office/webextensions/webextension/2010/11" id="{9A066658-7DAF-4989-BC81-DFB641C5D28E}">
  <we:reference id="wa200010102" version="1.1.0.1" store="en-US" storeType="OMEX"/>
  <we:alternateReferences>
    <we:reference id="WA200010102" version="1.1.0.1" store="WA200010102" storeType="OMEX"/>
  </we:alternateReferences>
  <we:properties>
    <we:property name="o11_document_id" value="&quot;957dafd7-4242-42c1-9c3c-b255a6c41fe5&quot;"/>
  </we:properties>
  <we:bindings/>
  <we:snapshot xmlns:r="http://schemas.openxmlformats.org/officeDocument/2006/relationships"/>
</we:webextension>
</file>

<file path=xl/webextensions/webextension8.xml><?xml version="1.0" encoding="utf-8"?>
<we:webextension xmlns:we="http://schemas.microsoft.com/office/webextensions/webextension/2010/11" id="{4387E2E0-B2F3-4742-9B9A-6489B28C6C31}">
  <we:reference id="wa200006007" version="1.2.3.0" store="en-US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9.xml><?xml version="1.0" encoding="utf-8"?>
<we:webextension xmlns:we="http://schemas.microsoft.com/office/webextensions/webextension/2010/11" id="{40263DA6-FE96-40F3-BFED-8D3D0D84E25C}">
  <we:reference id="wa200004687" version="1.0.0.5" store="en-US" storeType="OMEX"/>
  <we:alternateReferences>
    <we:reference id="WA200004687" version="1.0.0.5" store="WA2000046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3C5-46E0-42FE-9411-5941989C5BD4}">
  <dimension ref="B1:K12"/>
  <sheetViews>
    <sheetView tabSelected="1" workbookViewId="0">
      <selection activeCell="G13" sqref="G13"/>
    </sheetView>
  </sheetViews>
  <sheetFormatPr defaultRowHeight="14.4" x14ac:dyDescent="0.3"/>
  <cols>
    <col min="2" max="2" width="65.5546875" bestFit="1" customWidth="1"/>
    <col min="3" max="3" width="12.33203125" customWidth="1"/>
  </cols>
  <sheetData>
    <row r="1" spans="2:11" ht="23.4" x14ac:dyDescent="0.45">
      <c r="B1" s="6" t="s">
        <v>55</v>
      </c>
      <c r="C1" s="6"/>
    </row>
    <row r="2" spans="2:11" ht="21" x14ac:dyDescent="0.4">
      <c r="B2" s="1" t="s">
        <v>53</v>
      </c>
      <c r="C2" s="1" t="s">
        <v>54</v>
      </c>
      <c r="J2" s="10">
        <v>46217</v>
      </c>
    </row>
    <row r="3" spans="2:11" ht="21" x14ac:dyDescent="0.4">
      <c r="B3" s="2" t="s">
        <v>57</v>
      </c>
      <c r="C3" s="3"/>
    </row>
    <row r="4" spans="2:11" ht="21" x14ac:dyDescent="0.4">
      <c r="B4" s="2" t="s">
        <v>200</v>
      </c>
      <c r="C4" s="3" t="s">
        <v>203</v>
      </c>
    </row>
    <row r="5" spans="2:11" ht="21" x14ac:dyDescent="0.4">
      <c r="B5" s="2" t="s">
        <v>58</v>
      </c>
      <c r="C5" s="3" t="s">
        <v>203</v>
      </c>
    </row>
    <row r="6" spans="2:11" ht="21" x14ac:dyDescent="0.4">
      <c r="B6" s="2" t="s">
        <v>59</v>
      </c>
      <c r="C6" s="3" t="s">
        <v>203</v>
      </c>
      <c r="K6" s="10">
        <v>46225</v>
      </c>
    </row>
    <row r="7" spans="2:11" ht="21" x14ac:dyDescent="0.4">
      <c r="B7" s="2" t="s">
        <v>61</v>
      </c>
      <c r="C7" s="3" t="s">
        <v>203</v>
      </c>
    </row>
    <row r="8" spans="2:11" ht="21" x14ac:dyDescent="0.4">
      <c r="B8" s="2" t="s">
        <v>56</v>
      </c>
      <c r="C8" s="3" t="s">
        <v>203</v>
      </c>
    </row>
    <row r="9" spans="2:11" ht="21" x14ac:dyDescent="0.4">
      <c r="B9" s="2" t="s">
        <v>60</v>
      </c>
      <c r="C9" s="3" t="s">
        <v>203</v>
      </c>
    </row>
    <row r="10" spans="2:11" ht="21" x14ac:dyDescent="0.4">
      <c r="C10" s="3"/>
    </row>
    <row r="12" spans="2:11" ht="21" x14ac:dyDescent="0.4">
      <c r="C12" s="3"/>
    </row>
  </sheetData>
  <mergeCells count="1">
    <mergeCell ref="B1:C1"/>
  </mergeCells>
  <conditionalFormatting sqref="B9">
    <cfRule type="expression" dxfId="3" priority="6">
      <formula>#REF!="Done"</formula>
    </cfRule>
  </conditionalFormatting>
  <conditionalFormatting sqref="B3:C8">
    <cfRule type="expression" dxfId="2" priority="1">
      <formula>$C3="Done"</formula>
    </cfRule>
  </conditionalFormatting>
  <conditionalFormatting sqref="C9:C10">
    <cfRule type="expression" dxfId="1" priority="4">
      <formula>$D9="Done"</formula>
    </cfRule>
  </conditionalFormatting>
  <conditionalFormatting sqref="C12">
    <cfRule type="expression" dxfId="0" priority="2">
      <formula>$D12="Done"</formula>
    </cfRule>
  </conditionalFormatting>
  <dataValidations count="1">
    <dataValidation type="list" allowBlank="1" showInputMessage="1" showErrorMessage="1" sqref="C3:C10" xr:uid="{3F84AB3E-8A46-457F-8138-E5637CC2E5B3}">
      <formula1>"Done, Not Done"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zoomScale="175" zoomScaleNormal="175" workbookViewId="0">
      <selection activeCell="H16" sqref="H16"/>
    </sheetView>
  </sheetViews>
  <sheetFormatPr defaultRowHeight="14.4" x14ac:dyDescent="0.3"/>
  <cols>
    <col min="2" max="3" width="8.88671875" style="7"/>
    <col min="4" max="4" width="12.6640625" style="7" customWidth="1"/>
    <col min="5" max="5" width="14.21875" bestFit="1" customWidth="1"/>
    <col min="7" max="7" width="9.88671875" bestFit="1" customWidth="1"/>
    <col min="8" max="8" width="10.77734375" customWidth="1"/>
  </cols>
  <sheetData>
    <row r="1" spans="1:9" x14ac:dyDescent="0.3">
      <c r="A1" t="s">
        <v>0</v>
      </c>
      <c r="B1" s="7" t="s">
        <v>1</v>
      </c>
      <c r="C1" s="7" t="s">
        <v>2</v>
      </c>
      <c r="D1" s="7" t="s">
        <v>3</v>
      </c>
      <c r="E1" t="s">
        <v>4</v>
      </c>
      <c r="F1">
        <v>50</v>
      </c>
      <c r="I1" t="s">
        <v>201</v>
      </c>
    </row>
    <row r="2" spans="1:9" x14ac:dyDescent="0.3">
      <c r="A2" t="s">
        <v>5</v>
      </c>
      <c r="B2" s="7">
        <v>43</v>
      </c>
      <c r="C2" s="7" t="s">
        <v>6</v>
      </c>
      <c r="D2" s="7" t="str">
        <f>IF(B2&lt;$F$1,"Fail","PAss")</f>
        <v>Fail</v>
      </c>
      <c r="E2" t="str">
        <f>IF(AND(B2&gt;50,C2="Yes"),"Eligible","Not Eligible")</f>
        <v>Not Eligible</v>
      </c>
      <c r="I2" t="s">
        <v>202</v>
      </c>
    </row>
    <row r="3" spans="1:9" x14ac:dyDescent="0.3">
      <c r="A3" t="s">
        <v>7</v>
      </c>
      <c r="B3" s="7">
        <v>90</v>
      </c>
      <c r="C3" s="7" t="s">
        <v>6</v>
      </c>
      <c r="D3" s="7" t="str">
        <f t="shared" ref="D3:D66" si="0">IF(B3&lt;$F$1,"Fail","PAss")</f>
        <v>PAss</v>
      </c>
    </row>
    <row r="4" spans="1:9" x14ac:dyDescent="0.3">
      <c r="A4" t="s">
        <v>205</v>
      </c>
      <c r="B4" s="7">
        <v>94</v>
      </c>
      <c r="C4" s="7" t="s">
        <v>6</v>
      </c>
      <c r="D4" s="7" t="str">
        <f t="shared" si="0"/>
        <v>PAss</v>
      </c>
    </row>
    <row r="5" spans="1:9" x14ac:dyDescent="0.3">
      <c r="A5" t="s">
        <v>8</v>
      </c>
      <c r="B5" s="7">
        <v>29</v>
      </c>
      <c r="C5" s="7" t="s">
        <v>9</v>
      </c>
      <c r="D5" s="7" t="str">
        <f t="shared" si="0"/>
        <v>Fail</v>
      </c>
    </row>
    <row r="6" spans="1:9" x14ac:dyDescent="0.3">
      <c r="A6" t="s">
        <v>10</v>
      </c>
      <c r="B6" s="7">
        <v>71</v>
      </c>
      <c r="C6" s="7" t="s">
        <v>9</v>
      </c>
      <c r="D6" s="7" t="str">
        <f t="shared" si="0"/>
        <v>PAss</v>
      </c>
      <c r="H6" s="5" t="s">
        <v>204</v>
      </c>
    </row>
    <row r="7" spans="1:9" x14ac:dyDescent="0.3">
      <c r="A7" t="s">
        <v>11</v>
      </c>
      <c r="B7" s="7">
        <v>4</v>
      </c>
      <c r="C7" s="7" t="s">
        <v>6</v>
      </c>
      <c r="D7" s="7" t="str">
        <f t="shared" si="0"/>
        <v>Fail</v>
      </c>
    </row>
    <row r="8" spans="1:9" x14ac:dyDescent="0.3">
      <c r="A8" t="s">
        <v>5</v>
      </c>
      <c r="B8" s="7">
        <v>50</v>
      </c>
      <c r="C8" s="7" t="s">
        <v>9</v>
      </c>
      <c r="D8" s="7" t="str">
        <f t="shared" si="0"/>
        <v>PAss</v>
      </c>
    </row>
    <row r="9" spans="1:9" x14ac:dyDescent="0.3">
      <c r="A9" t="s">
        <v>12</v>
      </c>
      <c r="B9" s="7">
        <v>29</v>
      </c>
      <c r="C9" s="7" t="s">
        <v>6</v>
      </c>
      <c r="D9" s="7" t="str">
        <f t="shared" si="0"/>
        <v>Fail</v>
      </c>
      <c r="G9" t="s">
        <v>206</v>
      </c>
      <c r="H9" t="s">
        <v>210</v>
      </c>
    </row>
    <row r="10" spans="1:9" x14ac:dyDescent="0.3">
      <c r="A10" t="s">
        <v>10</v>
      </c>
      <c r="B10" s="7">
        <v>67</v>
      </c>
      <c r="C10" s="7" t="s">
        <v>9</v>
      </c>
      <c r="D10" s="7" t="str">
        <f t="shared" si="0"/>
        <v>PAss</v>
      </c>
      <c r="G10" t="s">
        <v>207</v>
      </c>
      <c r="H10" t="s">
        <v>215</v>
      </c>
    </row>
    <row r="11" spans="1:9" x14ac:dyDescent="0.3">
      <c r="A11" t="s">
        <v>12</v>
      </c>
      <c r="B11" s="7">
        <v>48</v>
      </c>
      <c r="C11" s="7" t="s">
        <v>9</v>
      </c>
      <c r="D11" s="7" t="str">
        <f t="shared" si="0"/>
        <v>Fail</v>
      </c>
      <c r="G11" t="s">
        <v>208</v>
      </c>
      <c r="H11" t="s">
        <v>211</v>
      </c>
    </row>
    <row r="12" spans="1:9" x14ac:dyDescent="0.3">
      <c r="A12" t="s">
        <v>13</v>
      </c>
      <c r="B12" s="7">
        <v>86</v>
      </c>
      <c r="C12" s="7" t="s">
        <v>9</v>
      </c>
      <c r="D12" s="7" t="str">
        <f t="shared" si="0"/>
        <v>PAss</v>
      </c>
      <c r="G12" t="s">
        <v>209</v>
      </c>
      <c r="H12" t="s">
        <v>212</v>
      </c>
    </row>
    <row r="13" spans="1:9" x14ac:dyDescent="0.3">
      <c r="A13" t="s">
        <v>10</v>
      </c>
      <c r="B13" s="7">
        <v>50</v>
      </c>
      <c r="C13" s="7" t="s">
        <v>6</v>
      </c>
      <c r="D13" s="7" t="str">
        <f t="shared" si="0"/>
        <v>PAss</v>
      </c>
    </row>
    <row r="14" spans="1:9" x14ac:dyDescent="0.3">
      <c r="A14" t="s">
        <v>11</v>
      </c>
      <c r="B14" s="7">
        <v>77</v>
      </c>
      <c r="C14" s="7" t="s">
        <v>9</v>
      </c>
      <c r="D14" s="7" t="str">
        <f t="shared" si="0"/>
        <v>PAss</v>
      </c>
      <c r="G14" t="s">
        <v>213</v>
      </c>
      <c r="H14" t="s">
        <v>214</v>
      </c>
    </row>
    <row r="15" spans="1:9" x14ac:dyDescent="0.3">
      <c r="A15" t="s">
        <v>12</v>
      </c>
      <c r="B15" s="7">
        <v>35</v>
      </c>
      <c r="C15" s="7" t="s">
        <v>9</v>
      </c>
      <c r="D15" s="7" t="str">
        <f t="shared" si="0"/>
        <v>Fail</v>
      </c>
      <c r="G15" t="s">
        <v>208</v>
      </c>
      <c r="H15" t="str">
        <f>IF(G15="Masud","Executive",IF(G15="Zaman","Manager",IF(G15="Sana","CEO",IF(G15="Surah","Chairman",""))))</f>
        <v>CEO</v>
      </c>
    </row>
    <row r="16" spans="1:9" x14ac:dyDescent="0.3">
      <c r="A16" t="s">
        <v>14</v>
      </c>
      <c r="B16" s="7">
        <v>71</v>
      </c>
      <c r="C16" s="7" t="s">
        <v>6</v>
      </c>
      <c r="D16" s="7" t="str">
        <f t="shared" si="0"/>
        <v>PAss</v>
      </c>
    </row>
    <row r="17" spans="1:4" x14ac:dyDescent="0.3">
      <c r="A17" t="s">
        <v>7</v>
      </c>
      <c r="B17" s="7">
        <v>6</v>
      </c>
      <c r="C17" s="7" t="s">
        <v>9</v>
      </c>
      <c r="D17" s="7" t="str">
        <f t="shared" si="0"/>
        <v>Fail</v>
      </c>
    </row>
    <row r="18" spans="1:4" x14ac:dyDescent="0.3">
      <c r="A18" t="s">
        <v>7</v>
      </c>
      <c r="B18" s="7">
        <v>57</v>
      </c>
      <c r="C18" s="7" t="s">
        <v>9</v>
      </c>
      <c r="D18" s="7" t="str">
        <f t="shared" si="0"/>
        <v>PAss</v>
      </c>
    </row>
    <row r="19" spans="1:4" x14ac:dyDescent="0.3">
      <c r="A19" t="s">
        <v>15</v>
      </c>
      <c r="B19" s="7">
        <v>65</v>
      </c>
      <c r="C19" s="7" t="s">
        <v>6</v>
      </c>
      <c r="D19" s="7" t="str">
        <f t="shared" si="0"/>
        <v>PAss</v>
      </c>
    </row>
    <row r="20" spans="1:4" x14ac:dyDescent="0.3">
      <c r="A20" t="s">
        <v>16</v>
      </c>
      <c r="B20" s="7">
        <v>12</v>
      </c>
      <c r="C20" s="7" t="s">
        <v>6</v>
      </c>
      <c r="D20" s="7" t="str">
        <f t="shared" si="0"/>
        <v>Fail</v>
      </c>
    </row>
    <row r="21" spans="1:4" x14ac:dyDescent="0.3">
      <c r="A21" t="s">
        <v>13</v>
      </c>
      <c r="B21" s="7">
        <v>98</v>
      </c>
      <c r="C21" s="7" t="s">
        <v>9</v>
      </c>
      <c r="D21" s="7" t="str">
        <f t="shared" si="0"/>
        <v>PAss</v>
      </c>
    </row>
    <row r="22" spans="1:4" x14ac:dyDescent="0.3">
      <c r="A22" t="s">
        <v>16</v>
      </c>
      <c r="B22" s="7">
        <v>28</v>
      </c>
      <c r="C22" s="7" t="s">
        <v>9</v>
      </c>
      <c r="D22" s="7" t="str">
        <f t="shared" si="0"/>
        <v>Fail</v>
      </c>
    </row>
    <row r="23" spans="1:4" x14ac:dyDescent="0.3">
      <c r="A23" t="s">
        <v>15</v>
      </c>
      <c r="B23" s="7">
        <v>43</v>
      </c>
      <c r="C23" s="7" t="s">
        <v>9</v>
      </c>
      <c r="D23" s="7" t="str">
        <f t="shared" si="0"/>
        <v>Fail</v>
      </c>
    </row>
    <row r="24" spans="1:4" x14ac:dyDescent="0.3">
      <c r="A24" t="s">
        <v>15</v>
      </c>
      <c r="B24" s="7">
        <v>75</v>
      </c>
      <c r="C24" s="7" t="s">
        <v>9</v>
      </c>
      <c r="D24" s="7" t="str">
        <f t="shared" si="0"/>
        <v>PAss</v>
      </c>
    </row>
    <row r="25" spans="1:4" x14ac:dyDescent="0.3">
      <c r="A25" t="s">
        <v>11</v>
      </c>
      <c r="B25" s="7">
        <v>30</v>
      </c>
      <c r="C25" s="7" t="s">
        <v>6</v>
      </c>
      <c r="D25" s="7" t="str">
        <f t="shared" si="0"/>
        <v>Fail</v>
      </c>
    </row>
    <row r="26" spans="1:4" x14ac:dyDescent="0.3">
      <c r="A26" t="s">
        <v>10</v>
      </c>
      <c r="B26" s="7">
        <v>89</v>
      </c>
      <c r="C26" s="7" t="s">
        <v>9</v>
      </c>
      <c r="D26" s="7" t="str">
        <f t="shared" si="0"/>
        <v>PAss</v>
      </c>
    </row>
    <row r="27" spans="1:4" x14ac:dyDescent="0.3">
      <c r="A27" t="s">
        <v>13</v>
      </c>
      <c r="B27" s="7">
        <v>72</v>
      </c>
      <c r="C27" s="7" t="s">
        <v>9</v>
      </c>
      <c r="D27" s="7" t="str">
        <f t="shared" si="0"/>
        <v>PAss</v>
      </c>
    </row>
    <row r="28" spans="1:4" x14ac:dyDescent="0.3">
      <c r="A28" t="s">
        <v>5</v>
      </c>
      <c r="B28" s="7">
        <v>8</v>
      </c>
      <c r="C28" s="7" t="s">
        <v>6</v>
      </c>
      <c r="D28" s="7" t="str">
        <f t="shared" si="0"/>
        <v>Fail</v>
      </c>
    </row>
    <row r="29" spans="1:4" x14ac:dyDescent="0.3">
      <c r="A29" t="s">
        <v>5</v>
      </c>
      <c r="B29" s="7">
        <v>26</v>
      </c>
      <c r="C29" s="7" t="s">
        <v>9</v>
      </c>
      <c r="D29" s="7" t="str">
        <f t="shared" si="0"/>
        <v>Fail</v>
      </c>
    </row>
    <row r="30" spans="1:4" x14ac:dyDescent="0.3">
      <c r="A30" t="s">
        <v>14</v>
      </c>
      <c r="B30" s="7">
        <v>90</v>
      </c>
      <c r="C30" s="7" t="s">
        <v>9</v>
      </c>
      <c r="D30" s="7" t="str">
        <f t="shared" si="0"/>
        <v>PAss</v>
      </c>
    </row>
    <row r="31" spans="1:4" x14ac:dyDescent="0.3">
      <c r="A31" t="s">
        <v>12</v>
      </c>
      <c r="B31" s="7">
        <v>85</v>
      </c>
      <c r="C31" s="7" t="s">
        <v>9</v>
      </c>
      <c r="D31" s="7" t="str">
        <f t="shared" si="0"/>
        <v>PAss</v>
      </c>
    </row>
    <row r="32" spans="1:4" x14ac:dyDescent="0.3">
      <c r="A32" t="s">
        <v>13</v>
      </c>
      <c r="B32" s="7">
        <v>46</v>
      </c>
      <c r="C32" s="7" t="s">
        <v>9</v>
      </c>
      <c r="D32" s="7" t="str">
        <f t="shared" si="0"/>
        <v>Fail</v>
      </c>
    </row>
    <row r="33" spans="1:4" x14ac:dyDescent="0.3">
      <c r="A33" t="s">
        <v>11</v>
      </c>
      <c r="B33" s="7">
        <v>3</v>
      </c>
      <c r="C33" s="7" t="s">
        <v>6</v>
      </c>
      <c r="D33" s="7" t="str">
        <f t="shared" si="0"/>
        <v>Fail</v>
      </c>
    </row>
    <row r="34" spans="1:4" x14ac:dyDescent="0.3">
      <c r="A34" t="s">
        <v>15</v>
      </c>
      <c r="B34" s="7">
        <v>41</v>
      </c>
      <c r="C34" s="7" t="s">
        <v>9</v>
      </c>
      <c r="D34" s="7" t="str">
        <f t="shared" si="0"/>
        <v>Fail</v>
      </c>
    </row>
    <row r="35" spans="1:4" x14ac:dyDescent="0.3">
      <c r="A35" t="s">
        <v>14</v>
      </c>
      <c r="B35" s="7">
        <v>87</v>
      </c>
      <c r="C35" s="7" t="s">
        <v>6</v>
      </c>
      <c r="D35" s="7" t="str">
        <f t="shared" si="0"/>
        <v>PAss</v>
      </c>
    </row>
    <row r="36" spans="1:4" x14ac:dyDescent="0.3">
      <c r="A36" t="s">
        <v>10</v>
      </c>
      <c r="B36" s="7">
        <v>51</v>
      </c>
      <c r="C36" s="7" t="s">
        <v>9</v>
      </c>
      <c r="D36" s="7" t="str">
        <f t="shared" si="0"/>
        <v>PAss</v>
      </c>
    </row>
    <row r="37" spans="1:4" x14ac:dyDescent="0.3">
      <c r="A37" t="s">
        <v>13</v>
      </c>
      <c r="B37" s="7">
        <v>21</v>
      </c>
      <c r="C37" s="7" t="s">
        <v>9</v>
      </c>
      <c r="D37" s="7" t="str">
        <f t="shared" si="0"/>
        <v>Fail</v>
      </c>
    </row>
    <row r="38" spans="1:4" x14ac:dyDescent="0.3">
      <c r="A38" t="s">
        <v>11</v>
      </c>
      <c r="B38" s="7">
        <v>67</v>
      </c>
      <c r="C38" s="7" t="s">
        <v>9</v>
      </c>
      <c r="D38" s="7" t="str">
        <f t="shared" si="0"/>
        <v>PAss</v>
      </c>
    </row>
    <row r="39" spans="1:4" x14ac:dyDescent="0.3">
      <c r="A39" t="s">
        <v>12</v>
      </c>
      <c r="B39" s="7">
        <v>19</v>
      </c>
      <c r="C39" s="7" t="s">
        <v>9</v>
      </c>
      <c r="D39" s="7" t="str">
        <f t="shared" si="0"/>
        <v>Fail</v>
      </c>
    </row>
    <row r="40" spans="1:4" x14ac:dyDescent="0.3">
      <c r="A40" t="s">
        <v>8</v>
      </c>
      <c r="B40" s="7">
        <v>22</v>
      </c>
      <c r="C40" s="7" t="s">
        <v>6</v>
      </c>
      <c r="D40" s="7" t="str">
        <f t="shared" si="0"/>
        <v>Fail</v>
      </c>
    </row>
    <row r="41" spans="1:4" x14ac:dyDescent="0.3">
      <c r="A41" t="s">
        <v>14</v>
      </c>
      <c r="B41" s="7">
        <v>35</v>
      </c>
      <c r="C41" s="7" t="s">
        <v>9</v>
      </c>
      <c r="D41" s="7" t="str">
        <f t="shared" si="0"/>
        <v>Fail</v>
      </c>
    </row>
    <row r="42" spans="1:4" x14ac:dyDescent="0.3">
      <c r="A42" t="s">
        <v>11</v>
      </c>
      <c r="B42" s="7">
        <v>38</v>
      </c>
      <c r="C42" s="7" t="s">
        <v>6</v>
      </c>
      <c r="D42" s="7" t="str">
        <f t="shared" si="0"/>
        <v>Fail</v>
      </c>
    </row>
    <row r="43" spans="1:4" x14ac:dyDescent="0.3">
      <c r="A43" t="s">
        <v>8</v>
      </c>
      <c r="B43" s="7">
        <v>8</v>
      </c>
      <c r="C43" s="7" t="s">
        <v>6</v>
      </c>
      <c r="D43" s="7" t="str">
        <f t="shared" si="0"/>
        <v>Fail</v>
      </c>
    </row>
    <row r="44" spans="1:4" x14ac:dyDescent="0.3">
      <c r="A44" t="s">
        <v>7</v>
      </c>
      <c r="B44" s="7">
        <v>48</v>
      </c>
      <c r="C44" s="7" t="s">
        <v>6</v>
      </c>
      <c r="D44" s="7" t="str">
        <f t="shared" si="0"/>
        <v>Fail</v>
      </c>
    </row>
    <row r="45" spans="1:4" x14ac:dyDescent="0.3">
      <c r="A45" t="s">
        <v>5</v>
      </c>
      <c r="B45" s="7">
        <v>85</v>
      </c>
      <c r="C45" s="7" t="s">
        <v>9</v>
      </c>
      <c r="D45" s="7" t="str">
        <f t="shared" si="0"/>
        <v>PAss</v>
      </c>
    </row>
    <row r="46" spans="1:4" x14ac:dyDescent="0.3">
      <c r="A46" t="s">
        <v>13</v>
      </c>
      <c r="B46" s="7">
        <v>81</v>
      </c>
      <c r="C46" s="7" t="s">
        <v>6</v>
      </c>
      <c r="D46" s="7" t="str">
        <f t="shared" si="0"/>
        <v>PAss</v>
      </c>
    </row>
    <row r="47" spans="1:4" x14ac:dyDescent="0.3">
      <c r="A47" t="s">
        <v>13</v>
      </c>
      <c r="B47" s="7">
        <v>18</v>
      </c>
      <c r="C47" s="7" t="s">
        <v>6</v>
      </c>
      <c r="D47" s="7" t="str">
        <f t="shared" si="0"/>
        <v>Fail</v>
      </c>
    </row>
    <row r="48" spans="1:4" x14ac:dyDescent="0.3">
      <c r="A48" t="s">
        <v>14</v>
      </c>
      <c r="B48" s="7">
        <v>8</v>
      </c>
      <c r="C48" s="7" t="s">
        <v>9</v>
      </c>
      <c r="D48" s="7" t="str">
        <f t="shared" si="0"/>
        <v>Fail</v>
      </c>
    </row>
    <row r="49" spans="1:4" x14ac:dyDescent="0.3">
      <c r="A49" t="s">
        <v>13</v>
      </c>
      <c r="B49" s="7">
        <v>63</v>
      </c>
      <c r="C49" s="7" t="s">
        <v>9</v>
      </c>
      <c r="D49" s="7" t="str">
        <f t="shared" si="0"/>
        <v>PAss</v>
      </c>
    </row>
    <row r="50" spans="1:4" x14ac:dyDescent="0.3">
      <c r="A50" t="s">
        <v>13</v>
      </c>
      <c r="B50" s="7">
        <v>78</v>
      </c>
      <c r="C50" s="7" t="s">
        <v>6</v>
      </c>
      <c r="D50" s="7" t="str">
        <f t="shared" si="0"/>
        <v>PAss</v>
      </c>
    </row>
    <row r="51" spans="1:4" x14ac:dyDescent="0.3">
      <c r="A51" t="s">
        <v>8</v>
      </c>
      <c r="B51" s="7">
        <v>5</v>
      </c>
      <c r="C51" s="7" t="s">
        <v>9</v>
      </c>
      <c r="D51" s="7" t="str">
        <f t="shared" si="0"/>
        <v>Fail</v>
      </c>
    </row>
    <row r="52" spans="1:4" x14ac:dyDescent="0.3">
      <c r="A52" t="s">
        <v>12</v>
      </c>
      <c r="B52" s="7">
        <v>39</v>
      </c>
      <c r="C52" s="7" t="s">
        <v>6</v>
      </c>
      <c r="D52" s="7" t="str">
        <f t="shared" si="0"/>
        <v>Fail</v>
      </c>
    </row>
    <row r="53" spans="1:4" x14ac:dyDescent="0.3">
      <c r="A53" t="s">
        <v>14</v>
      </c>
      <c r="B53" s="7">
        <v>8</v>
      </c>
      <c r="C53" s="7" t="s">
        <v>6</v>
      </c>
      <c r="D53" s="7" t="str">
        <f t="shared" si="0"/>
        <v>Fail</v>
      </c>
    </row>
    <row r="54" spans="1:4" x14ac:dyDescent="0.3">
      <c r="A54" t="s">
        <v>10</v>
      </c>
      <c r="B54" s="7">
        <v>54</v>
      </c>
      <c r="C54" s="7" t="s">
        <v>9</v>
      </c>
      <c r="D54" s="7" t="str">
        <f t="shared" si="0"/>
        <v>PAss</v>
      </c>
    </row>
    <row r="55" spans="1:4" x14ac:dyDescent="0.3">
      <c r="A55" t="s">
        <v>16</v>
      </c>
      <c r="B55" s="7">
        <v>14</v>
      </c>
      <c r="C55" s="7" t="s">
        <v>9</v>
      </c>
      <c r="D55" s="7" t="str">
        <f t="shared" si="0"/>
        <v>Fail</v>
      </c>
    </row>
    <row r="56" spans="1:4" x14ac:dyDescent="0.3">
      <c r="A56" t="s">
        <v>5</v>
      </c>
      <c r="B56" s="7">
        <v>39</v>
      </c>
      <c r="C56" s="7" t="s">
        <v>6</v>
      </c>
      <c r="D56" s="7" t="str">
        <f t="shared" si="0"/>
        <v>Fail</v>
      </c>
    </row>
    <row r="57" spans="1:4" x14ac:dyDescent="0.3">
      <c r="A57" t="s">
        <v>12</v>
      </c>
      <c r="B57" s="7">
        <v>57</v>
      </c>
      <c r="C57" s="7" t="s">
        <v>9</v>
      </c>
      <c r="D57" s="7" t="str">
        <f t="shared" si="0"/>
        <v>PAss</v>
      </c>
    </row>
    <row r="58" spans="1:4" x14ac:dyDescent="0.3">
      <c r="A58" t="s">
        <v>15</v>
      </c>
      <c r="B58" s="7">
        <v>7</v>
      </c>
      <c r="C58" s="7" t="s">
        <v>9</v>
      </c>
      <c r="D58" s="7" t="str">
        <f t="shared" si="0"/>
        <v>Fail</v>
      </c>
    </row>
    <row r="59" spans="1:4" x14ac:dyDescent="0.3">
      <c r="A59" t="s">
        <v>16</v>
      </c>
      <c r="B59" s="7">
        <v>67</v>
      </c>
      <c r="C59" s="7" t="s">
        <v>6</v>
      </c>
      <c r="D59" s="7" t="str">
        <f t="shared" si="0"/>
        <v>PAss</v>
      </c>
    </row>
    <row r="60" spans="1:4" x14ac:dyDescent="0.3">
      <c r="A60" t="s">
        <v>13</v>
      </c>
      <c r="B60" s="7">
        <v>65</v>
      </c>
      <c r="C60" s="7" t="s">
        <v>9</v>
      </c>
      <c r="D60" s="7" t="str">
        <f t="shared" si="0"/>
        <v>PAss</v>
      </c>
    </row>
    <row r="61" spans="1:4" x14ac:dyDescent="0.3">
      <c r="A61" t="s">
        <v>12</v>
      </c>
      <c r="B61" s="7">
        <v>43</v>
      </c>
      <c r="C61" s="7" t="s">
        <v>6</v>
      </c>
      <c r="D61" s="7" t="str">
        <f t="shared" si="0"/>
        <v>Fail</v>
      </c>
    </row>
    <row r="62" spans="1:4" x14ac:dyDescent="0.3">
      <c r="A62" t="s">
        <v>14</v>
      </c>
      <c r="B62" s="7">
        <v>73</v>
      </c>
      <c r="C62" s="7" t="s">
        <v>6</v>
      </c>
      <c r="D62" s="7" t="str">
        <f t="shared" si="0"/>
        <v>PAss</v>
      </c>
    </row>
    <row r="63" spans="1:4" x14ac:dyDescent="0.3">
      <c r="A63" t="s">
        <v>7</v>
      </c>
      <c r="B63" s="7">
        <v>11</v>
      </c>
      <c r="C63" s="7" t="s">
        <v>6</v>
      </c>
      <c r="D63" s="7" t="str">
        <f t="shared" si="0"/>
        <v>Fail</v>
      </c>
    </row>
    <row r="64" spans="1:4" x14ac:dyDescent="0.3">
      <c r="A64" t="s">
        <v>13</v>
      </c>
      <c r="B64" s="7">
        <v>70</v>
      </c>
      <c r="C64" s="7" t="s">
        <v>6</v>
      </c>
      <c r="D64" s="7" t="str">
        <f t="shared" si="0"/>
        <v>PAss</v>
      </c>
    </row>
    <row r="65" spans="1:4" x14ac:dyDescent="0.3">
      <c r="A65" t="s">
        <v>12</v>
      </c>
      <c r="B65" s="7">
        <v>12</v>
      </c>
      <c r="C65" s="7" t="s">
        <v>9</v>
      </c>
      <c r="D65" s="7" t="str">
        <f t="shared" si="0"/>
        <v>Fail</v>
      </c>
    </row>
    <row r="66" spans="1:4" x14ac:dyDescent="0.3">
      <c r="A66" t="s">
        <v>16</v>
      </c>
      <c r="B66" s="7">
        <v>25</v>
      </c>
      <c r="C66" s="7" t="s">
        <v>6</v>
      </c>
      <c r="D66" s="7" t="str">
        <f t="shared" si="0"/>
        <v>Fail</v>
      </c>
    </row>
    <row r="67" spans="1:4" x14ac:dyDescent="0.3">
      <c r="A67" t="s">
        <v>15</v>
      </c>
      <c r="B67" s="7">
        <v>87</v>
      </c>
      <c r="C67" s="7" t="s">
        <v>6</v>
      </c>
      <c r="D67" s="7" t="str">
        <f t="shared" ref="D67:D101" si="1">IF(B67&lt;$F$1,"Fail","PAss")</f>
        <v>PAss</v>
      </c>
    </row>
    <row r="68" spans="1:4" x14ac:dyDescent="0.3">
      <c r="A68" t="s">
        <v>16</v>
      </c>
      <c r="B68" s="7">
        <v>46</v>
      </c>
      <c r="C68" s="7" t="s">
        <v>9</v>
      </c>
      <c r="D68" s="7" t="str">
        <f t="shared" si="1"/>
        <v>Fail</v>
      </c>
    </row>
    <row r="69" spans="1:4" x14ac:dyDescent="0.3">
      <c r="A69" t="s">
        <v>10</v>
      </c>
      <c r="B69" s="7">
        <v>16</v>
      </c>
      <c r="C69" s="7" t="s">
        <v>6</v>
      </c>
      <c r="D69" s="7" t="str">
        <f t="shared" si="1"/>
        <v>Fail</v>
      </c>
    </row>
    <row r="70" spans="1:4" x14ac:dyDescent="0.3">
      <c r="A70" t="s">
        <v>10</v>
      </c>
      <c r="B70" s="7">
        <v>82</v>
      </c>
      <c r="C70" s="7" t="s">
        <v>9</v>
      </c>
      <c r="D70" s="7" t="str">
        <f t="shared" si="1"/>
        <v>PAss</v>
      </c>
    </row>
    <row r="71" spans="1:4" x14ac:dyDescent="0.3">
      <c r="A71" t="s">
        <v>13</v>
      </c>
      <c r="B71" s="7">
        <v>18</v>
      </c>
      <c r="C71" s="7" t="s">
        <v>9</v>
      </c>
      <c r="D71" s="7" t="str">
        <f t="shared" si="1"/>
        <v>Fail</v>
      </c>
    </row>
    <row r="72" spans="1:4" x14ac:dyDescent="0.3">
      <c r="A72" t="s">
        <v>10</v>
      </c>
      <c r="B72" s="7">
        <v>51</v>
      </c>
      <c r="C72" s="7" t="s">
        <v>6</v>
      </c>
      <c r="D72" s="7" t="str">
        <f t="shared" si="1"/>
        <v>PAss</v>
      </c>
    </row>
    <row r="73" spans="1:4" x14ac:dyDescent="0.3">
      <c r="A73" t="s">
        <v>10</v>
      </c>
      <c r="B73" s="7">
        <v>29</v>
      </c>
      <c r="C73" s="7" t="s">
        <v>6</v>
      </c>
      <c r="D73" s="7" t="str">
        <f t="shared" si="1"/>
        <v>Fail</v>
      </c>
    </row>
    <row r="74" spans="1:4" x14ac:dyDescent="0.3">
      <c r="A74" t="s">
        <v>8</v>
      </c>
      <c r="B74" s="7">
        <v>25</v>
      </c>
      <c r="C74" s="7" t="s">
        <v>9</v>
      </c>
      <c r="D74" s="7" t="str">
        <f t="shared" si="1"/>
        <v>Fail</v>
      </c>
    </row>
    <row r="75" spans="1:4" x14ac:dyDescent="0.3">
      <c r="A75" t="s">
        <v>14</v>
      </c>
      <c r="B75" s="7">
        <v>21</v>
      </c>
      <c r="C75" s="7" t="s">
        <v>6</v>
      </c>
      <c r="D75" s="7" t="str">
        <f t="shared" si="1"/>
        <v>Fail</v>
      </c>
    </row>
    <row r="76" spans="1:4" x14ac:dyDescent="0.3">
      <c r="A76" t="s">
        <v>11</v>
      </c>
      <c r="B76" s="7">
        <v>95</v>
      </c>
      <c r="C76" s="7" t="s">
        <v>6</v>
      </c>
      <c r="D76" s="7" t="str">
        <f t="shared" si="1"/>
        <v>PAss</v>
      </c>
    </row>
    <row r="77" spans="1:4" x14ac:dyDescent="0.3">
      <c r="A77" t="s">
        <v>8</v>
      </c>
      <c r="B77" s="7">
        <v>31</v>
      </c>
      <c r="C77" s="7" t="s">
        <v>6</v>
      </c>
      <c r="D77" s="7" t="str">
        <f t="shared" si="1"/>
        <v>Fail</v>
      </c>
    </row>
    <row r="78" spans="1:4" x14ac:dyDescent="0.3">
      <c r="A78" t="s">
        <v>11</v>
      </c>
      <c r="B78" s="7">
        <v>85</v>
      </c>
      <c r="C78" s="7" t="s">
        <v>9</v>
      </c>
      <c r="D78" s="7" t="str">
        <f t="shared" si="1"/>
        <v>PAss</v>
      </c>
    </row>
    <row r="79" spans="1:4" x14ac:dyDescent="0.3">
      <c r="A79" t="s">
        <v>7</v>
      </c>
      <c r="B79" s="7">
        <v>50</v>
      </c>
      <c r="C79" s="7" t="s">
        <v>6</v>
      </c>
      <c r="D79" s="7" t="str">
        <f t="shared" si="1"/>
        <v>PAss</v>
      </c>
    </row>
    <row r="80" spans="1:4" x14ac:dyDescent="0.3">
      <c r="A80" t="s">
        <v>15</v>
      </c>
      <c r="B80" s="7">
        <v>62</v>
      </c>
      <c r="C80" s="7" t="s">
        <v>6</v>
      </c>
      <c r="D80" s="7" t="str">
        <f t="shared" si="1"/>
        <v>PAss</v>
      </c>
    </row>
    <row r="81" spans="1:4" x14ac:dyDescent="0.3">
      <c r="A81" t="s">
        <v>13</v>
      </c>
      <c r="B81" s="7">
        <v>86</v>
      </c>
      <c r="C81" s="7" t="s">
        <v>9</v>
      </c>
      <c r="D81" s="7" t="str">
        <f t="shared" si="1"/>
        <v>PAss</v>
      </c>
    </row>
    <row r="82" spans="1:4" x14ac:dyDescent="0.3">
      <c r="A82" t="s">
        <v>5</v>
      </c>
      <c r="B82" s="7">
        <v>76</v>
      </c>
      <c r="C82" s="7" t="s">
        <v>9</v>
      </c>
      <c r="D82" s="7" t="str">
        <f t="shared" si="1"/>
        <v>PAss</v>
      </c>
    </row>
    <row r="83" spans="1:4" x14ac:dyDescent="0.3">
      <c r="A83" t="s">
        <v>7</v>
      </c>
      <c r="B83" s="7">
        <v>15</v>
      </c>
      <c r="C83" s="7" t="s">
        <v>6</v>
      </c>
      <c r="D83" s="7" t="str">
        <f t="shared" si="1"/>
        <v>Fail</v>
      </c>
    </row>
    <row r="84" spans="1:4" x14ac:dyDescent="0.3">
      <c r="A84" t="s">
        <v>12</v>
      </c>
      <c r="B84" s="7">
        <v>62</v>
      </c>
      <c r="C84" s="7" t="s">
        <v>9</v>
      </c>
      <c r="D84" s="7" t="str">
        <f t="shared" si="1"/>
        <v>PAss</v>
      </c>
    </row>
    <row r="85" spans="1:4" x14ac:dyDescent="0.3">
      <c r="A85" t="s">
        <v>16</v>
      </c>
      <c r="B85" s="7">
        <v>80</v>
      </c>
      <c r="C85" s="7" t="s">
        <v>6</v>
      </c>
      <c r="D85" s="7" t="str">
        <f t="shared" si="1"/>
        <v>PAss</v>
      </c>
    </row>
    <row r="86" spans="1:4" x14ac:dyDescent="0.3">
      <c r="A86" t="s">
        <v>12</v>
      </c>
      <c r="B86" s="7">
        <v>19</v>
      </c>
      <c r="C86" s="7" t="s">
        <v>9</v>
      </c>
      <c r="D86" s="7" t="str">
        <f t="shared" si="1"/>
        <v>Fail</v>
      </c>
    </row>
    <row r="87" spans="1:4" x14ac:dyDescent="0.3">
      <c r="A87" t="s">
        <v>14</v>
      </c>
      <c r="B87" s="7">
        <v>31</v>
      </c>
      <c r="C87" s="7" t="s">
        <v>9</v>
      </c>
      <c r="D87" s="7" t="str">
        <f t="shared" si="1"/>
        <v>Fail</v>
      </c>
    </row>
    <row r="88" spans="1:4" x14ac:dyDescent="0.3">
      <c r="A88" t="s">
        <v>16</v>
      </c>
      <c r="B88" s="7">
        <v>13</v>
      </c>
      <c r="C88" s="7" t="s">
        <v>6</v>
      </c>
      <c r="D88" s="7" t="str">
        <f t="shared" si="1"/>
        <v>Fail</v>
      </c>
    </row>
    <row r="89" spans="1:4" x14ac:dyDescent="0.3">
      <c r="A89" t="s">
        <v>10</v>
      </c>
      <c r="B89" s="7">
        <v>85</v>
      </c>
      <c r="C89" s="7" t="s">
        <v>9</v>
      </c>
      <c r="D89" s="7" t="str">
        <f t="shared" si="1"/>
        <v>PAss</v>
      </c>
    </row>
    <row r="90" spans="1:4" x14ac:dyDescent="0.3">
      <c r="A90" t="s">
        <v>8</v>
      </c>
      <c r="B90" s="7">
        <v>23</v>
      </c>
      <c r="C90" s="7" t="s">
        <v>6</v>
      </c>
      <c r="D90" s="7" t="str">
        <f t="shared" si="1"/>
        <v>Fail</v>
      </c>
    </row>
    <row r="91" spans="1:4" x14ac:dyDescent="0.3">
      <c r="A91" t="s">
        <v>14</v>
      </c>
      <c r="B91" s="7">
        <v>99</v>
      </c>
      <c r="C91" s="7" t="s">
        <v>6</v>
      </c>
      <c r="D91" s="7" t="str">
        <f t="shared" si="1"/>
        <v>PAss</v>
      </c>
    </row>
    <row r="92" spans="1:4" x14ac:dyDescent="0.3">
      <c r="A92" t="s">
        <v>14</v>
      </c>
      <c r="B92" s="7">
        <v>55</v>
      </c>
      <c r="C92" s="7" t="s">
        <v>9</v>
      </c>
      <c r="D92" s="7" t="str">
        <f t="shared" si="1"/>
        <v>PAss</v>
      </c>
    </row>
    <row r="93" spans="1:4" x14ac:dyDescent="0.3">
      <c r="A93" t="s">
        <v>11</v>
      </c>
      <c r="B93" s="7">
        <v>6</v>
      </c>
      <c r="C93" s="7" t="s">
        <v>6</v>
      </c>
      <c r="D93" s="7" t="str">
        <f t="shared" si="1"/>
        <v>Fail</v>
      </c>
    </row>
    <row r="94" spans="1:4" x14ac:dyDescent="0.3">
      <c r="A94" t="s">
        <v>8</v>
      </c>
      <c r="B94" s="7">
        <v>53</v>
      </c>
      <c r="C94" s="7" t="s">
        <v>6</v>
      </c>
      <c r="D94" s="7" t="str">
        <f t="shared" si="1"/>
        <v>PAss</v>
      </c>
    </row>
    <row r="95" spans="1:4" x14ac:dyDescent="0.3">
      <c r="A95" t="s">
        <v>14</v>
      </c>
      <c r="B95" s="7">
        <v>72</v>
      </c>
      <c r="C95" s="7" t="s">
        <v>6</v>
      </c>
      <c r="D95" s="7" t="str">
        <f t="shared" si="1"/>
        <v>PAss</v>
      </c>
    </row>
    <row r="96" spans="1:4" x14ac:dyDescent="0.3">
      <c r="A96" t="s">
        <v>5</v>
      </c>
      <c r="B96" s="7">
        <v>34</v>
      </c>
      <c r="C96" s="7" t="s">
        <v>6</v>
      </c>
      <c r="D96" s="7" t="str">
        <f t="shared" si="1"/>
        <v>Fail</v>
      </c>
    </row>
    <row r="97" spans="1:4" x14ac:dyDescent="0.3">
      <c r="A97" t="s">
        <v>8</v>
      </c>
      <c r="B97" s="7">
        <v>89</v>
      </c>
      <c r="C97" s="7" t="s">
        <v>6</v>
      </c>
      <c r="D97" s="7" t="str">
        <f t="shared" si="1"/>
        <v>PAss</v>
      </c>
    </row>
    <row r="98" spans="1:4" x14ac:dyDescent="0.3">
      <c r="A98" t="s">
        <v>8</v>
      </c>
      <c r="B98" s="7">
        <v>38</v>
      </c>
      <c r="C98" s="7" t="s">
        <v>6</v>
      </c>
      <c r="D98" s="7" t="str">
        <f t="shared" si="1"/>
        <v>Fail</v>
      </c>
    </row>
    <row r="99" spans="1:4" x14ac:dyDescent="0.3">
      <c r="A99" t="s">
        <v>13</v>
      </c>
      <c r="B99" s="7">
        <v>13</v>
      </c>
      <c r="C99" s="7" t="s">
        <v>6</v>
      </c>
      <c r="D99" s="7" t="str">
        <f t="shared" si="1"/>
        <v>Fail</v>
      </c>
    </row>
    <row r="100" spans="1:4" x14ac:dyDescent="0.3">
      <c r="A100" t="s">
        <v>16</v>
      </c>
      <c r="B100" s="7">
        <v>56</v>
      </c>
      <c r="C100" s="7" t="s">
        <v>9</v>
      </c>
      <c r="D100" s="7" t="str">
        <f t="shared" si="1"/>
        <v>PAss</v>
      </c>
    </row>
    <row r="101" spans="1:4" x14ac:dyDescent="0.3">
      <c r="A101" t="s">
        <v>5</v>
      </c>
      <c r="B101" s="7">
        <v>14</v>
      </c>
      <c r="C101" s="7" t="s">
        <v>6</v>
      </c>
      <c r="D101" s="7" t="str">
        <f t="shared" si="1"/>
        <v>Fail</v>
      </c>
    </row>
  </sheetData>
  <dataValidations count="1">
    <dataValidation type="list" allowBlank="1" showInputMessage="1" showErrorMessage="1" sqref="G15" xr:uid="{94B9CBD0-B687-4FDC-B5AC-7E71F2B66E24}">
      <formula1>$G$9:$G$12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L11" sqref="L11"/>
    </sheetView>
  </sheetViews>
  <sheetFormatPr defaultRowHeight="14.4" x14ac:dyDescent="0.3"/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20</v>
      </c>
      <c r="B2">
        <v>9583</v>
      </c>
      <c r="C2">
        <v>1556.29</v>
      </c>
    </row>
    <row r="3" spans="1:3" x14ac:dyDescent="0.3">
      <c r="A3" t="s">
        <v>20</v>
      </c>
      <c r="B3">
        <v>46224</v>
      </c>
      <c r="C3">
        <v>6447.92</v>
      </c>
    </row>
    <row r="4" spans="1:3" x14ac:dyDescent="0.3">
      <c r="A4" t="s">
        <v>21</v>
      </c>
      <c r="B4">
        <v>41804</v>
      </c>
      <c r="C4">
        <v>4595.05</v>
      </c>
    </row>
    <row r="5" spans="1:3" x14ac:dyDescent="0.3">
      <c r="A5" t="s">
        <v>22</v>
      </c>
      <c r="B5">
        <v>23683</v>
      </c>
      <c r="C5">
        <v>4297.96</v>
      </c>
    </row>
    <row r="6" spans="1:3" x14ac:dyDescent="0.3">
      <c r="A6" t="s">
        <v>23</v>
      </c>
      <c r="B6">
        <v>38739</v>
      </c>
      <c r="C6">
        <v>8809.34</v>
      </c>
    </row>
    <row r="7" spans="1:3" x14ac:dyDescent="0.3">
      <c r="A7" t="s">
        <v>24</v>
      </c>
      <c r="B7">
        <v>25730</v>
      </c>
      <c r="C7">
        <v>5405.34</v>
      </c>
    </row>
    <row r="8" spans="1:3" x14ac:dyDescent="0.3">
      <c r="A8" t="s">
        <v>25</v>
      </c>
      <c r="B8">
        <v>30072</v>
      </c>
      <c r="C8">
        <v>3812.01</v>
      </c>
    </row>
    <row r="9" spans="1:3" x14ac:dyDescent="0.3">
      <c r="A9" t="s">
        <v>24</v>
      </c>
      <c r="B9">
        <v>21425</v>
      </c>
      <c r="C9">
        <v>5174.5200000000004</v>
      </c>
    </row>
    <row r="10" spans="1:3" x14ac:dyDescent="0.3">
      <c r="A10" t="s">
        <v>26</v>
      </c>
      <c r="B10">
        <v>48809</v>
      </c>
      <c r="C10">
        <v>18612.759999999998</v>
      </c>
    </row>
    <row r="11" spans="1:3" x14ac:dyDescent="0.3">
      <c r="A11" t="s">
        <v>24</v>
      </c>
      <c r="B11">
        <v>25507</v>
      </c>
      <c r="C11">
        <v>8925.7800000000007</v>
      </c>
    </row>
    <row r="12" spans="1:3" x14ac:dyDescent="0.3">
      <c r="A12" t="s">
        <v>27</v>
      </c>
      <c r="B12">
        <v>10693</v>
      </c>
      <c r="C12">
        <v>1347.78</v>
      </c>
    </row>
    <row r="13" spans="1:3" x14ac:dyDescent="0.3">
      <c r="A13" t="s">
        <v>21</v>
      </c>
      <c r="B13">
        <v>46898</v>
      </c>
      <c r="C13">
        <v>7333.56</v>
      </c>
    </row>
    <row r="14" spans="1:3" x14ac:dyDescent="0.3">
      <c r="A14" t="s">
        <v>21</v>
      </c>
      <c r="B14">
        <v>28809</v>
      </c>
      <c r="C14">
        <v>10754.91</v>
      </c>
    </row>
    <row r="15" spans="1:3" x14ac:dyDescent="0.3">
      <c r="A15" t="s">
        <v>25</v>
      </c>
      <c r="B15">
        <v>22203</v>
      </c>
      <c r="C15">
        <v>8065.9</v>
      </c>
    </row>
    <row r="16" spans="1:3" x14ac:dyDescent="0.3">
      <c r="A16" t="s">
        <v>25</v>
      </c>
      <c r="B16">
        <v>22895</v>
      </c>
      <c r="C16">
        <v>8067.6</v>
      </c>
    </row>
    <row r="17" spans="1:3" x14ac:dyDescent="0.3">
      <c r="A17" t="s">
        <v>24</v>
      </c>
      <c r="B17">
        <v>45609</v>
      </c>
      <c r="C17">
        <v>12568.96</v>
      </c>
    </row>
    <row r="18" spans="1:3" x14ac:dyDescent="0.3">
      <c r="A18" t="s">
        <v>28</v>
      </c>
      <c r="B18">
        <v>14871</v>
      </c>
      <c r="C18">
        <v>4659.45</v>
      </c>
    </row>
    <row r="19" spans="1:3" x14ac:dyDescent="0.3">
      <c r="A19" t="s">
        <v>21</v>
      </c>
      <c r="B19">
        <v>29107</v>
      </c>
      <c r="C19">
        <v>6354.67</v>
      </c>
    </row>
    <row r="20" spans="1:3" x14ac:dyDescent="0.3">
      <c r="A20" t="s">
        <v>20</v>
      </c>
      <c r="B20">
        <v>31619</v>
      </c>
      <c r="C20">
        <v>10984.87</v>
      </c>
    </row>
    <row r="21" spans="1:3" x14ac:dyDescent="0.3">
      <c r="A21" t="s">
        <v>25</v>
      </c>
      <c r="B21">
        <v>23635</v>
      </c>
      <c r="C21">
        <v>5389.85</v>
      </c>
    </row>
    <row r="22" spans="1:3" x14ac:dyDescent="0.3">
      <c r="A22" t="s">
        <v>26</v>
      </c>
      <c r="B22">
        <v>30810</v>
      </c>
      <c r="C22">
        <v>4082.21</v>
      </c>
    </row>
    <row r="23" spans="1:3" x14ac:dyDescent="0.3">
      <c r="A23" t="s">
        <v>22</v>
      </c>
      <c r="B23">
        <v>29873</v>
      </c>
      <c r="C23">
        <v>10297.629999999999</v>
      </c>
    </row>
    <row r="24" spans="1:3" x14ac:dyDescent="0.3">
      <c r="A24" t="s">
        <v>25</v>
      </c>
      <c r="B24">
        <v>41523</v>
      </c>
      <c r="C24">
        <v>6573.12</v>
      </c>
    </row>
    <row r="25" spans="1:3" x14ac:dyDescent="0.3">
      <c r="A25" t="s">
        <v>28</v>
      </c>
      <c r="B25">
        <v>29929</v>
      </c>
      <c r="C25">
        <v>6599.61</v>
      </c>
    </row>
    <row r="26" spans="1:3" x14ac:dyDescent="0.3">
      <c r="A26" t="s">
        <v>28</v>
      </c>
      <c r="B26">
        <v>9662</v>
      </c>
      <c r="C26">
        <v>2583.71</v>
      </c>
    </row>
    <row r="27" spans="1:3" x14ac:dyDescent="0.3">
      <c r="A27" t="s">
        <v>26</v>
      </c>
      <c r="B27">
        <v>8247</v>
      </c>
      <c r="C27">
        <v>2571.8200000000002</v>
      </c>
    </row>
    <row r="28" spans="1:3" x14ac:dyDescent="0.3">
      <c r="A28" t="s">
        <v>23</v>
      </c>
      <c r="B28">
        <v>27482</v>
      </c>
      <c r="C28">
        <v>10236.370000000001</v>
      </c>
    </row>
    <row r="29" spans="1:3" x14ac:dyDescent="0.3">
      <c r="A29" t="s">
        <v>22</v>
      </c>
      <c r="B29">
        <v>42243</v>
      </c>
      <c r="C29">
        <v>9620.6200000000008</v>
      </c>
    </row>
    <row r="30" spans="1:3" x14ac:dyDescent="0.3">
      <c r="A30" t="s">
        <v>26</v>
      </c>
      <c r="B30">
        <v>30394</v>
      </c>
      <c r="C30">
        <v>10882.9</v>
      </c>
    </row>
    <row r="31" spans="1:3" x14ac:dyDescent="0.3">
      <c r="A31" t="s">
        <v>25</v>
      </c>
      <c r="B31">
        <v>9249</v>
      </c>
      <c r="C31">
        <v>1191.03</v>
      </c>
    </row>
    <row r="32" spans="1:3" x14ac:dyDescent="0.3">
      <c r="A32" t="s">
        <v>29</v>
      </c>
      <c r="B32">
        <v>30120</v>
      </c>
      <c r="C32">
        <v>8431.06</v>
      </c>
    </row>
    <row r="33" spans="1:3" x14ac:dyDescent="0.3">
      <c r="A33" t="s">
        <v>25</v>
      </c>
      <c r="B33">
        <v>22197</v>
      </c>
      <c r="C33">
        <v>3403.24</v>
      </c>
    </row>
    <row r="34" spans="1:3" x14ac:dyDescent="0.3">
      <c r="A34" t="s">
        <v>21</v>
      </c>
      <c r="B34">
        <v>16851</v>
      </c>
      <c r="C34">
        <v>1928.37</v>
      </c>
    </row>
    <row r="35" spans="1:3" x14ac:dyDescent="0.3">
      <c r="A35" t="s">
        <v>23</v>
      </c>
      <c r="B35">
        <v>8273</v>
      </c>
      <c r="C35">
        <v>2063.9</v>
      </c>
    </row>
    <row r="36" spans="1:3" x14ac:dyDescent="0.3">
      <c r="A36" t="s">
        <v>22</v>
      </c>
      <c r="B36">
        <v>43825</v>
      </c>
      <c r="C36">
        <v>16297.49</v>
      </c>
    </row>
    <row r="37" spans="1:3" x14ac:dyDescent="0.3">
      <c r="A37" t="s">
        <v>25</v>
      </c>
      <c r="B37">
        <v>35793</v>
      </c>
      <c r="C37">
        <v>7112.68</v>
      </c>
    </row>
    <row r="38" spans="1:3" x14ac:dyDescent="0.3">
      <c r="A38" t="s">
        <v>27</v>
      </c>
      <c r="B38">
        <v>37178</v>
      </c>
      <c r="C38">
        <v>10468.61</v>
      </c>
    </row>
    <row r="39" spans="1:3" x14ac:dyDescent="0.3">
      <c r="A39" t="s">
        <v>30</v>
      </c>
      <c r="B39">
        <v>7479</v>
      </c>
      <c r="C39">
        <v>2982.75</v>
      </c>
    </row>
    <row r="40" spans="1:3" x14ac:dyDescent="0.3">
      <c r="A40" t="s">
        <v>26</v>
      </c>
      <c r="B40">
        <v>14159</v>
      </c>
      <c r="C40">
        <v>4511.3599999999997</v>
      </c>
    </row>
    <row r="41" spans="1:3" x14ac:dyDescent="0.3">
      <c r="A41" t="s">
        <v>29</v>
      </c>
      <c r="B41">
        <v>43217</v>
      </c>
      <c r="C41">
        <v>8999.9500000000007</v>
      </c>
    </row>
    <row r="42" spans="1:3" x14ac:dyDescent="0.3">
      <c r="A42" t="s">
        <v>25</v>
      </c>
      <c r="B42">
        <v>22961</v>
      </c>
      <c r="C42">
        <v>4857.66</v>
      </c>
    </row>
    <row r="43" spans="1:3" x14ac:dyDescent="0.3">
      <c r="A43" t="s">
        <v>26</v>
      </c>
      <c r="B43">
        <v>44305</v>
      </c>
      <c r="C43">
        <v>9369.18</v>
      </c>
    </row>
    <row r="44" spans="1:3" x14ac:dyDescent="0.3">
      <c r="A44" t="s">
        <v>28</v>
      </c>
      <c r="B44">
        <v>10714</v>
      </c>
      <c r="C44">
        <v>3011.34</v>
      </c>
    </row>
    <row r="45" spans="1:3" x14ac:dyDescent="0.3">
      <c r="A45" t="s">
        <v>26</v>
      </c>
      <c r="B45">
        <v>20946</v>
      </c>
      <c r="C45">
        <v>2927.57</v>
      </c>
    </row>
    <row r="46" spans="1:3" x14ac:dyDescent="0.3">
      <c r="A46" t="s">
        <v>30</v>
      </c>
      <c r="B46">
        <v>44217</v>
      </c>
      <c r="C46">
        <v>15721.01</v>
      </c>
    </row>
    <row r="47" spans="1:3" x14ac:dyDescent="0.3">
      <c r="A47" t="s">
        <v>29</v>
      </c>
      <c r="B47">
        <v>36335</v>
      </c>
      <c r="C47">
        <v>5323.26</v>
      </c>
    </row>
    <row r="48" spans="1:3" x14ac:dyDescent="0.3">
      <c r="A48" t="s">
        <v>21</v>
      </c>
      <c r="B48">
        <v>13131</v>
      </c>
      <c r="C48">
        <v>2159.9299999999998</v>
      </c>
    </row>
    <row r="49" spans="1:3" x14ac:dyDescent="0.3">
      <c r="A49" t="s">
        <v>22</v>
      </c>
      <c r="B49">
        <v>44596</v>
      </c>
      <c r="C49">
        <v>15073.99</v>
      </c>
    </row>
    <row r="50" spans="1:3" x14ac:dyDescent="0.3">
      <c r="A50" t="s">
        <v>23</v>
      </c>
      <c r="B50">
        <v>19526</v>
      </c>
      <c r="C50">
        <v>6392.25</v>
      </c>
    </row>
    <row r="51" spans="1:3" x14ac:dyDescent="0.3">
      <c r="A51" t="s">
        <v>30</v>
      </c>
      <c r="B51">
        <v>13949</v>
      </c>
      <c r="C51">
        <v>4309.03</v>
      </c>
    </row>
    <row r="52" spans="1:3" x14ac:dyDescent="0.3">
      <c r="A52" t="s">
        <v>28</v>
      </c>
      <c r="B52">
        <v>16790</v>
      </c>
      <c r="C52">
        <v>5605.43</v>
      </c>
    </row>
    <row r="53" spans="1:3" x14ac:dyDescent="0.3">
      <c r="A53" t="s">
        <v>28</v>
      </c>
      <c r="B53">
        <v>39291</v>
      </c>
      <c r="C53">
        <v>4732.47</v>
      </c>
    </row>
    <row r="54" spans="1:3" x14ac:dyDescent="0.3">
      <c r="A54" t="s">
        <v>31</v>
      </c>
      <c r="B54">
        <v>6889</v>
      </c>
      <c r="C54">
        <v>2144.7800000000002</v>
      </c>
    </row>
    <row r="55" spans="1:3" x14ac:dyDescent="0.3">
      <c r="A55" t="s">
        <v>23</v>
      </c>
      <c r="B55">
        <v>28768</v>
      </c>
      <c r="C55">
        <v>7998.09</v>
      </c>
    </row>
    <row r="56" spans="1:3" x14ac:dyDescent="0.3">
      <c r="A56" t="s">
        <v>20</v>
      </c>
      <c r="B56">
        <v>31569</v>
      </c>
      <c r="C56">
        <v>12011.27</v>
      </c>
    </row>
    <row r="57" spans="1:3" x14ac:dyDescent="0.3">
      <c r="A57" t="s">
        <v>20</v>
      </c>
      <c r="B57">
        <v>5438</v>
      </c>
      <c r="C57">
        <v>1984.32</v>
      </c>
    </row>
    <row r="58" spans="1:3" x14ac:dyDescent="0.3">
      <c r="A58" t="s">
        <v>28</v>
      </c>
      <c r="B58">
        <v>49982</v>
      </c>
      <c r="C58">
        <v>6521.44</v>
      </c>
    </row>
    <row r="59" spans="1:3" x14ac:dyDescent="0.3">
      <c r="A59" t="s">
        <v>26</v>
      </c>
      <c r="B59">
        <v>43376</v>
      </c>
      <c r="C59">
        <v>16110.2</v>
      </c>
    </row>
    <row r="60" spans="1:3" x14ac:dyDescent="0.3">
      <c r="A60" t="s">
        <v>23</v>
      </c>
      <c r="B60">
        <v>19225</v>
      </c>
      <c r="C60">
        <v>4417.1000000000004</v>
      </c>
    </row>
    <row r="61" spans="1:3" x14ac:dyDescent="0.3">
      <c r="A61" t="s">
        <v>24</v>
      </c>
      <c r="B61">
        <v>31701</v>
      </c>
      <c r="C61">
        <v>11752.65</v>
      </c>
    </row>
    <row r="62" spans="1:3" x14ac:dyDescent="0.3">
      <c r="A62" t="s">
        <v>22</v>
      </c>
      <c r="B62">
        <v>8152</v>
      </c>
      <c r="C62">
        <v>3079.13</v>
      </c>
    </row>
    <row r="63" spans="1:3" x14ac:dyDescent="0.3">
      <c r="A63" t="s">
        <v>25</v>
      </c>
      <c r="B63">
        <v>16245</v>
      </c>
      <c r="C63">
        <v>1715.71</v>
      </c>
    </row>
    <row r="64" spans="1:3" x14ac:dyDescent="0.3">
      <c r="A64" t="s">
        <v>30</v>
      </c>
      <c r="B64">
        <v>10718</v>
      </c>
      <c r="C64">
        <v>2245.44</v>
      </c>
    </row>
    <row r="65" spans="1:3" x14ac:dyDescent="0.3">
      <c r="A65" t="s">
        <v>31</v>
      </c>
      <c r="B65">
        <v>34314</v>
      </c>
      <c r="C65">
        <v>9128.1299999999992</v>
      </c>
    </row>
    <row r="66" spans="1:3" x14ac:dyDescent="0.3">
      <c r="A66" t="s">
        <v>22</v>
      </c>
      <c r="B66">
        <v>44656</v>
      </c>
      <c r="C66">
        <v>13447.51</v>
      </c>
    </row>
    <row r="67" spans="1:3" x14ac:dyDescent="0.3">
      <c r="A67" t="s">
        <v>24</v>
      </c>
      <c r="B67">
        <v>37187</v>
      </c>
      <c r="C67">
        <v>9906.3799999999992</v>
      </c>
    </row>
    <row r="68" spans="1:3" x14ac:dyDescent="0.3">
      <c r="A68" t="s">
        <v>28</v>
      </c>
      <c r="B68">
        <v>29343</v>
      </c>
      <c r="C68">
        <v>3287.61</v>
      </c>
    </row>
    <row r="69" spans="1:3" x14ac:dyDescent="0.3">
      <c r="A69" t="s">
        <v>30</v>
      </c>
      <c r="B69">
        <v>37424</v>
      </c>
      <c r="C69">
        <v>4797.72</v>
      </c>
    </row>
    <row r="70" spans="1:3" x14ac:dyDescent="0.3">
      <c r="A70" t="s">
        <v>28</v>
      </c>
      <c r="B70">
        <v>14237</v>
      </c>
      <c r="C70">
        <v>4686.5200000000004</v>
      </c>
    </row>
    <row r="71" spans="1:3" x14ac:dyDescent="0.3">
      <c r="A71" t="s">
        <v>30</v>
      </c>
      <c r="B71">
        <v>15035</v>
      </c>
      <c r="C71">
        <v>2992.69</v>
      </c>
    </row>
    <row r="72" spans="1:3" x14ac:dyDescent="0.3">
      <c r="A72" t="s">
        <v>23</v>
      </c>
      <c r="B72">
        <v>46234</v>
      </c>
      <c r="C72">
        <v>13542.62</v>
      </c>
    </row>
    <row r="73" spans="1:3" x14ac:dyDescent="0.3">
      <c r="A73" t="s">
        <v>26</v>
      </c>
      <c r="B73">
        <v>40476</v>
      </c>
      <c r="C73">
        <v>6341.28</v>
      </c>
    </row>
    <row r="74" spans="1:3" x14ac:dyDescent="0.3">
      <c r="A74" t="s">
        <v>23</v>
      </c>
      <c r="B74">
        <v>37898</v>
      </c>
      <c r="C74">
        <v>6378.19</v>
      </c>
    </row>
    <row r="75" spans="1:3" x14ac:dyDescent="0.3">
      <c r="A75" t="s">
        <v>28</v>
      </c>
      <c r="B75">
        <v>19682</v>
      </c>
      <c r="C75">
        <v>3689.35</v>
      </c>
    </row>
    <row r="76" spans="1:3" x14ac:dyDescent="0.3">
      <c r="A76" t="s">
        <v>22</v>
      </c>
      <c r="B76">
        <v>44915</v>
      </c>
      <c r="C76">
        <v>7605.55</v>
      </c>
    </row>
    <row r="77" spans="1:3" x14ac:dyDescent="0.3">
      <c r="A77" t="s">
        <v>29</v>
      </c>
      <c r="B77">
        <v>5360</v>
      </c>
      <c r="C77">
        <v>766.02</v>
      </c>
    </row>
    <row r="78" spans="1:3" x14ac:dyDescent="0.3">
      <c r="A78" t="s">
        <v>21</v>
      </c>
      <c r="B78">
        <v>25981</v>
      </c>
      <c r="C78">
        <v>7671.97</v>
      </c>
    </row>
    <row r="79" spans="1:3" x14ac:dyDescent="0.3">
      <c r="A79" t="s">
        <v>28</v>
      </c>
      <c r="B79">
        <v>30414</v>
      </c>
      <c r="C79">
        <v>4042.95</v>
      </c>
    </row>
    <row r="80" spans="1:3" x14ac:dyDescent="0.3">
      <c r="A80" t="s">
        <v>22</v>
      </c>
      <c r="B80">
        <v>22028</v>
      </c>
      <c r="C80">
        <v>5609.79</v>
      </c>
    </row>
    <row r="81" spans="1:3" x14ac:dyDescent="0.3">
      <c r="A81" t="s">
        <v>21</v>
      </c>
      <c r="B81">
        <v>28655</v>
      </c>
      <c r="C81">
        <v>6643.73</v>
      </c>
    </row>
    <row r="82" spans="1:3" x14ac:dyDescent="0.3">
      <c r="A82" t="s">
        <v>26</v>
      </c>
      <c r="B82">
        <v>20693</v>
      </c>
      <c r="C82">
        <v>4063.36</v>
      </c>
    </row>
    <row r="83" spans="1:3" x14ac:dyDescent="0.3">
      <c r="A83" t="s">
        <v>22</v>
      </c>
      <c r="B83">
        <v>8379</v>
      </c>
      <c r="C83">
        <v>1751.19</v>
      </c>
    </row>
    <row r="84" spans="1:3" x14ac:dyDescent="0.3">
      <c r="A84" t="s">
        <v>31</v>
      </c>
      <c r="B84">
        <v>30497</v>
      </c>
      <c r="C84">
        <v>7223.77</v>
      </c>
    </row>
    <row r="85" spans="1:3" x14ac:dyDescent="0.3">
      <c r="A85" t="s">
        <v>26</v>
      </c>
      <c r="B85">
        <v>46142</v>
      </c>
      <c r="C85">
        <v>12708.83</v>
      </c>
    </row>
    <row r="86" spans="1:3" x14ac:dyDescent="0.3">
      <c r="A86" t="s">
        <v>29</v>
      </c>
      <c r="B86">
        <v>25249</v>
      </c>
      <c r="C86">
        <v>4095.12</v>
      </c>
    </row>
    <row r="87" spans="1:3" x14ac:dyDescent="0.3">
      <c r="A87" t="s">
        <v>27</v>
      </c>
      <c r="B87">
        <v>31076</v>
      </c>
      <c r="C87">
        <v>4720.5600000000004</v>
      </c>
    </row>
    <row r="88" spans="1:3" x14ac:dyDescent="0.3">
      <c r="A88" t="s">
        <v>23</v>
      </c>
      <c r="B88">
        <v>22786</v>
      </c>
      <c r="C88">
        <v>5534.71</v>
      </c>
    </row>
    <row r="89" spans="1:3" x14ac:dyDescent="0.3">
      <c r="A89" t="s">
        <v>28</v>
      </c>
      <c r="B89">
        <v>16407</v>
      </c>
      <c r="C89">
        <v>5341.96</v>
      </c>
    </row>
    <row r="90" spans="1:3" x14ac:dyDescent="0.3">
      <c r="A90" t="s">
        <v>27</v>
      </c>
      <c r="B90">
        <v>41582</v>
      </c>
      <c r="C90">
        <v>4491.2299999999996</v>
      </c>
    </row>
    <row r="91" spans="1:3" x14ac:dyDescent="0.3">
      <c r="A91" t="s">
        <v>24</v>
      </c>
      <c r="B91">
        <v>46993</v>
      </c>
      <c r="C91">
        <v>13805.26</v>
      </c>
    </row>
    <row r="92" spans="1:3" x14ac:dyDescent="0.3">
      <c r="A92" t="s">
        <v>23</v>
      </c>
      <c r="B92">
        <v>16584</v>
      </c>
      <c r="C92">
        <v>4721.3100000000004</v>
      </c>
    </row>
    <row r="93" spans="1:3" x14ac:dyDescent="0.3">
      <c r="A93" t="s">
        <v>29</v>
      </c>
      <c r="B93">
        <v>31309</v>
      </c>
      <c r="C93">
        <v>7275.2</v>
      </c>
    </row>
    <row r="94" spans="1:3" x14ac:dyDescent="0.3">
      <c r="A94" t="s">
        <v>22</v>
      </c>
      <c r="B94">
        <v>5245</v>
      </c>
      <c r="C94">
        <v>1621.01</v>
      </c>
    </row>
    <row r="95" spans="1:3" x14ac:dyDescent="0.3">
      <c r="A95" t="s">
        <v>29</v>
      </c>
      <c r="B95">
        <v>33879</v>
      </c>
      <c r="C95">
        <v>8212.4699999999993</v>
      </c>
    </row>
    <row r="96" spans="1:3" x14ac:dyDescent="0.3">
      <c r="A96" t="s">
        <v>23</v>
      </c>
      <c r="B96">
        <v>38218</v>
      </c>
      <c r="C96">
        <v>13533.73</v>
      </c>
    </row>
    <row r="97" spans="1:3" x14ac:dyDescent="0.3">
      <c r="A97" t="s">
        <v>22</v>
      </c>
      <c r="B97">
        <v>31126</v>
      </c>
      <c r="C97">
        <v>7245.03</v>
      </c>
    </row>
    <row r="98" spans="1:3" x14ac:dyDescent="0.3">
      <c r="A98" t="s">
        <v>28</v>
      </c>
      <c r="B98">
        <v>13988</v>
      </c>
      <c r="C98">
        <v>5350.36</v>
      </c>
    </row>
    <row r="99" spans="1:3" x14ac:dyDescent="0.3">
      <c r="A99" t="s">
        <v>23</v>
      </c>
      <c r="B99">
        <v>9594</v>
      </c>
      <c r="C99">
        <v>2720.47</v>
      </c>
    </row>
    <row r="100" spans="1:3" x14ac:dyDescent="0.3">
      <c r="A100" t="s">
        <v>27</v>
      </c>
      <c r="B100">
        <v>34299</v>
      </c>
      <c r="C100">
        <v>7128.31</v>
      </c>
    </row>
    <row r="101" spans="1:3" x14ac:dyDescent="0.3">
      <c r="A101" t="s">
        <v>30</v>
      </c>
      <c r="B101">
        <v>11661</v>
      </c>
      <c r="C101">
        <v>1919.34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zoomScale="180" zoomScaleNormal="180" workbookViewId="0">
      <selection activeCell="F2" sqref="F2:F7"/>
    </sheetView>
  </sheetViews>
  <sheetFormatPr defaultRowHeight="14.4" x14ac:dyDescent="0.3"/>
  <cols>
    <col min="1" max="4" width="16.77734375" customWidth="1"/>
    <col min="5" max="5" width="19.5546875" customWidth="1"/>
    <col min="6" max="6" width="13.6640625" customWidth="1"/>
  </cols>
  <sheetData>
    <row r="1" spans="1:7" x14ac:dyDescent="0.3">
      <c r="A1" t="s">
        <v>32</v>
      </c>
      <c r="B1" t="s">
        <v>33</v>
      </c>
      <c r="C1" t="s">
        <v>34</v>
      </c>
      <c r="D1" t="s">
        <v>258</v>
      </c>
      <c r="E1" t="s">
        <v>259</v>
      </c>
      <c r="F1" t="s">
        <v>35</v>
      </c>
    </row>
    <row r="2" spans="1:7" x14ac:dyDescent="0.3">
      <c r="A2" t="s">
        <v>36</v>
      </c>
      <c r="B2" t="s">
        <v>37</v>
      </c>
      <c r="C2" t="s">
        <v>216</v>
      </c>
      <c r="D2" t="str">
        <f>_xlfn.CONCAT(A2," ",B2)</f>
        <v>Shila Sarkar</v>
      </c>
      <c r="E2" t="str">
        <f>_xlfn.TEXTJOIN(" ",TRUE,A2,B2)</f>
        <v>Shila Sarkar</v>
      </c>
      <c r="F2" t="str" cm="1">
        <f t="array" ref="F2:G2">_xlfn.TEXTSPLIT(E2," ")</f>
        <v>Shila</v>
      </c>
      <c r="G2" t="str">
        <v>Sarkar</v>
      </c>
    </row>
    <row r="3" spans="1:7" x14ac:dyDescent="0.3">
      <c r="A3" t="s">
        <v>36</v>
      </c>
      <c r="B3" t="s">
        <v>38</v>
      </c>
      <c r="C3" t="s">
        <v>217</v>
      </c>
      <c r="D3" t="str">
        <f>_xlfn.CONCAT(A3," ",B3)</f>
        <v>Shila Akter</v>
      </c>
      <c r="E3" t="str">
        <f t="shared" ref="E3:E66" si="0">_xlfn.TEXTJOIN(" ",TRUE,A3,B3)</f>
        <v>Shila Akter</v>
      </c>
      <c r="F3" t="str" cm="1">
        <f t="array" ref="F3:G3">_xlfn.TEXTSPLIT(E3," ")</f>
        <v>Shila</v>
      </c>
      <c r="G3" t="str">
        <v>Akter</v>
      </c>
    </row>
    <row r="4" spans="1:7" x14ac:dyDescent="0.3">
      <c r="A4" t="s">
        <v>39</v>
      </c>
      <c r="B4" t="s">
        <v>38</v>
      </c>
      <c r="C4" t="s">
        <v>218</v>
      </c>
      <c r="D4" t="str">
        <f t="shared" ref="D3:D66" si="1">_xlfn.CONCAT(A4," ",B4)</f>
        <v>Sadia Akter</v>
      </c>
      <c r="E4" t="str">
        <f t="shared" si="0"/>
        <v>Sadia Akter</v>
      </c>
      <c r="F4" t="str" cm="1">
        <f t="array" ref="F4:G4">_xlfn.TEXTSPLIT(E4," ")</f>
        <v>Sadia</v>
      </c>
      <c r="G4" t="str">
        <v>Akter</v>
      </c>
    </row>
    <row r="5" spans="1:7" x14ac:dyDescent="0.3">
      <c r="A5" t="s">
        <v>40</v>
      </c>
      <c r="B5" t="s">
        <v>41</v>
      </c>
      <c r="C5" t="s">
        <v>219</v>
      </c>
      <c r="D5" t="str">
        <f t="shared" si="1"/>
        <v>Mamun Miah</v>
      </c>
      <c r="E5" t="str">
        <f t="shared" si="0"/>
        <v>Mamun Miah</v>
      </c>
      <c r="F5" t="str" cm="1">
        <f t="array" ref="F5:G5">_xlfn.TEXTSPLIT(E5," ")</f>
        <v>Mamun</v>
      </c>
      <c r="G5" t="str">
        <v>Miah</v>
      </c>
    </row>
    <row r="6" spans="1:7" x14ac:dyDescent="0.3">
      <c r="A6" t="s">
        <v>12</v>
      </c>
      <c r="B6" t="s">
        <v>42</v>
      </c>
      <c r="C6" t="s">
        <v>220</v>
      </c>
      <c r="D6" t="str">
        <f t="shared" si="1"/>
        <v>Lamia Hossain</v>
      </c>
      <c r="E6" t="str">
        <f t="shared" si="0"/>
        <v>Lamia Hossain</v>
      </c>
      <c r="F6" t="str" cm="1">
        <f t="array" ref="F6:G6">_xlfn.TEXTSPLIT(E6," ")</f>
        <v>Lamia</v>
      </c>
      <c r="G6" t="str">
        <v>Hossain</v>
      </c>
    </row>
    <row r="7" spans="1:7" x14ac:dyDescent="0.3">
      <c r="A7" t="s">
        <v>12</v>
      </c>
      <c r="B7" t="s">
        <v>42</v>
      </c>
      <c r="C7" t="s">
        <v>220</v>
      </c>
      <c r="D7" t="str">
        <f t="shared" si="1"/>
        <v>Lamia Hossain</v>
      </c>
      <c r="E7" t="str">
        <f t="shared" si="0"/>
        <v>Lamia Hossain</v>
      </c>
      <c r="F7" t="str" cm="1">
        <f t="array" ref="F7:G7">_xlfn.TEXTSPLIT(E7," ")</f>
        <v>Lamia</v>
      </c>
      <c r="G7" t="str">
        <v>Hossain</v>
      </c>
    </row>
    <row r="8" spans="1:7" x14ac:dyDescent="0.3">
      <c r="A8" t="s">
        <v>5</v>
      </c>
      <c r="B8" t="s">
        <v>37</v>
      </c>
      <c r="C8" t="s">
        <v>221</v>
      </c>
      <c r="D8" t="str">
        <f t="shared" si="1"/>
        <v>Rafi Sarkar</v>
      </c>
      <c r="E8" t="str">
        <f t="shared" si="0"/>
        <v>Rafi Sarkar</v>
      </c>
      <c r="F8" t="str" cm="1">
        <f t="array" ref="F8:G8">_xlfn.TEXTSPLIT(E8," ")</f>
        <v>Rafi</v>
      </c>
      <c r="G8" t="str">
        <v>Sarkar</v>
      </c>
    </row>
    <row r="9" spans="1:7" x14ac:dyDescent="0.3">
      <c r="A9" t="s">
        <v>43</v>
      </c>
      <c r="B9" t="s">
        <v>41</v>
      </c>
      <c r="C9" t="s">
        <v>222</v>
      </c>
      <c r="D9" t="str">
        <f t="shared" si="1"/>
        <v>Abdul Miah</v>
      </c>
      <c r="E9" t="str">
        <f t="shared" si="0"/>
        <v>Abdul Miah</v>
      </c>
    </row>
    <row r="10" spans="1:7" x14ac:dyDescent="0.3">
      <c r="A10" t="s">
        <v>40</v>
      </c>
      <c r="B10" t="s">
        <v>44</v>
      </c>
      <c r="C10" t="s">
        <v>223</v>
      </c>
      <c r="D10" t="str">
        <f t="shared" si="1"/>
        <v>Mamun Rahman</v>
      </c>
      <c r="E10" t="str">
        <f t="shared" si="0"/>
        <v>Mamun Rahman</v>
      </c>
    </row>
    <row r="11" spans="1:7" x14ac:dyDescent="0.3">
      <c r="A11" t="s">
        <v>45</v>
      </c>
      <c r="B11" t="s">
        <v>44</v>
      </c>
      <c r="C11" t="s">
        <v>224</v>
      </c>
      <c r="D11" t="str">
        <f t="shared" si="1"/>
        <v>Nusrat Rahman</v>
      </c>
      <c r="E11" t="str">
        <f t="shared" si="0"/>
        <v>Nusrat Rahman</v>
      </c>
    </row>
    <row r="12" spans="1:7" x14ac:dyDescent="0.3">
      <c r="A12" t="s">
        <v>39</v>
      </c>
      <c r="B12" t="s">
        <v>44</v>
      </c>
      <c r="C12" t="s">
        <v>225</v>
      </c>
      <c r="D12" t="str">
        <f t="shared" si="1"/>
        <v>Sadia Rahman</v>
      </c>
      <c r="E12" t="str">
        <f t="shared" si="0"/>
        <v>Sadia Rahman</v>
      </c>
    </row>
    <row r="13" spans="1:7" x14ac:dyDescent="0.3">
      <c r="A13" t="s">
        <v>46</v>
      </c>
      <c r="B13" t="s">
        <v>38</v>
      </c>
      <c r="C13" t="s">
        <v>226</v>
      </c>
      <c r="D13" t="str">
        <f t="shared" si="1"/>
        <v>Tariq Akter</v>
      </c>
      <c r="E13" t="str">
        <f t="shared" si="0"/>
        <v>Tariq Akter</v>
      </c>
    </row>
    <row r="14" spans="1:7" x14ac:dyDescent="0.3">
      <c r="A14" t="s">
        <v>12</v>
      </c>
      <c r="B14" t="s">
        <v>42</v>
      </c>
      <c r="C14" t="s">
        <v>220</v>
      </c>
      <c r="D14" t="str">
        <f t="shared" si="1"/>
        <v>Lamia Hossain</v>
      </c>
      <c r="E14" t="str">
        <f t="shared" si="0"/>
        <v>Lamia Hossain</v>
      </c>
    </row>
    <row r="15" spans="1:7" x14ac:dyDescent="0.3">
      <c r="A15" t="s">
        <v>43</v>
      </c>
      <c r="B15" t="s">
        <v>47</v>
      </c>
      <c r="C15" t="s">
        <v>227</v>
      </c>
      <c r="D15" t="str">
        <f t="shared" si="1"/>
        <v>Abdul Islam</v>
      </c>
      <c r="E15" t="str">
        <f t="shared" si="0"/>
        <v>Abdul Islam</v>
      </c>
    </row>
    <row r="16" spans="1:7" x14ac:dyDescent="0.3">
      <c r="A16" t="s">
        <v>39</v>
      </c>
      <c r="B16" t="s">
        <v>42</v>
      </c>
      <c r="C16" t="s">
        <v>228</v>
      </c>
      <c r="D16" t="str">
        <f t="shared" si="1"/>
        <v>Sadia Hossain</v>
      </c>
      <c r="E16" t="str">
        <f t="shared" si="0"/>
        <v>Sadia Hossain</v>
      </c>
    </row>
    <row r="17" spans="1:5" x14ac:dyDescent="0.3">
      <c r="A17" t="s">
        <v>45</v>
      </c>
      <c r="B17" t="s">
        <v>37</v>
      </c>
      <c r="C17" t="s">
        <v>229</v>
      </c>
      <c r="D17" t="str">
        <f t="shared" si="1"/>
        <v>Nusrat Sarkar</v>
      </c>
      <c r="E17" t="str">
        <f t="shared" si="0"/>
        <v>Nusrat Sarkar</v>
      </c>
    </row>
    <row r="18" spans="1:5" x14ac:dyDescent="0.3">
      <c r="A18" t="s">
        <v>36</v>
      </c>
      <c r="B18" t="s">
        <v>44</v>
      </c>
      <c r="C18" t="s">
        <v>230</v>
      </c>
      <c r="D18" t="str">
        <f t="shared" si="1"/>
        <v>Shila Rahman</v>
      </c>
      <c r="E18" t="str">
        <f t="shared" si="0"/>
        <v>Shila Rahman</v>
      </c>
    </row>
    <row r="19" spans="1:5" x14ac:dyDescent="0.3">
      <c r="A19" t="s">
        <v>43</v>
      </c>
      <c r="B19" t="s">
        <v>38</v>
      </c>
      <c r="C19" t="s">
        <v>231</v>
      </c>
      <c r="D19" t="str">
        <f t="shared" si="1"/>
        <v>Abdul Akter</v>
      </c>
      <c r="E19" t="str">
        <f t="shared" si="0"/>
        <v>Abdul Akter</v>
      </c>
    </row>
    <row r="20" spans="1:5" x14ac:dyDescent="0.3">
      <c r="A20" t="s">
        <v>12</v>
      </c>
      <c r="B20" t="s">
        <v>41</v>
      </c>
      <c r="C20" t="s">
        <v>232</v>
      </c>
      <c r="D20" t="str">
        <f t="shared" si="1"/>
        <v>Lamia Miah</v>
      </c>
      <c r="E20" t="str">
        <f t="shared" si="0"/>
        <v>Lamia Miah</v>
      </c>
    </row>
    <row r="21" spans="1:5" x14ac:dyDescent="0.3">
      <c r="A21" t="s">
        <v>39</v>
      </c>
      <c r="B21" t="s">
        <v>7</v>
      </c>
      <c r="C21" t="s">
        <v>233</v>
      </c>
      <c r="D21" t="str">
        <f t="shared" si="1"/>
        <v>Sadia Karim</v>
      </c>
      <c r="E21" t="str">
        <f t="shared" si="0"/>
        <v>Sadia Karim</v>
      </c>
    </row>
    <row r="22" spans="1:5" x14ac:dyDescent="0.3">
      <c r="A22" t="s">
        <v>39</v>
      </c>
      <c r="B22" t="s">
        <v>47</v>
      </c>
      <c r="C22" t="s">
        <v>234</v>
      </c>
      <c r="D22" t="str">
        <f t="shared" si="1"/>
        <v>Sadia Islam</v>
      </c>
      <c r="E22" t="str">
        <f t="shared" si="0"/>
        <v>Sadia Islam</v>
      </c>
    </row>
    <row r="23" spans="1:5" x14ac:dyDescent="0.3">
      <c r="A23" t="s">
        <v>12</v>
      </c>
      <c r="B23" t="s">
        <v>41</v>
      </c>
      <c r="C23" t="s">
        <v>232</v>
      </c>
      <c r="D23" t="str">
        <f t="shared" si="1"/>
        <v>Lamia Miah</v>
      </c>
      <c r="E23" t="str">
        <f t="shared" si="0"/>
        <v>Lamia Miah</v>
      </c>
    </row>
    <row r="24" spans="1:5" x14ac:dyDescent="0.3">
      <c r="A24" t="s">
        <v>39</v>
      </c>
      <c r="B24" t="s">
        <v>37</v>
      </c>
      <c r="C24" t="s">
        <v>235</v>
      </c>
      <c r="D24" t="str">
        <f t="shared" si="1"/>
        <v>Sadia Sarkar</v>
      </c>
      <c r="E24" t="str">
        <f t="shared" si="0"/>
        <v>Sadia Sarkar</v>
      </c>
    </row>
    <row r="25" spans="1:5" x14ac:dyDescent="0.3">
      <c r="A25" t="s">
        <v>43</v>
      </c>
      <c r="B25" t="s">
        <v>44</v>
      </c>
      <c r="C25" t="s">
        <v>236</v>
      </c>
      <c r="D25" t="str">
        <f t="shared" si="1"/>
        <v>Abdul Rahman</v>
      </c>
      <c r="E25" t="str">
        <f t="shared" si="0"/>
        <v>Abdul Rahman</v>
      </c>
    </row>
    <row r="26" spans="1:5" x14ac:dyDescent="0.3">
      <c r="A26" t="s">
        <v>12</v>
      </c>
      <c r="B26" t="s">
        <v>41</v>
      </c>
      <c r="C26" t="s">
        <v>232</v>
      </c>
      <c r="D26" t="str">
        <f t="shared" si="1"/>
        <v>Lamia Miah</v>
      </c>
      <c r="E26" t="str">
        <f t="shared" si="0"/>
        <v>Lamia Miah</v>
      </c>
    </row>
    <row r="27" spans="1:5" x14ac:dyDescent="0.3">
      <c r="A27" t="s">
        <v>46</v>
      </c>
      <c r="B27" t="s">
        <v>44</v>
      </c>
      <c r="C27" t="s">
        <v>237</v>
      </c>
      <c r="D27" t="str">
        <f t="shared" si="1"/>
        <v>Tariq Rahman</v>
      </c>
      <c r="E27" t="str">
        <f t="shared" si="0"/>
        <v>Tariq Rahman</v>
      </c>
    </row>
    <row r="28" spans="1:5" x14ac:dyDescent="0.3">
      <c r="A28" t="s">
        <v>39</v>
      </c>
      <c r="B28" t="s">
        <v>37</v>
      </c>
      <c r="C28" t="s">
        <v>235</v>
      </c>
      <c r="D28" t="str">
        <f t="shared" si="1"/>
        <v>Sadia Sarkar</v>
      </c>
      <c r="E28" t="str">
        <f t="shared" si="0"/>
        <v>Sadia Sarkar</v>
      </c>
    </row>
    <row r="29" spans="1:5" x14ac:dyDescent="0.3">
      <c r="A29" t="s">
        <v>43</v>
      </c>
      <c r="B29" t="s">
        <v>47</v>
      </c>
      <c r="C29" t="s">
        <v>227</v>
      </c>
      <c r="D29" t="str">
        <f t="shared" si="1"/>
        <v>Abdul Islam</v>
      </c>
      <c r="E29" t="str">
        <f t="shared" si="0"/>
        <v>Abdul Islam</v>
      </c>
    </row>
    <row r="30" spans="1:5" x14ac:dyDescent="0.3">
      <c r="A30" t="s">
        <v>39</v>
      </c>
      <c r="B30" t="s">
        <v>38</v>
      </c>
      <c r="C30" t="s">
        <v>218</v>
      </c>
      <c r="D30" t="str">
        <f t="shared" si="1"/>
        <v>Sadia Akter</v>
      </c>
      <c r="E30" t="str">
        <f t="shared" si="0"/>
        <v>Sadia Akter</v>
      </c>
    </row>
    <row r="31" spans="1:5" x14ac:dyDescent="0.3">
      <c r="A31" t="s">
        <v>12</v>
      </c>
      <c r="B31" t="s">
        <v>37</v>
      </c>
      <c r="C31" t="s">
        <v>238</v>
      </c>
      <c r="D31" t="str">
        <f t="shared" si="1"/>
        <v>Lamia Sarkar</v>
      </c>
      <c r="E31" t="str">
        <f t="shared" si="0"/>
        <v>Lamia Sarkar</v>
      </c>
    </row>
    <row r="32" spans="1:5" x14ac:dyDescent="0.3">
      <c r="A32" t="s">
        <v>43</v>
      </c>
      <c r="B32" t="s">
        <v>41</v>
      </c>
      <c r="C32" t="s">
        <v>222</v>
      </c>
      <c r="D32" t="str">
        <f t="shared" si="1"/>
        <v>Abdul Miah</v>
      </c>
      <c r="E32" t="str">
        <f t="shared" si="0"/>
        <v>Abdul Miah</v>
      </c>
    </row>
    <row r="33" spans="1:5" x14ac:dyDescent="0.3">
      <c r="A33" t="s">
        <v>5</v>
      </c>
      <c r="B33" t="s">
        <v>41</v>
      </c>
      <c r="C33" t="s">
        <v>239</v>
      </c>
      <c r="D33" t="str">
        <f t="shared" si="1"/>
        <v>Rafi Miah</v>
      </c>
      <c r="E33" t="str">
        <f t="shared" si="0"/>
        <v>Rafi Miah</v>
      </c>
    </row>
    <row r="34" spans="1:5" x14ac:dyDescent="0.3">
      <c r="A34" t="s">
        <v>36</v>
      </c>
      <c r="B34" t="s">
        <v>38</v>
      </c>
      <c r="C34" t="s">
        <v>217</v>
      </c>
      <c r="D34" t="str">
        <f t="shared" si="1"/>
        <v>Shila Akter</v>
      </c>
      <c r="E34" t="str">
        <f t="shared" si="0"/>
        <v>Shila Akter</v>
      </c>
    </row>
    <row r="35" spans="1:5" x14ac:dyDescent="0.3">
      <c r="A35" t="s">
        <v>45</v>
      </c>
      <c r="B35" t="s">
        <v>7</v>
      </c>
      <c r="C35" t="s">
        <v>240</v>
      </c>
      <c r="D35" t="str">
        <f t="shared" si="1"/>
        <v>Nusrat Karim</v>
      </c>
      <c r="E35" t="str">
        <f t="shared" si="0"/>
        <v>Nusrat Karim</v>
      </c>
    </row>
    <row r="36" spans="1:5" x14ac:dyDescent="0.3">
      <c r="A36" t="s">
        <v>46</v>
      </c>
      <c r="B36" t="s">
        <v>41</v>
      </c>
      <c r="C36" t="s">
        <v>241</v>
      </c>
      <c r="D36" t="str">
        <f t="shared" si="1"/>
        <v>Tariq Miah</v>
      </c>
      <c r="E36" t="str">
        <f t="shared" si="0"/>
        <v>Tariq Miah</v>
      </c>
    </row>
    <row r="37" spans="1:5" x14ac:dyDescent="0.3">
      <c r="A37" t="s">
        <v>39</v>
      </c>
      <c r="B37" t="s">
        <v>47</v>
      </c>
      <c r="C37" t="s">
        <v>234</v>
      </c>
      <c r="D37" t="str">
        <f t="shared" si="1"/>
        <v>Sadia Islam</v>
      </c>
      <c r="E37" t="str">
        <f t="shared" si="0"/>
        <v>Sadia Islam</v>
      </c>
    </row>
    <row r="38" spans="1:5" x14ac:dyDescent="0.3">
      <c r="A38" t="s">
        <v>39</v>
      </c>
      <c r="B38" t="s">
        <v>42</v>
      </c>
      <c r="C38" t="s">
        <v>228</v>
      </c>
      <c r="D38" t="str">
        <f t="shared" si="1"/>
        <v>Sadia Hossain</v>
      </c>
      <c r="E38" t="str">
        <f t="shared" si="0"/>
        <v>Sadia Hossain</v>
      </c>
    </row>
    <row r="39" spans="1:5" x14ac:dyDescent="0.3">
      <c r="A39" t="s">
        <v>40</v>
      </c>
      <c r="B39" t="s">
        <v>44</v>
      </c>
      <c r="C39" t="s">
        <v>223</v>
      </c>
      <c r="D39" t="str">
        <f t="shared" si="1"/>
        <v>Mamun Rahman</v>
      </c>
      <c r="E39" t="str">
        <f t="shared" si="0"/>
        <v>Mamun Rahman</v>
      </c>
    </row>
    <row r="40" spans="1:5" x14ac:dyDescent="0.3">
      <c r="A40" t="s">
        <v>36</v>
      </c>
      <c r="B40" t="s">
        <v>37</v>
      </c>
      <c r="C40" t="s">
        <v>216</v>
      </c>
      <c r="D40" t="str">
        <f t="shared" si="1"/>
        <v>Shila Sarkar</v>
      </c>
      <c r="E40" t="str">
        <f t="shared" si="0"/>
        <v>Shila Sarkar</v>
      </c>
    </row>
    <row r="41" spans="1:5" x14ac:dyDescent="0.3">
      <c r="A41" t="s">
        <v>12</v>
      </c>
      <c r="B41" t="s">
        <v>44</v>
      </c>
      <c r="C41" t="s">
        <v>242</v>
      </c>
      <c r="D41" t="str">
        <f t="shared" si="1"/>
        <v>Lamia Rahman</v>
      </c>
      <c r="E41" t="str">
        <f t="shared" si="0"/>
        <v>Lamia Rahman</v>
      </c>
    </row>
    <row r="42" spans="1:5" x14ac:dyDescent="0.3">
      <c r="A42" t="s">
        <v>39</v>
      </c>
      <c r="B42" t="s">
        <v>41</v>
      </c>
      <c r="C42" t="s">
        <v>243</v>
      </c>
      <c r="D42" t="str">
        <f t="shared" si="1"/>
        <v>Sadia Miah</v>
      </c>
      <c r="E42" t="str">
        <f t="shared" si="0"/>
        <v>Sadia Miah</v>
      </c>
    </row>
    <row r="43" spans="1:5" x14ac:dyDescent="0.3">
      <c r="A43" t="s">
        <v>43</v>
      </c>
      <c r="B43" t="s">
        <v>38</v>
      </c>
      <c r="C43" t="s">
        <v>231</v>
      </c>
      <c r="D43" t="str">
        <f t="shared" si="1"/>
        <v>Abdul Akter</v>
      </c>
      <c r="E43" t="str">
        <f t="shared" si="0"/>
        <v>Abdul Akter</v>
      </c>
    </row>
    <row r="44" spans="1:5" x14ac:dyDescent="0.3">
      <c r="A44" t="s">
        <v>40</v>
      </c>
      <c r="B44" t="s">
        <v>41</v>
      </c>
      <c r="C44" t="s">
        <v>219</v>
      </c>
      <c r="D44" t="str">
        <f t="shared" si="1"/>
        <v>Mamun Miah</v>
      </c>
      <c r="E44" t="str">
        <f t="shared" si="0"/>
        <v>Mamun Miah</v>
      </c>
    </row>
    <row r="45" spans="1:5" x14ac:dyDescent="0.3">
      <c r="A45" t="s">
        <v>45</v>
      </c>
      <c r="B45" t="s">
        <v>47</v>
      </c>
      <c r="C45" t="s">
        <v>244</v>
      </c>
      <c r="D45" t="str">
        <f t="shared" si="1"/>
        <v>Nusrat Islam</v>
      </c>
      <c r="E45" t="str">
        <f t="shared" si="0"/>
        <v>Nusrat Islam</v>
      </c>
    </row>
    <row r="46" spans="1:5" x14ac:dyDescent="0.3">
      <c r="A46" t="s">
        <v>36</v>
      </c>
      <c r="B46" t="s">
        <v>44</v>
      </c>
      <c r="C46" t="s">
        <v>230</v>
      </c>
      <c r="D46" t="str">
        <f t="shared" si="1"/>
        <v>Shila Rahman</v>
      </c>
      <c r="E46" t="str">
        <f t="shared" si="0"/>
        <v>Shila Rahman</v>
      </c>
    </row>
    <row r="47" spans="1:5" x14ac:dyDescent="0.3">
      <c r="A47" t="s">
        <v>12</v>
      </c>
      <c r="B47" t="s">
        <v>37</v>
      </c>
      <c r="C47" t="s">
        <v>238</v>
      </c>
      <c r="D47" t="str">
        <f t="shared" si="1"/>
        <v>Lamia Sarkar</v>
      </c>
      <c r="E47" t="str">
        <f t="shared" si="0"/>
        <v>Lamia Sarkar</v>
      </c>
    </row>
    <row r="48" spans="1:5" x14ac:dyDescent="0.3">
      <c r="A48" t="s">
        <v>46</v>
      </c>
      <c r="B48" t="s">
        <v>37</v>
      </c>
      <c r="C48" t="s">
        <v>245</v>
      </c>
      <c r="D48" t="str">
        <f t="shared" si="1"/>
        <v>Tariq Sarkar</v>
      </c>
      <c r="E48" t="str">
        <f t="shared" si="0"/>
        <v>Tariq Sarkar</v>
      </c>
    </row>
    <row r="49" spans="1:5" x14ac:dyDescent="0.3">
      <c r="A49" t="s">
        <v>12</v>
      </c>
      <c r="B49" t="s">
        <v>37</v>
      </c>
      <c r="C49" t="s">
        <v>238</v>
      </c>
      <c r="D49" t="str">
        <f t="shared" si="1"/>
        <v>Lamia Sarkar</v>
      </c>
      <c r="E49" t="str">
        <f t="shared" si="0"/>
        <v>Lamia Sarkar</v>
      </c>
    </row>
    <row r="50" spans="1:5" x14ac:dyDescent="0.3">
      <c r="A50" t="s">
        <v>36</v>
      </c>
      <c r="B50" t="s">
        <v>38</v>
      </c>
      <c r="C50" t="s">
        <v>217</v>
      </c>
      <c r="D50" t="str">
        <f t="shared" si="1"/>
        <v>Shila Akter</v>
      </c>
      <c r="E50" t="str">
        <f t="shared" si="0"/>
        <v>Shila Akter</v>
      </c>
    </row>
    <row r="51" spans="1:5" x14ac:dyDescent="0.3">
      <c r="A51" t="s">
        <v>12</v>
      </c>
      <c r="B51" t="s">
        <v>47</v>
      </c>
      <c r="C51" t="s">
        <v>246</v>
      </c>
      <c r="D51" t="str">
        <f t="shared" si="1"/>
        <v>Lamia Islam</v>
      </c>
      <c r="E51" t="str">
        <f t="shared" si="0"/>
        <v>Lamia Islam</v>
      </c>
    </row>
    <row r="52" spans="1:5" x14ac:dyDescent="0.3">
      <c r="A52" t="s">
        <v>5</v>
      </c>
      <c r="B52" t="s">
        <v>44</v>
      </c>
      <c r="C52" t="s">
        <v>247</v>
      </c>
      <c r="D52" t="str">
        <f t="shared" si="1"/>
        <v>Rafi Rahman</v>
      </c>
      <c r="E52" t="str">
        <f t="shared" si="0"/>
        <v>Rafi Rahman</v>
      </c>
    </row>
    <row r="53" spans="1:5" x14ac:dyDescent="0.3">
      <c r="A53" t="s">
        <v>45</v>
      </c>
      <c r="B53" t="s">
        <v>7</v>
      </c>
      <c r="C53" t="s">
        <v>240</v>
      </c>
      <c r="D53" t="str">
        <f t="shared" si="1"/>
        <v>Nusrat Karim</v>
      </c>
      <c r="E53" t="str">
        <f t="shared" si="0"/>
        <v>Nusrat Karim</v>
      </c>
    </row>
    <row r="54" spans="1:5" x14ac:dyDescent="0.3">
      <c r="A54" t="s">
        <v>12</v>
      </c>
      <c r="B54" t="s">
        <v>41</v>
      </c>
      <c r="C54" t="s">
        <v>232</v>
      </c>
      <c r="D54" t="str">
        <f t="shared" si="1"/>
        <v>Lamia Miah</v>
      </c>
      <c r="E54" t="str">
        <f t="shared" si="0"/>
        <v>Lamia Miah</v>
      </c>
    </row>
    <row r="55" spans="1:5" x14ac:dyDescent="0.3">
      <c r="A55" t="s">
        <v>12</v>
      </c>
      <c r="B55" t="s">
        <v>37</v>
      </c>
      <c r="C55" t="s">
        <v>238</v>
      </c>
      <c r="D55" t="str">
        <f t="shared" si="1"/>
        <v>Lamia Sarkar</v>
      </c>
      <c r="E55" t="str">
        <f t="shared" si="0"/>
        <v>Lamia Sarkar</v>
      </c>
    </row>
    <row r="56" spans="1:5" x14ac:dyDescent="0.3">
      <c r="A56" t="s">
        <v>43</v>
      </c>
      <c r="B56" t="s">
        <v>47</v>
      </c>
      <c r="C56" t="s">
        <v>227</v>
      </c>
      <c r="D56" t="str">
        <f t="shared" si="1"/>
        <v>Abdul Islam</v>
      </c>
      <c r="E56" t="str">
        <f t="shared" si="0"/>
        <v>Abdul Islam</v>
      </c>
    </row>
    <row r="57" spans="1:5" x14ac:dyDescent="0.3">
      <c r="A57" t="s">
        <v>46</v>
      </c>
      <c r="B57" t="s">
        <v>42</v>
      </c>
      <c r="C57" t="s">
        <v>248</v>
      </c>
      <c r="D57" t="str">
        <f t="shared" si="1"/>
        <v>Tariq Hossain</v>
      </c>
      <c r="E57" t="str">
        <f t="shared" si="0"/>
        <v>Tariq Hossain</v>
      </c>
    </row>
    <row r="58" spans="1:5" x14ac:dyDescent="0.3">
      <c r="A58" t="s">
        <v>46</v>
      </c>
      <c r="B58" t="s">
        <v>38</v>
      </c>
      <c r="C58" t="s">
        <v>226</v>
      </c>
      <c r="D58" t="str">
        <f t="shared" si="1"/>
        <v>Tariq Akter</v>
      </c>
      <c r="E58" t="str">
        <f t="shared" si="0"/>
        <v>Tariq Akter</v>
      </c>
    </row>
    <row r="59" spans="1:5" x14ac:dyDescent="0.3">
      <c r="A59" t="s">
        <v>12</v>
      </c>
      <c r="B59" t="s">
        <v>41</v>
      </c>
      <c r="C59" t="s">
        <v>232</v>
      </c>
      <c r="D59" t="str">
        <f t="shared" si="1"/>
        <v>Lamia Miah</v>
      </c>
      <c r="E59" t="str">
        <f t="shared" si="0"/>
        <v>Lamia Miah</v>
      </c>
    </row>
    <row r="60" spans="1:5" x14ac:dyDescent="0.3">
      <c r="A60" t="s">
        <v>43</v>
      </c>
      <c r="B60" t="s">
        <v>38</v>
      </c>
      <c r="C60" t="s">
        <v>231</v>
      </c>
      <c r="D60" t="str">
        <f t="shared" si="1"/>
        <v>Abdul Akter</v>
      </c>
      <c r="E60" t="str">
        <f t="shared" si="0"/>
        <v>Abdul Akter</v>
      </c>
    </row>
    <row r="61" spans="1:5" x14ac:dyDescent="0.3">
      <c r="A61" t="s">
        <v>46</v>
      </c>
      <c r="B61" t="s">
        <v>44</v>
      </c>
      <c r="C61" t="s">
        <v>237</v>
      </c>
      <c r="D61" t="str">
        <f t="shared" si="1"/>
        <v>Tariq Rahman</v>
      </c>
      <c r="E61" t="str">
        <f t="shared" si="0"/>
        <v>Tariq Rahman</v>
      </c>
    </row>
    <row r="62" spans="1:5" x14ac:dyDescent="0.3">
      <c r="A62" t="s">
        <v>39</v>
      </c>
      <c r="B62" t="s">
        <v>44</v>
      </c>
      <c r="C62" t="s">
        <v>225</v>
      </c>
      <c r="D62" t="str">
        <f t="shared" si="1"/>
        <v>Sadia Rahman</v>
      </c>
      <c r="E62" t="str">
        <f t="shared" si="0"/>
        <v>Sadia Rahman</v>
      </c>
    </row>
    <row r="63" spans="1:5" x14ac:dyDescent="0.3">
      <c r="A63" t="s">
        <v>46</v>
      </c>
      <c r="B63" t="s">
        <v>38</v>
      </c>
      <c r="C63" t="s">
        <v>226</v>
      </c>
      <c r="D63" t="str">
        <f t="shared" si="1"/>
        <v>Tariq Akter</v>
      </c>
      <c r="E63" t="str">
        <f t="shared" si="0"/>
        <v>Tariq Akter</v>
      </c>
    </row>
    <row r="64" spans="1:5" x14ac:dyDescent="0.3">
      <c r="A64" t="s">
        <v>36</v>
      </c>
      <c r="B64" t="s">
        <v>41</v>
      </c>
      <c r="C64" t="s">
        <v>249</v>
      </c>
      <c r="D64" t="str">
        <f t="shared" si="1"/>
        <v>Shila Miah</v>
      </c>
      <c r="E64" t="str">
        <f t="shared" si="0"/>
        <v>Shila Miah</v>
      </c>
    </row>
    <row r="65" spans="1:5" x14ac:dyDescent="0.3">
      <c r="A65" t="s">
        <v>40</v>
      </c>
      <c r="B65" t="s">
        <v>44</v>
      </c>
      <c r="C65" t="s">
        <v>223</v>
      </c>
      <c r="D65" t="str">
        <f t="shared" si="1"/>
        <v>Mamun Rahman</v>
      </c>
      <c r="E65" t="str">
        <f t="shared" si="0"/>
        <v>Mamun Rahman</v>
      </c>
    </row>
    <row r="66" spans="1:5" x14ac:dyDescent="0.3">
      <c r="A66" t="s">
        <v>43</v>
      </c>
      <c r="B66" t="s">
        <v>44</v>
      </c>
      <c r="C66" t="s">
        <v>236</v>
      </c>
      <c r="D66" t="str">
        <f t="shared" si="1"/>
        <v>Abdul Rahman</v>
      </c>
      <c r="E66" t="str">
        <f t="shared" si="0"/>
        <v>Abdul Rahman</v>
      </c>
    </row>
    <row r="67" spans="1:5" x14ac:dyDescent="0.3">
      <c r="A67" t="s">
        <v>39</v>
      </c>
      <c r="B67" t="s">
        <v>44</v>
      </c>
      <c r="C67" t="s">
        <v>225</v>
      </c>
      <c r="D67" t="str">
        <f t="shared" ref="D67:D101" si="2">_xlfn.CONCAT(A67," ",B67)</f>
        <v>Sadia Rahman</v>
      </c>
      <c r="E67" t="str">
        <f t="shared" ref="E67:E101" si="3">_xlfn.TEXTJOIN(" ",TRUE,A67,B67)</f>
        <v>Sadia Rahman</v>
      </c>
    </row>
    <row r="68" spans="1:5" x14ac:dyDescent="0.3">
      <c r="A68" t="s">
        <v>5</v>
      </c>
      <c r="B68" t="s">
        <v>37</v>
      </c>
      <c r="C68" t="s">
        <v>221</v>
      </c>
      <c r="D68" t="str">
        <f t="shared" si="2"/>
        <v>Rafi Sarkar</v>
      </c>
      <c r="E68" t="str">
        <f t="shared" si="3"/>
        <v>Rafi Sarkar</v>
      </c>
    </row>
    <row r="69" spans="1:5" x14ac:dyDescent="0.3">
      <c r="A69" t="s">
        <v>36</v>
      </c>
      <c r="B69" t="s">
        <v>42</v>
      </c>
      <c r="C69" t="s">
        <v>250</v>
      </c>
      <c r="D69" t="str">
        <f t="shared" si="2"/>
        <v>Shila Hossain</v>
      </c>
      <c r="E69" t="str">
        <f t="shared" si="3"/>
        <v>Shila Hossain</v>
      </c>
    </row>
    <row r="70" spans="1:5" x14ac:dyDescent="0.3">
      <c r="A70" t="s">
        <v>36</v>
      </c>
      <c r="B70" t="s">
        <v>42</v>
      </c>
      <c r="C70" t="s">
        <v>250</v>
      </c>
      <c r="D70" t="str">
        <f t="shared" si="2"/>
        <v>Shila Hossain</v>
      </c>
      <c r="E70" t="str">
        <f t="shared" si="3"/>
        <v>Shila Hossain</v>
      </c>
    </row>
    <row r="71" spans="1:5" x14ac:dyDescent="0.3">
      <c r="A71" t="s">
        <v>45</v>
      </c>
      <c r="B71" t="s">
        <v>44</v>
      </c>
      <c r="C71" t="s">
        <v>224</v>
      </c>
      <c r="D71" t="str">
        <f t="shared" si="2"/>
        <v>Nusrat Rahman</v>
      </c>
      <c r="E71" t="str">
        <f t="shared" si="3"/>
        <v>Nusrat Rahman</v>
      </c>
    </row>
    <row r="72" spans="1:5" x14ac:dyDescent="0.3">
      <c r="A72" t="s">
        <v>36</v>
      </c>
      <c r="B72" t="s">
        <v>38</v>
      </c>
      <c r="C72" t="s">
        <v>217</v>
      </c>
      <c r="D72" t="str">
        <f t="shared" si="2"/>
        <v>Shila Akter</v>
      </c>
      <c r="E72" t="str">
        <f t="shared" si="3"/>
        <v>Shila Akter</v>
      </c>
    </row>
    <row r="73" spans="1:5" x14ac:dyDescent="0.3">
      <c r="A73" t="s">
        <v>43</v>
      </c>
      <c r="B73" t="s">
        <v>47</v>
      </c>
      <c r="C73" t="s">
        <v>227</v>
      </c>
      <c r="D73" t="str">
        <f t="shared" si="2"/>
        <v>Abdul Islam</v>
      </c>
      <c r="E73" t="str">
        <f t="shared" si="3"/>
        <v>Abdul Islam</v>
      </c>
    </row>
    <row r="74" spans="1:5" x14ac:dyDescent="0.3">
      <c r="A74" t="s">
        <v>40</v>
      </c>
      <c r="B74" t="s">
        <v>41</v>
      </c>
      <c r="C74" t="s">
        <v>219</v>
      </c>
      <c r="D74" t="str">
        <f t="shared" si="2"/>
        <v>Mamun Miah</v>
      </c>
      <c r="E74" t="str">
        <f t="shared" si="3"/>
        <v>Mamun Miah</v>
      </c>
    </row>
    <row r="75" spans="1:5" x14ac:dyDescent="0.3">
      <c r="A75" t="s">
        <v>45</v>
      </c>
      <c r="B75" t="s">
        <v>38</v>
      </c>
      <c r="C75" t="s">
        <v>251</v>
      </c>
      <c r="D75" t="str">
        <f t="shared" si="2"/>
        <v>Nusrat Akter</v>
      </c>
      <c r="E75" t="str">
        <f t="shared" si="3"/>
        <v>Nusrat Akter</v>
      </c>
    </row>
    <row r="76" spans="1:5" x14ac:dyDescent="0.3">
      <c r="A76" t="s">
        <v>45</v>
      </c>
      <c r="B76" t="s">
        <v>38</v>
      </c>
      <c r="C76" t="s">
        <v>251</v>
      </c>
      <c r="D76" t="str">
        <f t="shared" si="2"/>
        <v>Nusrat Akter</v>
      </c>
      <c r="E76" t="str">
        <f t="shared" si="3"/>
        <v>Nusrat Akter</v>
      </c>
    </row>
    <row r="77" spans="1:5" x14ac:dyDescent="0.3">
      <c r="A77" t="s">
        <v>36</v>
      </c>
      <c r="B77" t="s">
        <v>37</v>
      </c>
      <c r="C77" t="s">
        <v>216</v>
      </c>
      <c r="D77" t="str">
        <f t="shared" si="2"/>
        <v>Shila Sarkar</v>
      </c>
      <c r="E77" t="str">
        <f t="shared" si="3"/>
        <v>Shila Sarkar</v>
      </c>
    </row>
    <row r="78" spans="1:5" x14ac:dyDescent="0.3">
      <c r="A78" t="s">
        <v>45</v>
      </c>
      <c r="B78" t="s">
        <v>47</v>
      </c>
      <c r="C78" t="s">
        <v>244</v>
      </c>
      <c r="D78" t="str">
        <f t="shared" si="2"/>
        <v>Nusrat Islam</v>
      </c>
      <c r="E78" t="str">
        <f t="shared" si="3"/>
        <v>Nusrat Islam</v>
      </c>
    </row>
    <row r="79" spans="1:5" x14ac:dyDescent="0.3">
      <c r="A79" t="s">
        <v>40</v>
      </c>
      <c r="B79" t="s">
        <v>42</v>
      </c>
      <c r="C79" t="s">
        <v>252</v>
      </c>
      <c r="D79" t="str">
        <f t="shared" si="2"/>
        <v>Mamun Hossain</v>
      </c>
      <c r="E79" t="str">
        <f t="shared" si="3"/>
        <v>Mamun Hossain</v>
      </c>
    </row>
    <row r="80" spans="1:5" x14ac:dyDescent="0.3">
      <c r="A80" t="s">
        <v>46</v>
      </c>
      <c r="B80" t="s">
        <v>37</v>
      </c>
      <c r="C80" t="s">
        <v>245</v>
      </c>
      <c r="D80" t="str">
        <f t="shared" si="2"/>
        <v>Tariq Sarkar</v>
      </c>
      <c r="E80" t="str">
        <f t="shared" si="3"/>
        <v>Tariq Sarkar</v>
      </c>
    </row>
    <row r="81" spans="1:5" x14ac:dyDescent="0.3">
      <c r="A81" t="s">
        <v>5</v>
      </c>
      <c r="B81" t="s">
        <v>38</v>
      </c>
      <c r="C81" t="s">
        <v>253</v>
      </c>
      <c r="D81" t="str">
        <f t="shared" si="2"/>
        <v>Rafi Akter</v>
      </c>
      <c r="E81" t="str">
        <f t="shared" si="3"/>
        <v>Rafi Akter</v>
      </c>
    </row>
    <row r="82" spans="1:5" x14ac:dyDescent="0.3">
      <c r="A82" t="s">
        <v>45</v>
      </c>
      <c r="B82" t="s">
        <v>44</v>
      </c>
      <c r="C82" t="s">
        <v>224</v>
      </c>
      <c r="D82" t="str">
        <f t="shared" si="2"/>
        <v>Nusrat Rahman</v>
      </c>
      <c r="E82" t="str">
        <f t="shared" si="3"/>
        <v>Nusrat Rahman</v>
      </c>
    </row>
    <row r="83" spans="1:5" x14ac:dyDescent="0.3">
      <c r="A83" t="s">
        <v>5</v>
      </c>
      <c r="B83" t="s">
        <v>47</v>
      </c>
      <c r="C83" t="s">
        <v>254</v>
      </c>
      <c r="D83" t="str">
        <f t="shared" si="2"/>
        <v>Rafi Islam</v>
      </c>
      <c r="E83" t="str">
        <f t="shared" si="3"/>
        <v>Rafi Islam</v>
      </c>
    </row>
    <row r="84" spans="1:5" x14ac:dyDescent="0.3">
      <c r="A84" t="s">
        <v>5</v>
      </c>
      <c r="B84" t="s">
        <v>37</v>
      </c>
      <c r="C84" t="s">
        <v>221</v>
      </c>
      <c r="D84" t="str">
        <f t="shared" si="2"/>
        <v>Rafi Sarkar</v>
      </c>
      <c r="E84" t="str">
        <f t="shared" si="3"/>
        <v>Rafi Sarkar</v>
      </c>
    </row>
    <row r="85" spans="1:5" x14ac:dyDescent="0.3">
      <c r="A85" t="s">
        <v>12</v>
      </c>
      <c r="B85" t="s">
        <v>44</v>
      </c>
      <c r="C85" t="s">
        <v>242</v>
      </c>
      <c r="D85" t="str">
        <f t="shared" si="2"/>
        <v>Lamia Rahman</v>
      </c>
      <c r="E85" t="str">
        <f t="shared" si="3"/>
        <v>Lamia Rahman</v>
      </c>
    </row>
    <row r="86" spans="1:5" x14ac:dyDescent="0.3">
      <c r="A86" t="s">
        <v>40</v>
      </c>
      <c r="B86" t="s">
        <v>7</v>
      </c>
      <c r="C86" t="s">
        <v>255</v>
      </c>
      <c r="D86" t="str">
        <f t="shared" si="2"/>
        <v>Mamun Karim</v>
      </c>
      <c r="E86" t="str">
        <f t="shared" si="3"/>
        <v>Mamun Karim</v>
      </c>
    </row>
    <row r="87" spans="1:5" x14ac:dyDescent="0.3">
      <c r="A87" t="s">
        <v>39</v>
      </c>
      <c r="B87" t="s">
        <v>37</v>
      </c>
      <c r="C87" t="s">
        <v>235</v>
      </c>
      <c r="D87" t="str">
        <f t="shared" si="2"/>
        <v>Sadia Sarkar</v>
      </c>
      <c r="E87" t="str">
        <f t="shared" si="3"/>
        <v>Sadia Sarkar</v>
      </c>
    </row>
    <row r="88" spans="1:5" x14ac:dyDescent="0.3">
      <c r="A88" t="s">
        <v>36</v>
      </c>
      <c r="B88" t="s">
        <v>37</v>
      </c>
      <c r="C88" t="s">
        <v>216</v>
      </c>
      <c r="D88" t="str">
        <f t="shared" si="2"/>
        <v>Shila Sarkar</v>
      </c>
      <c r="E88" t="str">
        <f t="shared" si="3"/>
        <v>Shila Sarkar</v>
      </c>
    </row>
    <row r="89" spans="1:5" x14ac:dyDescent="0.3">
      <c r="A89" t="s">
        <v>39</v>
      </c>
      <c r="B89" t="s">
        <v>42</v>
      </c>
      <c r="C89" t="s">
        <v>228</v>
      </c>
      <c r="D89" t="str">
        <f t="shared" si="2"/>
        <v>Sadia Hossain</v>
      </c>
      <c r="E89" t="str">
        <f t="shared" si="3"/>
        <v>Sadia Hossain</v>
      </c>
    </row>
    <row r="90" spans="1:5" x14ac:dyDescent="0.3">
      <c r="A90" t="s">
        <v>12</v>
      </c>
      <c r="B90" t="s">
        <v>42</v>
      </c>
      <c r="C90" t="s">
        <v>220</v>
      </c>
      <c r="D90" t="str">
        <f t="shared" si="2"/>
        <v>Lamia Hossain</v>
      </c>
      <c r="E90" t="str">
        <f t="shared" si="3"/>
        <v>Lamia Hossain</v>
      </c>
    </row>
    <row r="91" spans="1:5" x14ac:dyDescent="0.3">
      <c r="A91" t="s">
        <v>40</v>
      </c>
      <c r="B91" t="s">
        <v>44</v>
      </c>
      <c r="C91" t="s">
        <v>223</v>
      </c>
      <c r="D91" t="str">
        <f t="shared" si="2"/>
        <v>Mamun Rahman</v>
      </c>
      <c r="E91" t="str">
        <f t="shared" si="3"/>
        <v>Mamun Rahman</v>
      </c>
    </row>
    <row r="92" spans="1:5" x14ac:dyDescent="0.3">
      <c r="A92" t="s">
        <v>39</v>
      </c>
      <c r="B92" t="s">
        <v>38</v>
      </c>
      <c r="C92" t="s">
        <v>218</v>
      </c>
      <c r="D92" t="str">
        <f t="shared" si="2"/>
        <v>Sadia Akter</v>
      </c>
      <c r="E92" t="str">
        <f t="shared" si="3"/>
        <v>Sadia Akter</v>
      </c>
    </row>
    <row r="93" spans="1:5" x14ac:dyDescent="0.3">
      <c r="A93" t="s">
        <v>45</v>
      </c>
      <c r="B93" t="s">
        <v>37</v>
      </c>
      <c r="C93" t="s">
        <v>229</v>
      </c>
      <c r="D93" t="str">
        <f t="shared" si="2"/>
        <v>Nusrat Sarkar</v>
      </c>
      <c r="E93" t="str">
        <f t="shared" si="3"/>
        <v>Nusrat Sarkar</v>
      </c>
    </row>
    <row r="94" spans="1:5" x14ac:dyDescent="0.3">
      <c r="A94" t="s">
        <v>39</v>
      </c>
      <c r="B94" t="s">
        <v>41</v>
      </c>
      <c r="C94" t="s">
        <v>243</v>
      </c>
      <c r="D94" t="str">
        <f t="shared" si="2"/>
        <v>Sadia Miah</v>
      </c>
      <c r="E94" t="str">
        <f t="shared" si="3"/>
        <v>Sadia Miah</v>
      </c>
    </row>
    <row r="95" spans="1:5" x14ac:dyDescent="0.3">
      <c r="A95" t="s">
        <v>46</v>
      </c>
      <c r="B95" t="s">
        <v>7</v>
      </c>
      <c r="C95" t="s">
        <v>256</v>
      </c>
      <c r="D95" t="str">
        <f t="shared" si="2"/>
        <v>Tariq Karim</v>
      </c>
      <c r="E95" t="str">
        <f t="shared" si="3"/>
        <v>Tariq Karim</v>
      </c>
    </row>
    <row r="96" spans="1:5" x14ac:dyDescent="0.3">
      <c r="A96" t="s">
        <v>43</v>
      </c>
      <c r="B96" t="s">
        <v>47</v>
      </c>
      <c r="C96" t="s">
        <v>227</v>
      </c>
      <c r="D96" t="str">
        <f t="shared" si="2"/>
        <v>Abdul Islam</v>
      </c>
      <c r="E96" t="str">
        <f t="shared" si="3"/>
        <v>Abdul Islam</v>
      </c>
    </row>
    <row r="97" spans="1:5" x14ac:dyDescent="0.3">
      <c r="A97" t="s">
        <v>39</v>
      </c>
      <c r="B97" t="s">
        <v>41</v>
      </c>
      <c r="C97" t="s">
        <v>243</v>
      </c>
      <c r="D97" t="str">
        <f t="shared" si="2"/>
        <v>Sadia Miah</v>
      </c>
      <c r="E97" t="str">
        <f t="shared" si="3"/>
        <v>Sadia Miah</v>
      </c>
    </row>
    <row r="98" spans="1:5" x14ac:dyDescent="0.3">
      <c r="A98" t="s">
        <v>5</v>
      </c>
      <c r="B98" t="s">
        <v>7</v>
      </c>
      <c r="C98" t="s">
        <v>257</v>
      </c>
      <c r="D98" t="str">
        <f t="shared" si="2"/>
        <v>Rafi Karim</v>
      </c>
      <c r="E98" t="str">
        <f t="shared" si="3"/>
        <v>Rafi Karim</v>
      </c>
    </row>
    <row r="99" spans="1:5" x14ac:dyDescent="0.3">
      <c r="A99" t="s">
        <v>12</v>
      </c>
      <c r="B99" t="s">
        <v>47</v>
      </c>
      <c r="C99" t="s">
        <v>246</v>
      </c>
      <c r="D99" t="str">
        <f t="shared" si="2"/>
        <v>Lamia Islam</v>
      </c>
      <c r="E99" t="str">
        <f t="shared" si="3"/>
        <v>Lamia Islam</v>
      </c>
    </row>
    <row r="100" spans="1:5" x14ac:dyDescent="0.3">
      <c r="A100" t="s">
        <v>39</v>
      </c>
      <c r="B100" t="s">
        <v>38</v>
      </c>
      <c r="C100" t="s">
        <v>218</v>
      </c>
      <c r="D100" t="str">
        <f t="shared" si="2"/>
        <v>Sadia Akter</v>
      </c>
      <c r="E100" t="str">
        <f t="shared" si="3"/>
        <v>Sadia Akter</v>
      </c>
    </row>
    <row r="101" spans="1:5" x14ac:dyDescent="0.3">
      <c r="A101" t="s">
        <v>43</v>
      </c>
      <c r="B101" t="s">
        <v>41</v>
      </c>
      <c r="C101" t="s">
        <v>222</v>
      </c>
      <c r="D101" t="str">
        <f t="shared" si="2"/>
        <v>Abdul Miah</v>
      </c>
      <c r="E101" t="str">
        <f t="shared" si="3"/>
        <v>Abdul Miah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ADFC-FCD5-4705-9878-08B5C01AD191}">
  <dimension ref="B4:E6"/>
  <sheetViews>
    <sheetView zoomScale="190" zoomScaleNormal="190" workbookViewId="0">
      <selection activeCell="F4" sqref="F4"/>
    </sheetView>
  </sheetViews>
  <sheetFormatPr defaultRowHeight="14.4" x14ac:dyDescent="0.3"/>
  <cols>
    <col min="2" max="4" width="13" customWidth="1"/>
    <col min="5" max="5" width="18.33203125" customWidth="1"/>
  </cols>
  <sheetData>
    <row r="4" spans="2:5" x14ac:dyDescent="0.3">
      <c r="B4" t="s">
        <v>32</v>
      </c>
      <c r="C4" t="s">
        <v>260</v>
      </c>
      <c r="D4" t="s">
        <v>33</v>
      </c>
      <c r="E4" t="s">
        <v>34</v>
      </c>
    </row>
    <row r="5" spans="2:5" x14ac:dyDescent="0.3">
      <c r="B5" t="s">
        <v>206</v>
      </c>
      <c r="C5" t="s">
        <v>262</v>
      </c>
      <c r="D5" t="s">
        <v>207</v>
      </c>
      <c r="E5" t="str">
        <f>_xlfn.TEXTJOIN("@",TRUE,B5,C5,D5)</f>
        <v>Masud@Uz@Zaman</v>
      </c>
    </row>
    <row r="6" spans="2:5" x14ac:dyDescent="0.3">
      <c r="B6" t="s">
        <v>263</v>
      </c>
      <c r="D6" t="s">
        <v>261</v>
      </c>
      <c r="E6" t="str">
        <f>_xlfn.TEXTJOIN("@",TRUE,B6,C6,D6)</f>
        <v>Akash@Patel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26"/>
  <sheetViews>
    <sheetView zoomScale="145" zoomScaleNormal="145" workbookViewId="0">
      <selection activeCell="F6" sqref="F6"/>
    </sheetView>
  </sheetViews>
  <sheetFormatPr defaultRowHeight="14.4" x14ac:dyDescent="0.3"/>
  <cols>
    <col min="1" max="1" width="9.5546875" style="7" bestFit="1" customWidth="1"/>
    <col min="2" max="2" width="12.77734375" bestFit="1" customWidth="1"/>
    <col min="3" max="3" width="12.77734375" style="7" bestFit="1" customWidth="1"/>
    <col min="6" max="7" width="19.44140625" customWidth="1"/>
  </cols>
  <sheetData>
    <row r="3" spans="2:9" x14ac:dyDescent="0.3">
      <c r="B3" s="7" t="s">
        <v>48</v>
      </c>
      <c r="C3" s="7" t="s">
        <v>49</v>
      </c>
      <c r="D3" s="7" t="s">
        <v>50</v>
      </c>
    </row>
    <row r="4" spans="2:9" x14ac:dyDescent="0.3">
      <c r="B4" s="9">
        <v>100</v>
      </c>
      <c r="C4" s="7" t="s">
        <v>265</v>
      </c>
      <c r="D4" s="7">
        <v>83</v>
      </c>
      <c r="I4">
        <v>2</v>
      </c>
    </row>
    <row r="5" spans="2:9" x14ac:dyDescent="0.3">
      <c r="B5" s="9">
        <v>101</v>
      </c>
      <c r="C5" s="7" t="s">
        <v>51</v>
      </c>
      <c r="D5" s="7">
        <v>181</v>
      </c>
      <c r="F5" s="7" t="s">
        <v>48</v>
      </c>
      <c r="G5" s="7" t="s">
        <v>49</v>
      </c>
      <c r="I5">
        <v>3</v>
      </c>
    </row>
    <row r="6" spans="2:9" x14ac:dyDescent="0.3">
      <c r="B6" s="9">
        <v>102</v>
      </c>
      <c r="C6" s="7" t="s">
        <v>271</v>
      </c>
      <c r="D6" s="7">
        <v>277</v>
      </c>
      <c r="F6" s="7">
        <v>102</v>
      </c>
      <c r="G6" s="7" t="str">
        <f>VLOOKUP(F6,B3:D12,2,0)</f>
        <v>Sugar-1</v>
      </c>
      <c r="I6">
        <v>4</v>
      </c>
    </row>
    <row r="7" spans="2:9" x14ac:dyDescent="0.3">
      <c r="B7" s="9">
        <v>103</v>
      </c>
      <c r="C7" s="7" t="s">
        <v>268</v>
      </c>
      <c r="D7" s="7">
        <v>244</v>
      </c>
      <c r="I7">
        <v>5</v>
      </c>
    </row>
    <row r="8" spans="2:9" x14ac:dyDescent="0.3">
      <c r="B8" s="9">
        <v>104</v>
      </c>
      <c r="C8" s="7" t="s">
        <v>52</v>
      </c>
      <c r="D8" s="7">
        <v>246</v>
      </c>
    </row>
    <row r="9" spans="2:9" x14ac:dyDescent="0.3">
      <c r="B9" s="9">
        <v>105</v>
      </c>
      <c r="C9" s="7" t="s">
        <v>270</v>
      </c>
      <c r="D9" s="7">
        <v>113</v>
      </c>
      <c r="H9" t="s">
        <v>273</v>
      </c>
      <c r="I9">
        <f>I4+I5+I6+I7</f>
        <v>14</v>
      </c>
    </row>
    <row r="10" spans="2:9" x14ac:dyDescent="0.3">
      <c r="B10" s="9">
        <v>106</v>
      </c>
      <c r="C10" s="7" t="s">
        <v>266</v>
      </c>
      <c r="D10" s="7">
        <v>389</v>
      </c>
      <c r="H10" t="s">
        <v>273</v>
      </c>
      <c r="I10">
        <f>SUM(I4:I7)</f>
        <v>14</v>
      </c>
    </row>
    <row r="11" spans="2:9" x14ac:dyDescent="0.3">
      <c r="B11" s="9">
        <v>107</v>
      </c>
      <c r="C11" s="7" t="s">
        <v>267</v>
      </c>
      <c r="D11" s="7">
        <v>293</v>
      </c>
    </row>
    <row r="12" spans="2:9" x14ac:dyDescent="0.3">
      <c r="B12" s="9">
        <v>108</v>
      </c>
      <c r="C12" s="7" t="s">
        <v>269</v>
      </c>
      <c r="D12" s="7">
        <v>205</v>
      </c>
    </row>
    <row r="16" spans="2:9" x14ac:dyDescent="0.3">
      <c r="B16" s="7" t="s">
        <v>49</v>
      </c>
      <c r="C16" s="7" t="s">
        <v>48</v>
      </c>
      <c r="D16" s="7" t="s">
        <v>50</v>
      </c>
      <c r="F16" s="7" t="s">
        <v>48</v>
      </c>
      <c r="G16" s="7" t="s">
        <v>49</v>
      </c>
    </row>
    <row r="17" spans="1:7" x14ac:dyDescent="0.3">
      <c r="A17" s="9"/>
      <c r="B17" s="7" t="s">
        <v>265</v>
      </c>
      <c r="C17" s="9">
        <v>100</v>
      </c>
      <c r="D17" s="7">
        <v>83</v>
      </c>
      <c r="F17" s="7">
        <v>107</v>
      </c>
      <c r="G17" s="7" t="str">
        <f>_xlfn.XLOOKUP(F17,C16:C25,B16:B25,"",0)</f>
        <v>Milk-3</v>
      </c>
    </row>
    <row r="18" spans="1:7" x14ac:dyDescent="0.3">
      <c r="A18" s="9"/>
      <c r="B18" s="7" t="s">
        <v>51</v>
      </c>
      <c r="C18" s="9">
        <v>101</v>
      </c>
      <c r="D18" s="7">
        <v>181</v>
      </c>
    </row>
    <row r="19" spans="1:7" x14ac:dyDescent="0.3">
      <c r="A19" s="9"/>
      <c r="B19" s="7" t="s">
        <v>271</v>
      </c>
      <c r="C19" s="9">
        <v>102</v>
      </c>
      <c r="D19" s="7">
        <v>277</v>
      </c>
    </row>
    <row r="20" spans="1:7" x14ac:dyDescent="0.3">
      <c r="A20" s="9"/>
      <c r="B20" s="7" t="s">
        <v>268</v>
      </c>
      <c r="C20" s="9">
        <v>103</v>
      </c>
      <c r="D20" s="7">
        <v>244</v>
      </c>
      <c r="G20" s="5" t="s">
        <v>272</v>
      </c>
    </row>
    <row r="21" spans="1:7" x14ac:dyDescent="0.3">
      <c r="A21" s="9"/>
      <c r="B21" s="7" t="s">
        <v>52</v>
      </c>
      <c r="C21" s="9">
        <v>104</v>
      </c>
      <c r="D21" s="7">
        <v>246</v>
      </c>
    </row>
    <row r="22" spans="1:7" x14ac:dyDescent="0.3">
      <c r="A22" s="9"/>
      <c r="B22" s="7" t="s">
        <v>270</v>
      </c>
      <c r="C22" s="9">
        <v>105</v>
      </c>
      <c r="D22" s="7">
        <v>113</v>
      </c>
    </row>
    <row r="23" spans="1:7" x14ac:dyDescent="0.3">
      <c r="A23" s="9"/>
      <c r="B23" s="7" t="s">
        <v>266</v>
      </c>
      <c r="C23" s="9">
        <v>106</v>
      </c>
      <c r="D23" s="7">
        <v>389</v>
      </c>
    </row>
    <row r="24" spans="1:7" x14ac:dyDescent="0.3">
      <c r="A24" s="9"/>
      <c r="B24" s="7" t="s">
        <v>267</v>
      </c>
      <c r="C24" s="9">
        <v>107</v>
      </c>
      <c r="D24" s="7">
        <v>293</v>
      </c>
    </row>
    <row r="25" spans="1:7" x14ac:dyDescent="0.3">
      <c r="A25" s="9"/>
      <c r="B25" s="7" t="s">
        <v>269</v>
      </c>
      <c r="C25" s="9">
        <v>108</v>
      </c>
      <c r="D25" s="7">
        <v>205</v>
      </c>
    </row>
    <row r="26" spans="1:7" x14ac:dyDescent="0.3">
      <c r="B26" s="7"/>
      <c r="C2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9810-9E1C-4B80-95FB-22F6E8D2C00C}">
  <dimension ref="A1:O101"/>
  <sheetViews>
    <sheetView topLeftCell="E1" zoomScale="160" zoomScaleNormal="160" workbookViewId="0">
      <selection activeCell="J2" sqref="J2"/>
    </sheetView>
  </sheetViews>
  <sheetFormatPr defaultRowHeight="14.4" x14ac:dyDescent="0.3"/>
  <cols>
    <col min="1" max="5" width="14.5546875" customWidth="1"/>
    <col min="6" max="6" width="17.44140625" bestFit="1" customWidth="1"/>
    <col min="7" max="7" width="3.33203125" customWidth="1"/>
    <col min="8" max="8" width="9.21875" customWidth="1"/>
    <col min="9" max="9" width="10" bestFit="1" customWidth="1"/>
    <col min="10" max="10" width="11.77734375" bestFit="1" customWidth="1"/>
    <col min="12" max="12" width="11.33203125" bestFit="1" customWidth="1"/>
    <col min="15" max="15" width="17.21875" bestFit="1" customWidth="1"/>
  </cols>
  <sheetData>
    <row r="1" spans="1:15" x14ac:dyDescent="0.3">
      <c r="A1" s="8" t="s">
        <v>62</v>
      </c>
      <c r="B1" s="8" t="s">
        <v>0</v>
      </c>
      <c r="C1" s="8" t="s">
        <v>63</v>
      </c>
      <c r="D1" s="8" t="s">
        <v>64</v>
      </c>
      <c r="E1" s="8" t="s">
        <v>65</v>
      </c>
      <c r="F1" s="8" t="s">
        <v>66</v>
      </c>
      <c r="J1" s="8" t="s">
        <v>62</v>
      </c>
      <c r="K1" s="8" t="s">
        <v>0</v>
      </c>
      <c r="L1" s="8" t="s">
        <v>63</v>
      </c>
      <c r="M1" s="8" t="s">
        <v>64</v>
      </c>
      <c r="N1" s="8" t="s">
        <v>65</v>
      </c>
      <c r="O1" s="8" t="s">
        <v>66</v>
      </c>
    </row>
    <row r="2" spans="1:15" x14ac:dyDescent="0.3">
      <c r="A2" t="s">
        <v>67</v>
      </c>
      <c r="B2" t="s">
        <v>68</v>
      </c>
      <c r="C2" t="s">
        <v>69</v>
      </c>
      <c r="D2" t="s">
        <v>70</v>
      </c>
      <c r="E2">
        <v>53146</v>
      </c>
      <c r="F2">
        <v>86</v>
      </c>
      <c r="H2" t="s">
        <v>264</v>
      </c>
      <c r="I2" t="s">
        <v>85</v>
      </c>
      <c r="J2" t="str" cm="1">
        <f t="array" ref="J2:O14">_xlfn._xlws.FILTER(A2:F101,C2:C101=I2)</f>
        <v>EMP006</v>
      </c>
      <c r="K2" t="str">
        <v>Mike</v>
      </c>
      <c r="L2" t="str">
        <v>Operations</v>
      </c>
      <c r="M2" t="str">
        <v>Sylhet</v>
      </c>
      <c r="N2">
        <v>93233</v>
      </c>
      <c r="O2">
        <v>63</v>
      </c>
    </row>
    <row r="3" spans="1:15" x14ac:dyDescent="0.3">
      <c r="A3" t="s">
        <v>71</v>
      </c>
      <c r="B3" t="s">
        <v>72</v>
      </c>
      <c r="C3" t="s">
        <v>73</v>
      </c>
      <c r="D3" t="s">
        <v>74</v>
      </c>
      <c r="E3">
        <v>101512</v>
      </c>
      <c r="F3">
        <v>97</v>
      </c>
      <c r="J3" t="str">
        <v>EMP031</v>
      </c>
      <c r="K3" t="str">
        <v>Mia</v>
      </c>
      <c r="L3" t="str">
        <v>Operations</v>
      </c>
      <c r="M3" t="str">
        <v>Rajshahi</v>
      </c>
      <c r="N3">
        <v>65730</v>
      </c>
      <c r="O3">
        <v>53</v>
      </c>
    </row>
    <row r="4" spans="1:15" x14ac:dyDescent="0.3">
      <c r="A4" t="s">
        <v>75</v>
      </c>
      <c r="B4" t="s">
        <v>72</v>
      </c>
      <c r="C4" t="s">
        <v>73</v>
      </c>
      <c r="D4" t="s">
        <v>76</v>
      </c>
      <c r="E4">
        <v>101967</v>
      </c>
      <c r="F4">
        <v>95</v>
      </c>
      <c r="J4" t="str">
        <v>EMP037</v>
      </c>
      <c r="K4" t="str">
        <v>James</v>
      </c>
      <c r="L4" t="str">
        <v>Operations</v>
      </c>
      <c r="M4" t="str">
        <v>Chattogram</v>
      </c>
      <c r="N4">
        <v>105609</v>
      </c>
      <c r="O4">
        <v>80</v>
      </c>
    </row>
    <row r="5" spans="1:15" x14ac:dyDescent="0.3">
      <c r="A5" t="s">
        <v>77</v>
      </c>
      <c r="B5" t="s">
        <v>78</v>
      </c>
      <c r="C5" t="s">
        <v>79</v>
      </c>
      <c r="D5" t="s">
        <v>80</v>
      </c>
      <c r="E5">
        <v>119628</v>
      </c>
      <c r="F5">
        <v>61</v>
      </c>
      <c r="J5" t="str">
        <v>EMP042</v>
      </c>
      <c r="K5" t="str">
        <v>Ava</v>
      </c>
      <c r="L5" t="str">
        <v>Operations</v>
      </c>
      <c r="M5" t="str">
        <v>Dhaka</v>
      </c>
      <c r="N5">
        <v>67364</v>
      </c>
      <c r="O5">
        <v>72</v>
      </c>
    </row>
    <row r="6" spans="1:15" x14ac:dyDescent="0.3">
      <c r="A6" t="s">
        <v>81</v>
      </c>
      <c r="B6" t="s">
        <v>82</v>
      </c>
      <c r="C6" t="s">
        <v>18</v>
      </c>
      <c r="D6" t="s">
        <v>80</v>
      </c>
      <c r="E6">
        <v>96501</v>
      </c>
      <c r="F6">
        <v>54</v>
      </c>
      <c r="H6" t="s">
        <v>69</v>
      </c>
      <c r="J6" t="str">
        <v>EMP060</v>
      </c>
      <c r="K6" t="str">
        <v>Sara</v>
      </c>
      <c r="L6" t="str">
        <v>Operations</v>
      </c>
      <c r="M6" t="str">
        <v>Chattogram</v>
      </c>
      <c r="N6">
        <v>82836</v>
      </c>
      <c r="O6">
        <v>59</v>
      </c>
    </row>
    <row r="7" spans="1:15" x14ac:dyDescent="0.3">
      <c r="A7" t="s">
        <v>83</v>
      </c>
      <c r="B7" t="s">
        <v>84</v>
      </c>
      <c r="C7" t="s">
        <v>85</v>
      </c>
      <c r="D7" t="s">
        <v>76</v>
      </c>
      <c r="E7">
        <v>93233</v>
      </c>
      <c r="F7">
        <v>63</v>
      </c>
      <c r="H7" t="s">
        <v>73</v>
      </c>
      <c r="J7" t="str">
        <v>EMP070</v>
      </c>
      <c r="K7" t="str">
        <v>Sophia</v>
      </c>
      <c r="L7" t="str">
        <v>Operations</v>
      </c>
      <c r="M7" t="str">
        <v>Sylhet</v>
      </c>
      <c r="N7">
        <v>96893</v>
      </c>
      <c r="O7">
        <v>54</v>
      </c>
    </row>
    <row r="8" spans="1:15" x14ac:dyDescent="0.3">
      <c r="A8" t="s">
        <v>86</v>
      </c>
      <c r="B8" t="s">
        <v>78</v>
      </c>
      <c r="C8" t="s">
        <v>18</v>
      </c>
      <c r="D8" t="s">
        <v>74</v>
      </c>
      <c r="E8">
        <v>54171</v>
      </c>
      <c r="F8">
        <v>72</v>
      </c>
      <c r="H8" t="s">
        <v>79</v>
      </c>
      <c r="J8" t="str">
        <v>EMP071</v>
      </c>
      <c r="K8" t="str">
        <v>Daniel</v>
      </c>
      <c r="L8" t="str">
        <v>Operations</v>
      </c>
      <c r="M8" t="str">
        <v>Khulna</v>
      </c>
      <c r="N8">
        <v>101104</v>
      </c>
      <c r="O8">
        <v>76</v>
      </c>
    </row>
    <row r="9" spans="1:15" x14ac:dyDescent="0.3">
      <c r="A9" t="s">
        <v>87</v>
      </c>
      <c r="B9" t="s">
        <v>88</v>
      </c>
      <c r="C9" t="s">
        <v>69</v>
      </c>
      <c r="D9" t="s">
        <v>70</v>
      </c>
      <c r="E9">
        <v>49313</v>
      </c>
      <c r="F9">
        <v>79</v>
      </c>
      <c r="H9" t="s">
        <v>18</v>
      </c>
      <c r="J9" t="str">
        <v>EMP077</v>
      </c>
      <c r="K9" t="str">
        <v>Olivia</v>
      </c>
      <c r="L9" t="str">
        <v>Operations</v>
      </c>
      <c r="M9" t="str">
        <v>Rajshahi</v>
      </c>
      <c r="N9">
        <v>58251</v>
      </c>
      <c r="O9">
        <v>59</v>
      </c>
    </row>
    <row r="10" spans="1:15" x14ac:dyDescent="0.3">
      <c r="A10" t="s">
        <v>89</v>
      </c>
      <c r="B10" t="s">
        <v>68</v>
      </c>
      <c r="C10" t="s">
        <v>18</v>
      </c>
      <c r="D10" t="s">
        <v>76</v>
      </c>
      <c r="E10">
        <v>38776</v>
      </c>
      <c r="F10">
        <v>94</v>
      </c>
      <c r="H10" t="s">
        <v>85</v>
      </c>
      <c r="J10" t="str">
        <v>EMP087</v>
      </c>
      <c r="K10" t="str">
        <v>John</v>
      </c>
      <c r="L10" t="str">
        <v>Operations</v>
      </c>
      <c r="M10" t="str">
        <v>Khulna</v>
      </c>
      <c r="N10">
        <v>46690</v>
      </c>
      <c r="O10">
        <v>77</v>
      </c>
    </row>
    <row r="11" spans="1:15" x14ac:dyDescent="0.3">
      <c r="A11" t="s">
        <v>90</v>
      </c>
      <c r="B11" t="s">
        <v>91</v>
      </c>
      <c r="C11" t="s">
        <v>69</v>
      </c>
      <c r="D11" t="s">
        <v>70</v>
      </c>
      <c r="E11">
        <v>64311</v>
      </c>
      <c r="F11">
        <v>99</v>
      </c>
      <c r="H11" t="s">
        <v>105</v>
      </c>
      <c r="J11" t="str">
        <v>EMP088</v>
      </c>
      <c r="K11" t="str">
        <v>Sophia</v>
      </c>
      <c r="L11" t="str">
        <v>Operations</v>
      </c>
      <c r="M11" t="str">
        <v>Sylhet</v>
      </c>
      <c r="N11">
        <v>93677</v>
      </c>
      <c r="O11">
        <v>50</v>
      </c>
    </row>
    <row r="12" spans="1:15" x14ac:dyDescent="0.3">
      <c r="A12" t="s">
        <v>92</v>
      </c>
      <c r="B12" t="s">
        <v>78</v>
      </c>
      <c r="C12" t="s">
        <v>73</v>
      </c>
      <c r="D12" t="s">
        <v>80</v>
      </c>
      <c r="E12">
        <v>73374</v>
      </c>
      <c r="F12">
        <v>81</v>
      </c>
      <c r="J12" t="str">
        <v>EMP093</v>
      </c>
      <c r="K12" t="str">
        <v>Daniel</v>
      </c>
      <c r="L12" t="str">
        <v>Operations</v>
      </c>
      <c r="M12" t="str">
        <v>Rajshahi</v>
      </c>
      <c r="N12">
        <v>58553</v>
      </c>
      <c r="O12">
        <v>62</v>
      </c>
    </row>
    <row r="13" spans="1:15" x14ac:dyDescent="0.3">
      <c r="A13" t="s">
        <v>93</v>
      </c>
      <c r="B13" t="s">
        <v>94</v>
      </c>
      <c r="C13" t="s">
        <v>79</v>
      </c>
      <c r="D13" t="s">
        <v>74</v>
      </c>
      <c r="E13">
        <v>51543</v>
      </c>
      <c r="F13">
        <v>63</v>
      </c>
      <c r="J13" t="str">
        <v>EMP094</v>
      </c>
      <c r="K13" t="str">
        <v>Emma</v>
      </c>
      <c r="L13" t="str">
        <v>Operations</v>
      </c>
      <c r="M13" t="str">
        <v>Rajshahi</v>
      </c>
      <c r="N13">
        <v>104615</v>
      </c>
      <c r="O13">
        <v>87</v>
      </c>
    </row>
    <row r="14" spans="1:15" x14ac:dyDescent="0.3">
      <c r="A14" t="s">
        <v>95</v>
      </c>
      <c r="B14" t="s">
        <v>68</v>
      </c>
      <c r="C14" t="s">
        <v>79</v>
      </c>
      <c r="D14" t="s">
        <v>76</v>
      </c>
      <c r="E14">
        <v>115747</v>
      </c>
      <c r="F14">
        <v>86</v>
      </c>
      <c r="J14" t="str">
        <v>EMP098</v>
      </c>
      <c r="K14" t="str">
        <v>Olivia</v>
      </c>
      <c r="L14" t="str">
        <v>Operations</v>
      </c>
      <c r="M14" t="str">
        <v>Rajshahi</v>
      </c>
      <c r="N14">
        <v>60169</v>
      </c>
      <c r="O14">
        <v>95</v>
      </c>
    </row>
    <row r="15" spans="1:15" x14ac:dyDescent="0.3">
      <c r="A15" t="s">
        <v>96</v>
      </c>
      <c r="B15" t="s">
        <v>82</v>
      </c>
      <c r="C15" t="s">
        <v>79</v>
      </c>
      <c r="D15" t="s">
        <v>80</v>
      </c>
      <c r="E15">
        <v>67520</v>
      </c>
      <c r="F15">
        <v>75</v>
      </c>
    </row>
    <row r="16" spans="1:15" x14ac:dyDescent="0.3">
      <c r="A16" t="s">
        <v>97</v>
      </c>
      <c r="B16" t="s">
        <v>82</v>
      </c>
      <c r="C16" t="s">
        <v>79</v>
      </c>
      <c r="D16" t="s">
        <v>80</v>
      </c>
      <c r="E16">
        <v>91217</v>
      </c>
      <c r="F16">
        <v>54</v>
      </c>
    </row>
    <row r="17" spans="1:13" x14ac:dyDescent="0.3">
      <c r="A17" t="s">
        <v>98</v>
      </c>
      <c r="B17" t="s">
        <v>84</v>
      </c>
      <c r="C17" t="s">
        <v>79</v>
      </c>
      <c r="D17" t="s">
        <v>99</v>
      </c>
      <c r="E17">
        <v>89249</v>
      </c>
      <c r="F17">
        <v>67</v>
      </c>
    </row>
    <row r="18" spans="1:13" x14ac:dyDescent="0.3">
      <c r="A18" t="s">
        <v>100</v>
      </c>
      <c r="B18" t="s">
        <v>94</v>
      </c>
      <c r="C18" t="s">
        <v>18</v>
      </c>
      <c r="D18" t="s">
        <v>76</v>
      </c>
      <c r="E18">
        <v>50152</v>
      </c>
      <c r="F18">
        <v>82</v>
      </c>
    </row>
    <row r="19" spans="1:13" x14ac:dyDescent="0.3">
      <c r="A19" t="s">
        <v>101</v>
      </c>
      <c r="B19" t="s">
        <v>72</v>
      </c>
      <c r="C19" t="s">
        <v>73</v>
      </c>
      <c r="D19" t="s">
        <v>99</v>
      </c>
      <c r="E19">
        <v>119979</v>
      </c>
      <c r="F19">
        <v>84</v>
      </c>
    </row>
    <row r="20" spans="1:13" x14ac:dyDescent="0.3">
      <c r="A20" t="s">
        <v>102</v>
      </c>
      <c r="B20" t="s">
        <v>103</v>
      </c>
      <c r="C20" t="s">
        <v>18</v>
      </c>
      <c r="D20" t="s">
        <v>99</v>
      </c>
      <c r="E20">
        <v>99400</v>
      </c>
      <c r="F20">
        <v>58</v>
      </c>
      <c r="L20" s="11">
        <v>0.8</v>
      </c>
      <c r="M20" s="11">
        <v>0.25</v>
      </c>
    </row>
    <row r="21" spans="1:13" x14ac:dyDescent="0.3">
      <c r="A21" t="s">
        <v>104</v>
      </c>
      <c r="B21" t="s">
        <v>88</v>
      </c>
      <c r="C21" t="s">
        <v>105</v>
      </c>
      <c r="D21" t="s">
        <v>74</v>
      </c>
      <c r="E21">
        <v>67919</v>
      </c>
      <c r="F21">
        <v>71</v>
      </c>
    </row>
    <row r="22" spans="1:13" x14ac:dyDescent="0.3">
      <c r="A22" t="s">
        <v>106</v>
      </c>
      <c r="B22" t="s">
        <v>107</v>
      </c>
      <c r="C22" t="s">
        <v>69</v>
      </c>
      <c r="D22" t="s">
        <v>99</v>
      </c>
      <c r="E22">
        <v>46721</v>
      </c>
      <c r="F22">
        <v>57</v>
      </c>
      <c r="L22" s="11"/>
    </row>
    <row r="23" spans="1:13" x14ac:dyDescent="0.3">
      <c r="A23" t="s">
        <v>108</v>
      </c>
      <c r="B23" t="s">
        <v>109</v>
      </c>
      <c r="C23" t="s">
        <v>79</v>
      </c>
      <c r="D23" t="s">
        <v>76</v>
      </c>
      <c r="E23">
        <v>94163</v>
      </c>
      <c r="F23">
        <v>86</v>
      </c>
      <c r="L23" s="11">
        <v>0.8</v>
      </c>
      <c r="M23" s="11">
        <v>80</v>
      </c>
    </row>
    <row r="24" spans="1:13" x14ac:dyDescent="0.3">
      <c r="A24" t="s">
        <v>110</v>
      </c>
      <c r="B24" t="s">
        <v>72</v>
      </c>
      <c r="C24" t="s">
        <v>73</v>
      </c>
      <c r="D24" t="s">
        <v>80</v>
      </c>
      <c r="E24">
        <v>31723</v>
      </c>
      <c r="F24">
        <v>60</v>
      </c>
      <c r="J24" s="11">
        <v>0.2</v>
      </c>
      <c r="L24" s="11">
        <v>0.2</v>
      </c>
    </row>
    <row r="25" spans="1:13" x14ac:dyDescent="0.3">
      <c r="A25" t="s">
        <v>111</v>
      </c>
      <c r="B25" t="s">
        <v>78</v>
      </c>
      <c r="C25" t="s">
        <v>79</v>
      </c>
      <c r="D25" t="s">
        <v>80</v>
      </c>
      <c r="E25">
        <v>46606</v>
      </c>
      <c r="F25">
        <v>73</v>
      </c>
      <c r="J25">
        <v>0.8</v>
      </c>
      <c r="L25" s="11"/>
    </row>
    <row r="26" spans="1:13" x14ac:dyDescent="0.3">
      <c r="A26" t="s">
        <v>112</v>
      </c>
      <c r="B26" t="s">
        <v>113</v>
      </c>
      <c r="C26" t="s">
        <v>18</v>
      </c>
      <c r="D26" t="s">
        <v>70</v>
      </c>
      <c r="E26">
        <v>94451</v>
      </c>
      <c r="F26">
        <v>67</v>
      </c>
      <c r="L26" s="11"/>
    </row>
    <row r="27" spans="1:13" x14ac:dyDescent="0.3">
      <c r="A27" t="s">
        <v>114</v>
      </c>
      <c r="B27" t="s">
        <v>115</v>
      </c>
      <c r="C27" t="s">
        <v>69</v>
      </c>
      <c r="D27" t="s">
        <v>74</v>
      </c>
      <c r="E27">
        <v>30472</v>
      </c>
      <c r="F27">
        <v>96</v>
      </c>
    </row>
    <row r="28" spans="1:13" x14ac:dyDescent="0.3">
      <c r="A28" t="s">
        <v>116</v>
      </c>
      <c r="B28" t="s">
        <v>117</v>
      </c>
      <c r="C28" t="s">
        <v>79</v>
      </c>
      <c r="D28" t="s">
        <v>80</v>
      </c>
      <c r="E28">
        <v>111375</v>
      </c>
      <c r="F28">
        <v>76</v>
      </c>
    </row>
    <row r="29" spans="1:13" x14ac:dyDescent="0.3">
      <c r="A29" t="s">
        <v>118</v>
      </c>
      <c r="B29" t="s">
        <v>78</v>
      </c>
      <c r="C29" t="s">
        <v>69</v>
      </c>
      <c r="D29" t="s">
        <v>80</v>
      </c>
      <c r="E29">
        <v>100559</v>
      </c>
      <c r="F29">
        <v>87</v>
      </c>
    </row>
    <row r="30" spans="1:13" x14ac:dyDescent="0.3">
      <c r="A30" t="s">
        <v>119</v>
      </c>
      <c r="B30" t="s">
        <v>94</v>
      </c>
      <c r="C30" t="s">
        <v>79</v>
      </c>
      <c r="D30" t="s">
        <v>76</v>
      </c>
      <c r="E30">
        <v>111161</v>
      </c>
      <c r="F30">
        <v>85</v>
      </c>
    </row>
    <row r="31" spans="1:13" x14ac:dyDescent="0.3">
      <c r="A31" t="s">
        <v>120</v>
      </c>
      <c r="B31" t="s">
        <v>121</v>
      </c>
      <c r="C31" t="s">
        <v>73</v>
      </c>
      <c r="D31" t="s">
        <v>80</v>
      </c>
      <c r="E31">
        <v>51533</v>
      </c>
      <c r="F31">
        <v>93</v>
      </c>
    </row>
    <row r="32" spans="1:13" x14ac:dyDescent="0.3">
      <c r="A32" t="s">
        <v>122</v>
      </c>
      <c r="B32" t="s">
        <v>78</v>
      </c>
      <c r="C32" t="s">
        <v>85</v>
      </c>
      <c r="D32" t="s">
        <v>80</v>
      </c>
      <c r="E32">
        <v>65730</v>
      </c>
      <c r="F32">
        <v>53</v>
      </c>
    </row>
    <row r="33" spans="1:6" x14ac:dyDescent="0.3">
      <c r="A33" t="s">
        <v>123</v>
      </c>
      <c r="B33" t="s">
        <v>124</v>
      </c>
      <c r="C33" t="s">
        <v>73</v>
      </c>
      <c r="D33" t="s">
        <v>80</v>
      </c>
      <c r="E33">
        <v>86309</v>
      </c>
      <c r="F33">
        <v>100</v>
      </c>
    </row>
    <row r="34" spans="1:6" x14ac:dyDescent="0.3">
      <c r="A34" t="s">
        <v>125</v>
      </c>
      <c r="B34" t="s">
        <v>107</v>
      </c>
      <c r="C34" t="s">
        <v>73</v>
      </c>
      <c r="D34" t="s">
        <v>74</v>
      </c>
      <c r="E34">
        <v>42833</v>
      </c>
      <c r="F34">
        <v>88</v>
      </c>
    </row>
    <row r="35" spans="1:6" x14ac:dyDescent="0.3">
      <c r="A35" t="s">
        <v>126</v>
      </c>
      <c r="B35" t="s">
        <v>68</v>
      </c>
      <c r="C35" t="s">
        <v>69</v>
      </c>
      <c r="D35" t="s">
        <v>80</v>
      </c>
      <c r="E35">
        <v>76890</v>
      </c>
      <c r="F35">
        <v>93</v>
      </c>
    </row>
    <row r="36" spans="1:6" x14ac:dyDescent="0.3">
      <c r="A36" t="s">
        <v>127</v>
      </c>
      <c r="B36" t="s">
        <v>84</v>
      </c>
      <c r="C36" t="s">
        <v>73</v>
      </c>
      <c r="D36" t="s">
        <v>80</v>
      </c>
      <c r="E36">
        <v>58758</v>
      </c>
      <c r="F36">
        <v>84</v>
      </c>
    </row>
    <row r="37" spans="1:6" x14ac:dyDescent="0.3">
      <c r="A37" t="s">
        <v>128</v>
      </c>
      <c r="B37" t="s">
        <v>72</v>
      </c>
      <c r="C37" t="s">
        <v>79</v>
      </c>
      <c r="D37" t="s">
        <v>74</v>
      </c>
      <c r="E37">
        <v>117013</v>
      </c>
      <c r="F37">
        <v>80</v>
      </c>
    </row>
    <row r="38" spans="1:6" x14ac:dyDescent="0.3">
      <c r="A38" t="s">
        <v>129</v>
      </c>
      <c r="B38" t="s">
        <v>82</v>
      </c>
      <c r="C38" t="s">
        <v>85</v>
      </c>
      <c r="D38" t="s">
        <v>74</v>
      </c>
      <c r="E38">
        <v>105609</v>
      </c>
      <c r="F38">
        <v>80</v>
      </c>
    </row>
    <row r="39" spans="1:6" x14ac:dyDescent="0.3">
      <c r="A39" t="s">
        <v>130</v>
      </c>
      <c r="B39" t="s">
        <v>115</v>
      </c>
      <c r="C39" t="s">
        <v>69</v>
      </c>
      <c r="D39" t="s">
        <v>80</v>
      </c>
      <c r="E39">
        <v>107319</v>
      </c>
      <c r="F39">
        <v>71</v>
      </c>
    </row>
    <row r="40" spans="1:6" x14ac:dyDescent="0.3">
      <c r="A40" t="s">
        <v>131</v>
      </c>
      <c r="B40" t="s">
        <v>115</v>
      </c>
      <c r="C40" t="s">
        <v>73</v>
      </c>
      <c r="D40" t="s">
        <v>80</v>
      </c>
      <c r="E40">
        <v>91554</v>
      </c>
      <c r="F40">
        <v>54</v>
      </c>
    </row>
    <row r="41" spans="1:6" x14ac:dyDescent="0.3">
      <c r="A41" t="s">
        <v>132</v>
      </c>
      <c r="B41" t="s">
        <v>68</v>
      </c>
      <c r="C41" t="s">
        <v>79</v>
      </c>
      <c r="D41" t="s">
        <v>80</v>
      </c>
      <c r="E41">
        <v>96415</v>
      </c>
      <c r="F41">
        <v>63</v>
      </c>
    </row>
    <row r="42" spans="1:6" x14ac:dyDescent="0.3">
      <c r="A42" t="s">
        <v>133</v>
      </c>
      <c r="B42" t="s">
        <v>103</v>
      </c>
      <c r="C42" t="s">
        <v>73</v>
      </c>
      <c r="D42" t="s">
        <v>76</v>
      </c>
      <c r="E42">
        <v>118901</v>
      </c>
      <c r="F42">
        <v>73</v>
      </c>
    </row>
    <row r="43" spans="1:6" x14ac:dyDescent="0.3">
      <c r="A43" t="s">
        <v>134</v>
      </c>
      <c r="B43" t="s">
        <v>72</v>
      </c>
      <c r="C43" t="s">
        <v>85</v>
      </c>
      <c r="D43" t="s">
        <v>99</v>
      </c>
      <c r="E43">
        <v>67364</v>
      </c>
      <c r="F43">
        <v>72</v>
      </c>
    </row>
    <row r="44" spans="1:6" x14ac:dyDescent="0.3">
      <c r="A44" t="s">
        <v>135</v>
      </c>
      <c r="B44" t="s">
        <v>84</v>
      </c>
      <c r="C44" t="s">
        <v>73</v>
      </c>
      <c r="D44" t="s">
        <v>76</v>
      </c>
      <c r="E44">
        <v>97001</v>
      </c>
      <c r="F44">
        <v>98</v>
      </c>
    </row>
    <row r="45" spans="1:6" x14ac:dyDescent="0.3">
      <c r="A45" t="s">
        <v>136</v>
      </c>
      <c r="B45" t="s">
        <v>82</v>
      </c>
      <c r="C45" t="s">
        <v>69</v>
      </c>
      <c r="D45" t="s">
        <v>74</v>
      </c>
      <c r="E45">
        <v>90121</v>
      </c>
      <c r="F45">
        <v>62</v>
      </c>
    </row>
    <row r="46" spans="1:6" x14ac:dyDescent="0.3">
      <c r="A46" t="s">
        <v>137</v>
      </c>
      <c r="B46" t="s">
        <v>82</v>
      </c>
      <c r="C46" t="s">
        <v>73</v>
      </c>
      <c r="D46" t="s">
        <v>99</v>
      </c>
      <c r="E46">
        <v>47163</v>
      </c>
      <c r="F46">
        <v>72</v>
      </c>
    </row>
    <row r="47" spans="1:6" x14ac:dyDescent="0.3">
      <c r="A47" t="s">
        <v>138</v>
      </c>
      <c r="B47" t="s">
        <v>72</v>
      </c>
      <c r="C47" t="s">
        <v>73</v>
      </c>
      <c r="D47" t="s">
        <v>99</v>
      </c>
      <c r="E47">
        <v>44103</v>
      </c>
      <c r="F47">
        <v>94</v>
      </c>
    </row>
    <row r="48" spans="1:6" x14ac:dyDescent="0.3">
      <c r="A48" t="s">
        <v>139</v>
      </c>
      <c r="B48" t="s">
        <v>115</v>
      </c>
      <c r="C48" t="s">
        <v>79</v>
      </c>
      <c r="D48" t="s">
        <v>70</v>
      </c>
      <c r="E48">
        <v>109110</v>
      </c>
      <c r="F48">
        <v>69</v>
      </c>
    </row>
    <row r="49" spans="1:6" x14ac:dyDescent="0.3">
      <c r="A49" t="s">
        <v>140</v>
      </c>
      <c r="B49" t="s">
        <v>88</v>
      </c>
      <c r="C49" t="s">
        <v>73</v>
      </c>
      <c r="D49" t="s">
        <v>76</v>
      </c>
      <c r="E49">
        <v>94205</v>
      </c>
      <c r="F49">
        <v>72</v>
      </c>
    </row>
    <row r="50" spans="1:6" x14ac:dyDescent="0.3">
      <c r="A50" t="s">
        <v>141</v>
      </c>
      <c r="B50" t="s">
        <v>94</v>
      </c>
      <c r="C50" t="s">
        <v>69</v>
      </c>
      <c r="D50" t="s">
        <v>70</v>
      </c>
      <c r="E50">
        <v>77226</v>
      </c>
      <c r="F50">
        <v>54</v>
      </c>
    </row>
    <row r="51" spans="1:6" x14ac:dyDescent="0.3">
      <c r="A51" t="s">
        <v>142</v>
      </c>
      <c r="B51" t="s">
        <v>68</v>
      </c>
      <c r="C51" t="s">
        <v>18</v>
      </c>
      <c r="D51" t="s">
        <v>80</v>
      </c>
      <c r="E51">
        <v>44916</v>
      </c>
      <c r="F51">
        <v>93</v>
      </c>
    </row>
    <row r="52" spans="1:6" x14ac:dyDescent="0.3">
      <c r="A52" t="s">
        <v>143</v>
      </c>
      <c r="B52" t="s">
        <v>121</v>
      </c>
      <c r="C52" t="s">
        <v>18</v>
      </c>
      <c r="D52" t="s">
        <v>99</v>
      </c>
      <c r="E52">
        <v>81896</v>
      </c>
      <c r="F52">
        <v>85</v>
      </c>
    </row>
    <row r="53" spans="1:6" x14ac:dyDescent="0.3">
      <c r="A53" t="s">
        <v>144</v>
      </c>
      <c r="B53" t="s">
        <v>117</v>
      </c>
      <c r="C53" t="s">
        <v>79</v>
      </c>
      <c r="D53" t="s">
        <v>70</v>
      </c>
      <c r="E53">
        <v>55457</v>
      </c>
      <c r="F53">
        <v>79</v>
      </c>
    </row>
    <row r="54" spans="1:6" x14ac:dyDescent="0.3">
      <c r="A54" t="s">
        <v>145</v>
      </c>
      <c r="B54" t="s">
        <v>121</v>
      </c>
      <c r="C54" t="s">
        <v>105</v>
      </c>
      <c r="D54" t="s">
        <v>80</v>
      </c>
      <c r="E54">
        <v>65854</v>
      </c>
      <c r="F54">
        <v>88</v>
      </c>
    </row>
    <row r="55" spans="1:6" x14ac:dyDescent="0.3">
      <c r="A55" t="s">
        <v>146</v>
      </c>
      <c r="B55" t="s">
        <v>84</v>
      </c>
      <c r="C55" t="s">
        <v>73</v>
      </c>
      <c r="D55" t="s">
        <v>76</v>
      </c>
      <c r="E55">
        <v>60899</v>
      </c>
      <c r="F55">
        <v>58</v>
      </c>
    </row>
    <row r="56" spans="1:6" x14ac:dyDescent="0.3">
      <c r="A56" t="s">
        <v>147</v>
      </c>
      <c r="B56" t="s">
        <v>84</v>
      </c>
      <c r="C56" t="s">
        <v>73</v>
      </c>
      <c r="D56" t="s">
        <v>70</v>
      </c>
      <c r="E56">
        <v>109450</v>
      </c>
      <c r="F56">
        <v>83</v>
      </c>
    </row>
    <row r="57" spans="1:6" x14ac:dyDescent="0.3">
      <c r="A57" t="s">
        <v>148</v>
      </c>
      <c r="B57" t="s">
        <v>115</v>
      </c>
      <c r="C57" t="s">
        <v>69</v>
      </c>
      <c r="D57" t="s">
        <v>70</v>
      </c>
      <c r="E57">
        <v>112804</v>
      </c>
      <c r="F57">
        <v>97</v>
      </c>
    </row>
    <row r="58" spans="1:6" x14ac:dyDescent="0.3">
      <c r="A58" t="s">
        <v>149</v>
      </c>
      <c r="B58" t="s">
        <v>84</v>
      </c>
      <c r="C58" t="s">
        <v>73</v>
      </c>
      <c r="D58" t="s">
        <v>76</v>
      </c>
      <c r="E58">
        <v>50243</v>
      </c>
      <c r="F58">
        <v>63</v>
      </c>
    </row>
    <row r="59" spans="1:6" x14ac:dyDescent="0.3">
      <c r="A59" t="s">
        <v>150</v>
      </c>
      <c r="B59" t="s">
        <v>68</v>
      </c>
      <c r="C59" t="s">
        <v>79</v>
      </c>
      <c r="D59" t="s">
        <v>74</v>
      </c>
      <c r="E59">
        <v>81499</v>
      </c>
      <c r="F59">
        <v>94</v>
      </c>
    </row>
    <row r="60" spans="1:6" x14ac:dyDescent="0.3">
      <c r="A60" t="s">
        <v>151</v>
      </c>
      <c r="B60" t="s">
        <v>107</v>
      </c>
      <c r="C60" t="s">
        <v>73</v>
      </c>
      <c r="D60" t="s">
        <v>76</v>
      </c>
      <c r="E60">
        <v>101910</v>
      </c>
      <c r="F60">
        <v>75</v>
      </c>
    </row>
    <row r="61" spans="1:6" x14ac:dyDescent="0.3">
      <c r="A61" t="s">
        <v>152</v>
      </c>
      <c r="B61" t="s">
        <v>124</v>
      </c>
      <c r="C61" t="s">
        <v>85</v>
      </c>
      <c r="D61" t="s">
        <v>74</v>
      </c>
      <c r="E61">
        <v>82836</v>
      </c>
      <c r="F61">
        <v>59</v>
      </c>
    </row>
    <row r="62" spans="1:6" x14ac:dyDescent="0.3">
      <c r="A62" t="s">
        <v>153</v>
      </c>
      <c r="B62" t="s">
        <v>109</v>
      </c>
      <c r="C62" t="s">
        <v>105</v>
      </c>
      <c r="D62" t="s">
        <v>74</v>
      </c>
      <c r="E62">
        <v>115823</v>
      </c>
      <c r="F62">
        <v>71</v>
      </c>
    </row>
    <row r="63" spans="1:6" x14ac:dyDescent="0.3">
      <c r="A63" t="s">
        <v>154</v>
      </c>
      <c r="B63" t="s">
        <v>115</v>
      </c>
      <c r="C63" t="s">
        <v>69</v>
      </c>
      <c r="D63" t="s">
        <v>74</v>
      </c>
      <c r="E63">
        <v>43976</v>
      </c>
      <c r="F63">
        <v>95</v>
      </c>
    </row>
    <row r="64" spans="1:6" x14ac:dyDescent="0.3">
      <c r="A64" t="s">
        <v>155</v>
      </c>
      <c r="B64" t="s">
        <v>91</v>
      </c>
      <c r="C64" t="s">
        <v>79</v>
      </c>
      <c r="D64" t="s">
        <v>76</v>
      </c>
      <c r="E64">
        <v>53869</v>
      </c>
      <c r="F64">
        <v>88</v>
      </c>
    </row>
    <row r="65" spans="1:6" x14ac:dyDescent="0.3">
      <c r="A65" t="s">
        <v>156</v>
      </c>
      <c r="B65" t="s">
        <v>72</v>
      </c>
      <c r="C65" t="s">
        <v>105</v>
      </c>
      <c r="D65" t="s">
        <v>70</v>
      </c>
      <c r="E65">
        <v>118337</v>
      </c>
      <c r="F65">
        <v>97</v>
      </c>
    </row>
    <row r="66" spans="1:6" x14ac:dyDescent="0.3">
      <c r="A66" t="s">
        <v>157</v>
      </c>
      <c r="B66" t="s">
        <v>113</v>
      </c>
      <c r="C66" t="s">
        <v>79</v>
      </c>
      <c r="D66" t="s">
        <v>70</v>
      </c>
      <c r="E66">
        <v>38808</v>
      </c>
      <c r="F66">
        <v>74</v>
      </c>
    </row>
    <row r="67" spans="1:6" x14ac:dyDescent="0.3">
      <c r="A67" t="s">
        <v>158</v>
      </c>
      <c r="B67" t="s">
        <v>103</v>
      </c>
      <c r="C67" t="s">
        <v>69</v>
      </c>
      <c r="D67" t="s">
        <v>76</v>
      </c>
      <c r="E67">
        <v>85404</v>
      </c>
      <c r="F67">
        <v>85</v>
      </c>
    </row>
    <row r="68" spans="1:6" x14ac:dyDescent="0.3">
      <c r="A68" t="s">
        <v>159</v>
      </c>
      <c r="B68" t="s">
        <v>84</v>
      </c>
      <c r="C68" t="s">
        <v>79</v>
      </c>
      <c r="D68" t="s">
        <v>70</v>
      </c>
      <c r="E68">
        <v>85294</v>
      </c>
      <c r="F68">
        <v>98</v>
      </c>
    </row>
    <row r="69" spans="1:6" x14ac:dyDescent="0.3">
      <c r="A69" t="s">
        <v>160</v>
      </c>
      <c r="B69" t="s">
        <v>91</v>
      </c>
      <c r="C69" t="s">
        <v>73</v>
      </c>
      <c r="D69" t="s">
        <v>74</v>
      </c>
      <c r="E69">
        <v>35675</v>
      </c>
      <c r="F69">
        <v>94</v>
      </c>
    </row>
    <row r="70" spans="1:6" x14ac:dyDescent="0.3">
      <c r="A70" t="s">
        <v>161</v>
      </c>
      <c r="B70" t="s">
        <v>72</v>
      </c>
      <c r="C70" t="s">
        <v>105</v>
      </c>
      <c r="D70" t="s">
        <v>80</v>
      </c>
      <c r="E70">
        <v>69162</v>
      </c>
      <c r="F70">
        <v>78</v>
      </c>
    </row>
    <row r="71" spans="1:6" x14ac:dyDescent="0.3">
      <c r="A71" t="s">
        <v>162</v>
      </c>
      <c r="B71" t="s">
        <v>109</v>
      </c>
      <c r="C71" t="s">
        <v>85</v>
      </c>
      <c r="D71" t="s">
        <v>76</v>
      </c>
      <c r="E71">
        <v>96893</v>
      </c>
      <c r="F71">
        <v>54</v>
      </c>
    </row>
    <row r="72" spans="1:6" x14ac:dyDescent="0.3">
      <c r="A72" t="s">
        <v>163</v>
      </c>
      <c r="B72" t="s">
        <v>115</v>
      </c>
      <c r="C72" t="s">
        <v>85</v>
      </c>
      <c r="D72" t="s">
        <v>70</v>
      </c>
      <c r="E72">
        <v>101104</v>
      </c>
      <c r="F72">
        <v>76</v>
      </c>
    </row>
    <row r="73" spans="1:6" x14ac:dyDescent="0.3">
      <c r="A73" t="s">
        <v>164</v>
      </c>
      <c r="B73" t="s">
        <v>124</v>
      </c>
      <c r="C73" t="s">
        <v>105</v>
      </c>
      <c r="D73" t="s">
        <v>80</v>
      </c>
      <c r="E73">
        <v>100518</v>
      </c>
      <c r="F73">
        <v>76</v>
      </c>
    </row>
    <row r="74" spans="1:6" x14ac:dyDescent="0.3">
      <c r="A74" t="s">
        <v>165</v>
      </c>
      <c r="B74" t="s">
        <v>94</v>
      </c>
      <c r="C74" t="s">
        <v>73</v>
      </c>
      <c r="D74" t="s">
        <v>99</v>
      </c>
      <c r="E74">
        <v>105907</v>
      </c>
      <c r="F74">
        <v>60</v>
      </c>
    </row>
    <row r="75" spans="1:6" x14ac:dyDescent="0.3">
      <c r="A75" t="s">
        <v>166</v>
      </c>
      <c r="B75" t="s">
        <v>88</v>
      </c>
      <c r="C75" t="s">
        <v>105</v>
      </c>
      <c r="D75" t="s">
        <v>99</v>
      </c>
      <c r="E75">
        <v>67205</v>
      </c>
      <c r="F75">
        <v>85</v>
      </c>
    </row>
    <row r="76" spans="1:6" x14ac:dyDescent="0.3">
      <c r="A76" t="s">
        <v>167</v>
      </c>
      <c r="B76" t="s">
        <v>113</v>
      </c>
      <c r="C76" t="s">
        <v>69</v>
      </c>
      <c r="D76" t="s">
        <v>74</v>
      </c>
      <c r="E76">
        <v>117668</v>
      </c>
      <c r="F76">
        <v>52</v>
      </c>
    </row>
    <row r="77" spans="1:6" x14ac:dyDescent="0.3">
      <c r="A77" t="s">
        <v>168</v>
      </c>
      <c r="B77" t="s">
        <v>115</v>
      </c>
      <c r="C77" t="s">
        <v>73</v>
      </c>
      <c r="D77" t="s">
        <v>76</v>
      </c>
      <c r="E77">
        <v>96467</v>
      </c>
      <c r="F77">
        <v>63</v>
      </c>
    </row>
    <row r="78" spans="1:6" x14ac:dyDescent="0.3">
      <c r="A78" t="s">
        <v>169</v>
      </c>
      <c r="B78" t="s">
        <v>103</v>
      </c>
      <c r="C78" t="s">
        <v>85</v>
      </c>
      <c r="D78" t="s">
        <v>80</v>
      </c>
      <c r="E78">
        <v>58251</v>
      </c>
      <c r="F78">
        <v>59</v>
      </c>
    </row>
    <row r="79" spans="1:6" x14ac:dyDescent="0.3">
      <c r="A79" t="s">
        <v>170</v>
      </c>
      <c r="B79" t="s">
        <v>82</v>
      </c>
      <c r="C79" t="s">
        <v>105</v>
      </c>
      <c r="D79" t="s">
        <v>74</v>
      </c>
      <c r="E79">
        <v>64709</v>
      </c>
      <c r="F79">
        <v>79</v>
      </c>
    </row>
    <row r="80" spans="1:6" x14ac:dyDescent="0.3">
      <c r="A80" t="s">
        <v>171</v>
      </c>
      <c r="B80" t="s">
        <v>109</v>
      </c>
      <c r="C80" t="s">
        <v>18</v>
      </c>
      <c r="D80" t="s">
        <v>80</v>
      </c>
      <c r="E80">
        <v>68507</v>
      </c>
      <c r="F80">
        <v>99</v>
      </c>
    </row>
    <row r="81" spans="1:6" x14ac:dyDescent="0.3">
      <c r="A81" t="s">
        <v>172</v>
      </c>
      <c r="B81" t="s">
        <v>72</v>
      </c>
      <c r="C81" t="s">
        <v>18</v>
      </c>
      <c r="D81" t="s">
        <v>70</v>
      </c>
      <c r="E81">
        <v>36269</v>
      </c>
      <c r="F81">
        <v>73</v>
      </c>
    </row>
    <row r="82" spans="1:6" x14ac:dyDescent="0.3">
      <c r="A82" t="s">
        <v>173</v>
      </c>
      <c r="B82" t="s">
        <v>117</v>
      </c>
      <c r="C82" t="s">
        <v>73</v>
      </c>
      <c r="D82" t="s">
        <v>74</v>
      </c>
      <c r="E82">
        <v>116818</v>
      </c>
      <c r="F82">
        <v>76</v>
      </c>
    </row>
    <row r="83" spans="1:6" x14ac:dyDescent="0.3">
      <c r="A83" t="s">
        <v>174</v>
      </c>
      <c r="B83" t="s">
        <v>82</v>
      </c>
      <c r="C83" t="s">
        <v>69</v>
      </c>
      <c r="D83" t="s">
        <v>74</v>
      </c>
      <c r="E83">
        <v>80491</v>
      </c>
      <c r="F83">
        <v>64</v>
      </c>
    </row>
    <row r="84" spans="1:6" x14ac:dyDescent="0.3">
      <c r="A84" t="s">
        <v>175</v>
      </c>
      <c r="B84" t="s">
        <v>117</v>
      </c>
      <c r="C84" t="s">
        <v>69</v>
      </c>
      <c r="D84" t="s">
        <v>74</v>
      </c>
      <c r="E84">
        <v>38666</v>
      </c>
      <c r="F84">
        <v>79</v>
      </c>
    </row>
    <row r="85" spans="1:6" x14ac:dyDescent="0.3">
      <c r="A85" t="s">
        <v>176</v>
      </c>
      <c r="B85" t="s">
        <v>115</v>
      </c>
      <c r="C85" t="s">
        <v>105</v>
      </c>
      <c r="D85" t="s">
        <v>76</v>
      </c>
      <c r="E85">
        <v>68227</v>
      </c>
      <c r="F85">
        <v>99</v>
      </c>
    </row>
    <row r="86" spans="1:6" x14ac:dyDescent="0.3">
      <c r="A86" t="s">
        <v>177</v>
      </c>
      <c r="B86" t="s">
        <v>72</v>
      </c>
      <c r="C86" t="s">
        <v>69</v>
      </c>
      <c r="D86" t="s">
        <v>70</v>
      </c>
      <c r="E86">
        <v>73970</v>
      </c>
      <c r="F86">
        <v>93</v>
      </c>
    </row>
    <row r="87" spans="1:6" x14ac:dyDescent="0.3">
      <c r="A87" t="s">
        <v>178</v>
      </c>
      <c r="B87" t="s">
        <v>121</v>
      </c>
      <c r="C87" t="s">
        <v>69</v>
      </c>
      <c r="D87" t="s">
        <v>70</v>
      </c>
      <c r="E87">
        <v>113305</v>
      </c>
      <c r="F87">
        <v>76</v>
      </c>
    </row>
    <row r="88" spans="1:6" x14ac:dyDescent="0.3">
      <c r="A88" t="s">
        <v>179</v>
      </c>
      <c r="B88" t="s">
        <v>113</v>
      </c>
      <c r="C88" t="s">
        <v>85</v>
      </c>
      <c r="D88" t="s">
        <v>70</v>
      </c>
      <c r="E88">
        <v>46690</v>
      </c>
      <c r="F88">
        <v>77</v>
      </c>
    </row>
    <row r="89" spans="1:6" x14ac:dyDescent="0.3">
      <c r="A89" t="s">
        <v>180</v>
      </c>
      <c r="B89" t="s">
        <v>109</v>
      </c>
      <c r="C89" t="s">
        <v>85</v>
      </c>
      <c r="D89" t="s">
        <v>76</v>
      </c>
      <c r="E89">
        <v>93677</v>
      </c>
      <c r="F89">
        <v>50</v>
      </c>
    </row>
    <row r="90" spans="1:6" x14ac:dyDescent="0.3">
      <c r="A90" t="s">
        <v>181</v>
      </c>
      <c r="B90" t="s">
        <v>91</v>
      </c>
      <c r="C90" t="s">
        <v>69</v>
      </c>
      <c r="D90" t="s">
        <v>74</v>
      </c>
      <c r="E90">
        <v>103797</v>
      </c>
      <c r="F90">
        <v>52</v>
      </c>
    </row>
    <row r="91" spans="1:6" x14ac:dyDescent="0.3">
      <c r="A91" t="s">
        <v>182</v>
      </c>
      <c r="B91" t="s">
        <v>107</v>
      </c>
      <c r="C91" t="s">
        <v>69</v>
      </c>
      <c r="D91" t="s">
        <v>76</v>
      </c>
      <c r="E91">
        <v>88458</v>
      </c>
      <c r="F91">
        <v>100</v>
      </c>
    </row>
    <row r="92" spans="1:6" x14ac:dyDescent="0.3">
      <c r="A92" t="s">
        <v>183</v>
      </c>
      <c r="B92" t="s">
        <v>107</v>
      </c>
      <c r="C92" t="s">
        <v>69</v>
      </c>
      <c r="D92" t="s">
        <v>76</v>
      </c>
      <c r="E92">
        <v>45872</v>
      </c>
      <c r="F92">
        <v>98</v>
      </c>
    </row>
    <row r="93" spans="1:6" x14ac:dyDescent="0.3">
      <c r="A93" t="s">
        <v>184</v>
      </c>
      <c r="B93" t="s">
        <v>68</v>
      </c>
      <c r="C93" t="s">
        <v>79</v>
      </c>
      <c r="D93" t="s">
        <v>99</v>
      </c>
      <c r="E93">
        <v>115968</v>
      </c>
      <c r="F93">
        <v>84</v>
      </c>
    </row>
    <row r="94" spans="1:6" x14ac:dyDescent="0.3">
      <c r="A94" t="s">
        <v>185</v>
      </c>
      <c r="B94" t="s">
        <v>115</v>
      </c>
      <c r="C94" t="s">
        <v>85</v>
      </c>
      <c r="D94" t="s">
        <v>80</v>
      </c>
      <c r="E94">
        <v>58553</v>
      </c>
      <c r="F94">
        <v>62</v>
      </c>
    </row>
    <row r="95" spans="1:6" x14ac:dyDescent="0.3">
      <c r="A95" t="s">
        <v>186</v>
      </c>
      <c r="B95" t="s">
        <v>117</v>
      </c>
      <c r="C95" t="s">
        <v>85</v>
      </c>
      <c r="D95" t="s">
        <v>80</v>
      </c>
      <c r="E95">
        <v>104615</v>
      </c>
      <c r="F95">
        <v>87</v>
      </c>
    </row>
    <row r="96" spans="1:6" x14ac:dyDescent="0.3">
      <c r="A96" t="s">
        <v>187</v>
      </c>
      <c r="B96" t="s">
        <v>107</v>
      </c>
      <c r="C96" t="s">
        <v>18</v>
      </c>
      <c r="D96" t="s">
        <v>76</v>
      </c>
      <c r="E96">
        <v>66841</v>
      </c>
      <c r="F96">
        <v>91</v>
      </c>
    </row>
    <row r="97" spans="1:6" x14ac:dyDescent="0.3">
      <c r="A97" t="s">
        <v>188</v>
      </c>
      <c r="B97" t="s">
        <v>94</v>
      </c>
      <c r="C97" t="s">
        <v>73</v>
      </c>
      <c r="D97" t="s">
        <v>74</v>
      </c>
      <c r="E97">
        <v>101799</v>
      </c>
      <c r="F97">
        <v>61</v>
      </c>
    </row>
    <row r="98" spans="1:6" x14ac:dyDescent="0.3">
      <c r="A98" t="s">
        <v>189</v>
      </c>
      <c r="B98" t="s">
        <v>109</v>
      </c>
      <c r="C98" t="s">
        <v>79</v>
      </c>
      <c r="D98" t="s">
        <v>80</v>
      </c>
      <c r="E98">
        <v>90830</v>
      </c>
      <c r="F98">
        <v>73</v>
      </c>
    </row>
    <row r="99" spans="1:6" x14ac:dyDescent="0.3">
      <c r="A99" t="s">
        <v>190</v>
      </c>
      <c r="B99" t="s">
        <v>103</v>
      </c>
      <c r="C99" t="s">
        <v>85</v>
      </c>
      <c r="D99" t="s">
        <v>80</v>
      </c>
      <c r="E99">
        <v>60169</v>
      </c>
      <c r="F99">
        <v>95</v>
      </c>
    </row>
    <row r="100" spans="1:6" x14ac:dyDescent="0.3">
      <c r="A100" t="s">
        <v>191</v>
      </c>
      <c r="B100" t="s">
        <v>107</v>
      </c>
      <c r="C100" t="s">
        <v>69</v>
      </c>
      <c r="D100" t="s">
        <v>74</v>
      </c>
      <c r="E100">
        <v>51881</v>
      </c>
      <c r="F100">
        <v>91</v>
      </c>
    </row>
    <row r="101" spans="1:6" x14ac:dyDescent="0.3">
      <c r="A101" t="s">
        <v>192</v>
      </c>
      <c r="B101" t="s">
        <v>91</v>
      </c>
      <c r="C101" t="s">
        <v>79</v>
      </c>
      <c r="D101" t="s">
        <v>80</v>
      </c>
      <c r="E101">
        <v>67417</v>
      </c>
      <c r="F101">
        <v>52</v>
      </c>
    </row>
  </sheetData>
  <autoFilter ref="A1:F101" xr:uid="{01A69810-9E1C-4B80-95FB-22F6E8D2C00C}"/>
  <dataValidations count="1">
    <dataValidation type="list" allowBlank="1" showInputMessage="1" showErrorMessage="1" sqref="I2" xr:uid="{ACBBAD5F-0726-4FA4-B8ED-67829F583E08}">
      <formula1>$H$6:$H$11</formula1>
    </dataValidation>
  </dataValidations>
  <pageMargins left="0.75" right="0.75" top="1" bottom="1" header="0.5" footer="0.5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1691F78D-801B-48B6-BF11-BE5D7D9C7720}">
          <xm:f>Employee_Data!$D$2:$E$5</xm:f>
        </x15:webExtension>
      </x15:webExtens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A13E-5342-4A11-966E-815F70B052BC}">
  <dimension ref="B3:B7"/>
  <sheetViews>
    <sheetView zoomScale="205" zoomScaleNormal="205" workbookViewId="0">
      <selection activeCell="G2" sqref="G2:G15"/>
    </sheetView>
  </sheetViews>
  <sheetFormatPr defaultRowHeight="14.4" x14ac:dyDescent="0.3"/>
  <sheetData>
    <row r="3" spans="2:2" x14ac:dyDescent="0.3">
      <c r="B3" t="s">
        <v>206</v>
      </c>
    </row>
    <row r="4" spans="2:2" x14ac:dyDescent="0.3">
      <c r="B4" t="s">
        <v>263</v>
      </c>
    </row>
    <row r="5" spans="2:2" x14ac:dyDescent="0.3">
      <c r="B5" t="s">
        <v>274</v>
      </c>
    </row>
    <row r="6" spans="2:2" x14ac:dyDescent="0.3">
      <c r="B6" t="s">
        <v>275</v>
      </c>
    </row>
    <row r="7" spans="2:2" x14ac:dyDescent="0.3">
      <c r="B7" t="s">
        <v>276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119F-2E66-434C-92BF-99C21ED7DD70}">
  <dimension ref="A1:B9"/>
  <sheetViews>
    <sheetView workbookViewId="0">
      <selection activeCell="G28" sqref="G28"/>
    </sheetView>
  </sheetViews>
  <sheetFormatPr defaultRowHeight="14.4" x14ac:dyDescent="0.3"/>
  <cols>
    <col min="1" max="1" width="45" customWidth="1"/>
    <col min="2" max="2" width="18.33203125" customWidth="1"/>
  </cols>
  <sheetData>
    <row r="1" spans="1:2" x14ac:dyDescent="0.3">
      <c r="A1" s="4" t="s">
        <v>193</v>
      </c>
      <c r="B1" s="4" t="s">
        <v>194</v>
      </c>
    </row>
    <row r="2" spans="1:2" x14ac:dyDescent="0.3">
      <c r="A2" t="s">
        <v>195</v>
      </c>
    </row>
    <row r="3" spans="1:2" x14ac:dyDescent="0.3">
      <c r="A3" t="s">
        <v>196</v>
      </c>
    </row>
    <row r="4" spans="1:2" x14ac:dyDescent="0.3">
      <c r="A4" t="s">
        <v>197</v>
      </c>
    </row>
    <row r="5" spans="1:2" x14ac:dyDescent="0.3">
      <c r="A5" t="s">
        <v>198</v>
      </c>
    </row>
    <row r="6" spans="1:2" x14ac:dyDescent="0.3">
      <c r="A6" t="s">
        <v>199</v>
      </c>
    </row>
    <row r="9" spans="1:2" x14ac:dyDescent="0.3">
      <c r="A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Topic D3 _ 140726</vt:lpstr>
      <vt:lpstr>Logical_Functions</vt:lpstr>
      <vt:lpstr>AI_in_Excel</vt:lpstr>
      <vt:lpstr>Text_Functions</vt:lpstr>
      <vt:lpstr>Sheet1</vt:lpstr>
      <vt:lpstr>VLOOKUP_Carefulness</vt:lpstr>
      <vt:lpstr>Employee_Data</vt:lpstr>
      <vt:lpstr>Sheet2</vt:lpstr>
      <vt:lpstr>FILTER_Examples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dcterms:created xsi:type="dcterms:W3CDTF">2026-05-07T11:34:57Z</dcterms:created>
  <dcterms:modified xsi:type="dcterms:W3CDTF">2026-07-14T17:37:48Z</dcterms:modified>
</cp:coreProperties>
</file>