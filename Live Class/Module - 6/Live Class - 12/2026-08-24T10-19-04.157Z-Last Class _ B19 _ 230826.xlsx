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MASUD\Desktop\Batch -19\Last Class\"/>
    </mc:Choice>
  </mc:AlternateContent>
  <xr:revisionPtr revIDLastSave="0" documentId="8_{FF38B829-4C2E-4FB2-80FE-DE7C13F6547D}" xr6:coauthVersionLast="47" xr6:coauthVersionMax="47" xr10:uidLastSave="{00000000-0000-0000-0000-000000000000}"/>
  <workbookProtection workbookAlgorithmName="SHA-512" workbookHashValue="TYDY/r8Mj4CF7dWSxiiE+phUC+Z+v2EMM/eKZHEszIHtogFRrJz00liTAMwbSDLJxlkGKH4L9P2q1k1jbh1dOg==" workbookSaltValue="aj5iQozCmcehAzefdFi48Q==" workbookSpinCount="100000" lockStructure="1"/>
  <bookViews>
    <workbookView xWindow="0" yWindow="72" windowWidth="23040" windowHeight="12360" tabRatio="838" activeTab="4" xr2:uid="{CEAB1D23-EE14-438B-8A40-C9DE01D55FC1}"/>
  </bookViews>
  <sheets>
    <sheet name="Pivot" sheetId="6" r:id="rId1"/>
    <sheet name="04_Stores" sheetId="5" r:id="rId2"/>
    <sheet name="Products" sheetId="4" r:id="rId3"/>
    <sheet name="02_Customers" sheetId="3" r:id="rId4"/>
    <sheet name="01_Sales" sheetId="2" r:id="rId5"/>
    <sheet name="Dashboard" sheetId="1" r:id="rId6"/>
    <sheet name="Dashboard 2" sheetId="7" r:id="rId7"/>
  </sheets>
  <definedNames>
    <definedName name="_xlcn.WorksheetConnection_Book1_01_Sales1" hidden="1">_01_Sales[]</definedName>
    <definedName name="_xlcn.WorksheetConnection_Book1_02_Customers1" hidden="1">_02_Customers[]</definedName>
    <definedName name="_xlcn.WorksheetConnection_Book1_04_Stores1" hidden="1">_04_Stores[]</definedName>
    <definedName name="_xlcn.WorksheetConnection_Book1Products1" hidden="1">Products[]</definedName>
    <definedName name="ExternalData_1" localSheetId="4" hidden="1">'01_Sales'!$A$1:$J$251</definedName>
    <definedName name="ExternalData_2" localSheetId="3" hidden="1">'02_Customers'!$A$1:$D$21</definedName>
    <definedName name="ExternalData_3" localSheetId="2" hidden="1">Products!$A$1:$E$16</definedName>
    <definedName name="ExternalData_4" localSheetId="1" hidden="1">'04_Stores'!$A$1:$D$11</definedName>
    <definedName name="Slicer_Channel">#N/A</definedName>
    <definedName name="Slicer_Region">#N/A</definedName>
    <definedName name="Slicer_Segment">#N/A</definedName>
  </definedNames>
  <calcPr calcId="191029"/>
  <pivotCaches>
    <pivotCache cacheId="472" r:id="rId8"/>
    <pivotCache cacheId="475" r:id="rId9"/>
    <pivotCache cacheId="478" r:id="rId10"/>
    <pivotCache cacheId="481" r:id="rId11"/>
    <pivotCache cacheId="484" r:id="rId12"/>
    <pivotCache cacheId="487" r:id="rId13"/>
  </pivotCaches>
  <extLst>
    <ext xmlns:x14="http://schemas.microsoft.com/office/spreadsheetml/2009/9/main" uri="{876F7934-8845-4945-9796-88D515C7AA90}">
      <x14:pivotCaches>
        <pivotCache cacheId="15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_01_Sales" name="_01_Sales" connection="WorksheetConnection_Book1!_01_Sales"/>
          <x15:modelTable id="_02_Customers" name="_02_Customers" connection="WorksheetConnection_Book1!_02_Customers"/>
          <x15:modelTable id="Products" name="Products" connection="WorksheetConnection_Book1!Products"/>
          <x15:modelTable id="_04_Stores" name="_04_Stores" connection="WorksheetConnection_Book1!_04_Stores"/>
        </x15:modelTables>
        <x15:modelRelationships>
          <x15:modelRelationship fromTable="_01_Sales" fromColumn="CustomerID" toTable="_02_Customers" toColumn="CustomerID"/>
          <x15:modelRelationship fromTable="_01_Sales" fromColumn="ProductID" toTable="Products" toColumn="ProductID"/>
          <x15:modelRelationship fromTable="_01_Sales" fromColumn="StoreID" toTable="_04_Stores" toColumn="Stor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 i="6" l="1"/>
  <c r="C6" i="6"/>
  <c r="D6" i="6"/>
  <c r="E6" i="6"/>
  <c r="F6" i="6"/>
  <c r="G6" i="6"/>
  <c r="B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E47671-16B3-461F-A85A-4605B9E5F544}" keepAlive="1" name="Query - 01_Sales" description="Connection to the '01_Sales' query in the workbook." type="5" refreshedVersion="8" background="1" saveData="1">
    <dbPr connection="Provider=Microsoft.Mashup.OleDb.1;Data Source=$Workbook$;Location=01_Sales;Extended Properties=&quot;&quot;" command="SELECT * FROM [01_Sales]"/>
  </connection>
  <connection id="2" xr16:uid="{36A20912-8B07-4EAE-8943-3DECF0262AEE}" keepAlive="1" name="Query - 02_Customers" description="Connection to the '02_Customers' query in the workbook." type="5" refreshedVersion="8" background="1" saveData="1">
    <dbPr connection="Provider=Microsoft.Mashup.OleDb.1;Data Source=$Workbook$;Location=02_Customers;Extended Properties=&quot;&quot;" command="SELECT * FROM [02_Customers]"/>
  </connection>
  <connection id="3" xr16:uid="{07DB1145-B2DB-45DE-AD3F-4B1E888B5C5B}" keepAlive="1" name="Query - 04_Stores" description="Connection to the '04_Stores' query in the workbook." type="5" refreshedVersion="8" background="1" saveData="1">
    <dbPr connection="Provider=Microsoft.Mashup.OleDb.1;Data Source=$Workbook$;Location=04_Stores;Extended Properties=&quot;&quot;" command="SELECT * FROM [04_Stores]"/>
  </connection>
  <connection id="4" xr16:uid="{B5D89B80-889D-468E-916B-1FE562626E5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0B7FA098-CB63-4D47-8136-2CDA8E2C32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21748A32-6A39-48AC-A2EA-B4708580C232}" name="WorksheetConnection_Book1!_01_Sales" type="102" refreshedVersion="8" minRefreshableVersion="5">
    <extLst>
      <ext xmlns:x15="http://schemas.microsoft.com/office/spreadsheetml/2010/11/main" uri="{DE250136-89BD-433C-8126-D09CA5730AF9}">
        <x15:connection id="_01_Sales">
          <x15:rangePr sourceName="_xlcn.WorksheetConnection_Book1_01_Sales1"/>
        </x15:connection>
      </ext>
    </extLst>
  </connection>
  <connection id="7" xr16:uid="{04C4C46E-DAE1-4508-B88E-4ADCE6D6B7F8}" name="WorksheetConnection_Book1!_02_Customers" type="102" refreshedVersion="8" minRefreshableVersion="5">
    <extLst>
      <ext xmlns:x15="http://schemas.microsoft.com/office/spreadsheetml/2010/11/main" uri="{DE250136-89BD-433C-8126-D09CA5730AF9}">
        <x15:connection id="_02_Customers">
          <x15:rangePr sourceName="_xlcn.WorksheetConnection_Book1_02_Customers1"/>
        </x15:connection>
      </ext>
    </extLst>
  </connection>
  <connection id="8" xr16:uid="{D43E1D5F-8146-4614-9362-20B6ADEF7E94}" name="WorksheetConnection_Book1!_04_Stores" type="102" refreshedVersion="8" minRefreshableVersion="5">
    <extLst>
      <ext xmlns:x15="http://schemas.microsoft.com/office/spreadsheetml/2010/11/main" uri="{DE250136-89BD-433C-8126-D09CA5730AF9}">
        <x15:connection id="_04_Stores">
          <x15:rangePr sourceName="_xlcn.WorksheetConnection_Book1_04_Stores1"/>
        </x15:connection>
      </ext>
    </extLst>
  </connection>
  <connection id="9" xr16:uid="{6479FF4B-9019-45F3-82F3-7ABBFFC94820}"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<sst xmlns="http://schemas.openxmlformats.org/spreadsheetml/2006/main" count="1253" uniqueCount="396">
  <si>
    <t>OrderID</t>
  </si>
  <si>
    <t>OrderDate</t>
  </si>
  <si>
    <t>CustomerID</t>
  </si>
  <si>
    <t>ProductID</t>
  </si>
  <si>
    <t>StoreID</t>
  </si>
  <si>
    <t>Quantity</t>
  </si>
  <si>
    <t>UnitPrice</t>
  </si>
  <si>
    <t>DiscountPct</t>
  </si>
  <si>
    <t>SalesAmount</t>
  </si>
  <si>
    <t>CostAmount</t>
  </si>
  <si>
    <t>SO0001</t>
  </si>
  <si>
    <t>C011</t>
  </si>
  <si>
    <t>P007</t>
  </si>
  <si>
    <t>S06</t>
  </si>
  <si>
    <t>SO0002</t>
  </si>
  <si>
    <t>C018</t>
  </si>
  <si>
    <t>P012</t>
  </si>
  <si>
    <t>S09</t>
  </si>
  <si>
    <t>SO0003</t>
  </si>
  <si>
    <t>C005</t>
  </si>
  <si>
    <t>P002</t>
  </si>
  <si>
    <t>S02</t>
  </si>
  <si>
    <t>SO0004</t>
  </si>
  <si>
    <t>C012</t>
  </si>
  <si>
    <t>S05</t>
  </si>
  <si>
    <t>SO0005</t>
  </si>
  <si>
    <t>C019</t>
  </si>
  <si>
    <t>S08</t>
  </si>
  <si>
    <t>SO0006</t>
  </si>
  <si>
    <t>C006</t>
  </si>
  <si>
    <t>S01</t>
  </si>
  <si>
    <t>SO0007</t>
  </si>
  <si>
    <t>C013</t>
  </si>
  <si>
    <t>S04</t>
  </si>
  <si>
    <t>SO0008</t>
  </si>
  <si>
    <t>C020</t>
  </si>
  <si>
    <t>S07</t>
  </si>
  <si>
    <t>SO0009</t>
  </si>
  <si>
    <t>C007</t>
  </si>
  <si>
    <t>S10</t>
  </si>
  <si>
    <t>SO0010</t>
  </si>
  <si>
    <t>C014</t>
  </si>
  <si>
    <t>S03</t>
  </si>
  <si>
    <t>SO0011</t>
  </si>
  <si>
    <t>C001</t>
  </si>
  <si>
    <t>SO0012</t>
  </si>
  <si>
    <t>C008</t>
  </si>
  <si>
    <t>SO0013</t>
  </si>
  <si>
    <t>C015</t>
  </si>
  <si>
    <t>SO0014</t>
  </si>
  <si>
    <t>C002</t>
  </si>
  <si>
    <t>SO0015</t>
  </si>
  <si>
    <t>C009</t>
  </si>
  <si>
    <t>SO0016</t>
  </si>
  <si>
    <t>C016</t>
  </si>
  <si>
    <t>SO0017</t>
  </si>
  <si>
    <t>C003</t>
  </si>
  <si>
    <t>SO0018</t>
  </si>
  <si>
    <t>C010</t>
  </si>
  <si>
    <t>SO0019</t>
  </si>
  <si>
    <t>C017</t>
  </si>
  <si>
    <t>SO0020</t>
  </si>
  <si>
    <t>C004</t>
  </si>
  <si>
    <t>SO0021</t>
  </si>
  <si>
    <t>SO0022</t>
  </si>
  <si>
    <t>SO0023</t>
  </si>
  <si>
    <t>SO0024</t>
  </si>
  <si>
    <t>SO0025</t>
  </si>
  <si>
    <t>SO0026</t>
  </si>
  <si>
    <t>SO0027</t>
  </si>
  <si>
    <t>SO0028</t>
  </si>
  <si>
    <t>SO0029</t>
  </si>
  <si>
    <t>SO0030</t>
  </si>
  <si>
    <t>SO0031</t>
  </si>
  <si>
    <t>SO0032</t>
  </si>
  <si>
    <t>SO0033</t>
  </si>
  <si>
    <t>SO0034</t>
  </si>
  <si>
    <t>SO0035</t>
  </si>
  <si>
    <t>SO0036</t>
  </si>
  <si>
    <t>SO0037</t>
  </si>
  <si>
    <t>SO0038</t>
  </si>
  <si>
    <t>SO0039</t>
  </si>
  <si>
    <t>SO0040</t>
  </si>
  <si>
    <t>SO0041</t>
  </si>
  <si>
    <t>SO0042</t>
  </si>
  <si>
    <t>SO0043</t>
  </si>
  <si>
    <t>SO0044</t>
  </si>
  <si>
    <t>SO0045</t>
  </si>
  <si>
    <t>SO0046</t>
  </si>
  <si>
    <t>SO0047</t>
  </si>
  <si>
    <t>SO0048</t>
  </si>
  <si>
    <t>SO0049</t>
  </si>
  <si>
    <t>SO0050</t>
  </si>
  <si>
    <t>SO0051</t>
  </si>
  <si>
    <t>SO0052</t>
  </si>
  <si>
    <t>SO0053</t>
  </si>
  <si>
    <t>SO0054</t>
  </si>
  <si>
    <t>SO0055</t>
  </si>
  <si>
    <t>SO0056</t>
  </si>
  <si>
    <t>SO0057</t>
  </si>
  <si>
    <t>SO0058</t>
  </si>
  <si>
    <t>SO0059</t>
  </si>
  <si>
    <t>SO0060</t>
  </si>
  <si>
    <t>SO0061</t>
  </si>
  <si>
    <t>SO0062</t>
  </si>
  <si>
    <t>SO0063</t>
  </si>
  <si>
    <t>SO0064</t>
  </si>
  <si>
    <t>SO0065</t>
  </si>
  <si>
    <t>SO0066</t>
  </si>
  <si>
    <t>SO0067</t>
  </si>
  <si>
    <t>SO0068</t>
  </si>
  <si>
    <t>SO0069</t>
  </si>
  <si>
    <t>SO0070</t>
  </si>
  <si>
    <t>SO0071</t>
  </si>
  <si>
    <t>SO0072</t>
  </si>
  <si>
    <t>SO0073</t>
  </si>
  <si>
    <t>SO0074</t>
  </si>
  <si>
    <t>SO0075</t>
  </si>
  <si>
    <t>SO0076</t>
  </si>
  <si>
    <t>SO0077</t>
  </si>
  <si>
    <t>SO0078</t>
  </si>
  <si>
    <t>SO0079</t>
  </si>
  <si>
    <t>SO0080</t>
  </si>
  <si>
    <t>SO0081</t>
  </si>
  <si>
    <t>SO0082</t>
  </si>
  <si>
    <t>SO0083</t>
  </si>
  <si>
    <t>SO0084</t>
  </si>
  <si>
    <t>SO0085</t>
  </si>
  <si>
    <t>SO0086</t>
  </si>
  <si>
    <t>SO0087</t>
  </si>
  <si>
    <t>SO0088</t>
  </si>
  <si>
    <t>SO0089</t>
  </si>
  <si>
    <t>SO0090</t>
  </si>
  <si>
    <t>SO0091</t>
  </si>
  <si>
    <t>SO0092</t>
  </si>
  <si>
    <t>SO0093</t>
  </si>
  <si>
    <t>SO0094</t>
  </si>
  <si>
    <t>SO0095</t>
  </si>
  <si>
    <t>SO0096</t>
  </si>
  <si>
    <t>SO0097</t>
  </si>
  <si>
    <t>SO0098</t>
  </si>
  <si>
    <t>SO0099</t>
  </si>
  <si>
    <t>SO0100</t>
  </si>
  <si>
    <t>SO0101</t>
  </si>
  <si>
    <t>SO0102</t>
  </si>
  <si>
    <t>SO0103</t>
  </si>
  <si>
    <t>SO0104</t>
  </si>
  <si>
    <t>SO0105</t>
  </si>
  <si>
    <t>SO0106</t>
  </si>
  <si>
    <t>SO0107</t>
  </si>
  <si>
    <t>SO0108</t>
  </si>
  <si>
    <t>SO0109</t>
  </si>
  <si>
    <t>SO0110</t>
  </si>
  <si>
    <t>SO0111</t>
  </si>
  <si>
    <t>SO0112</t>
  </si>
  <si>
    <t>SO0113</t>
  </si>
  <si>
    <t>SO0114</t>
  </si>
  <si>
    <t>SO0115</t>
  </si>
  <si>
    <t>SO0116</t>
  </si>
  <si>
    <t>SO0117</t>
  </si>
  <si>
    <t>SO0118</t>
  </si>
  <si>
    <t>SO0119</t>
  </si>
  <si>
    <t>SO0120</t>
  </si>
  <si>
    <t>SO0121</t>
  </si>
  <si>
    <t>SO0122</t>
  </si>
  <si>
    <t>SO0123</t>
  </si>
  <si>
    <t>SO0124</t>
  </si>
  <si>
    <t>SO0125</t>
  </si>
  <si>
    <t>SO0126</t>
  </si>
  <si>
    <t>SO0127</t>
  </si>
  <si>
    <t>SO0128</t>
  </si>
  <si>
    <t>SO0129</t>
  </si>
  <si>
    <t>SO0130</t>
  </si>
  <si>
    <t>SO0131</t>
  </si>
  <si>
    <t>SO0132</t>
  </si>
  <si>
    <t>SO0133</t>
  </si>
  <si>
    <t>SO0134</t>
  </si>
  <si>
    <t>SO0135</t>
  </si>
  <si>
    <t>SO0136</t>
  </si>
  <si>
    <t>SO0137</t>
  </si>
  <si>
    <t>SO0138</t>
  </si>
  <si>
    <t>SO0139</t>
  </si>
  <si>
    <t>SO0140</t>
  </si>
  <si>
    <t>SO0141</t>
  </si>
  <si>
    <t>SO0142</t>
  </si>
  <si>
    <t>SO0143</t>
  </si>
  <si>
    <t>SO0144</t>
  </si>
  <si>
    <t>SO0145</t>
  </si>
  <si>
    <t>SO0146</t>
  </si>
  <si>
    <t>SO0147</t>
  </si>
  <si>
    <t>SO0148</t>
  </si>
  <si>
    <t>SO0149</t>
  </si>
  <si>
    <t>SO0150</t>
  </si>
  <si>
    <t>SO0151</t>
  </si>
  <si>
    <t>SO0152</t>
  </si>
  <si>
    <t>SO0153</t>
  </si>
  <si>
    <t>SO0154</t>
  </si>
  <si>
    <t>SO0155</t>
  </si>
  <si>
    <t>SO0156</t>
  </si>
  <si>
    <t>SO0157</t>
  </si>
  <si>
    <t>SO0158</t>
  </si>
  <si>
    <t>SO0159</t>
  </si>
  <si>
    <t>SO0160</t>
  </si>
  <si>
    <t>SO0161</t>
  </si>
  <si>
    <t>SO0162</t>
  </si>
  <si>
    <t>SO0163</t>
  </si>
  <si>
    <t>SO0164</t>
  </si>
  <si>
    <t>SO0165</t>
  </si>
  <si>
    <t>SO0166</t>
  </si>
  <si>
    <t>SO0167</t>
  </si>
  <si>
    <t>SO0168</t>
  </si>
  <si>
    <t>SO0169</t>
  </si>
  <si>
    <t>SO0170</t>
  </si>
  <si>
    <t>SO0171</t>
  </si>
  <si>
    <t>SO0172</t>
  </si>
  <si>
    <t>SO0173</t>
  </si>
  <si>
    <t>SO0174</t>
  </si>
  <si>
    <t>SO0175</t>
  </si>
  <si>
    <t>SO0176</t>
  </si>
  <si>
    <t>SO0177</t>
  </si>
  <si>
    <t>SO0178</t>
  </si>
  <si>
    <t>SO0179</t>
  </si>
  <si>
    <t>SO0180</t>
  </si>
  <si>
    <t>SO0181</t>
  </si>
  <si>
    <t>SO0182</t>
  </si>
  <si>
    <t>SO0183</t>
  </si>
  <si>
    <t>SO0184</t>
  </si>
  <si>
    <t>SO0185</t>
  </si>
  <si>
    <t>SO0186</t>
  </si>
  <si>
    <t>SO0187</t>
  </si>
  <si>
    <t>SO0188</t>
  </si>
  <si>
    <t>SO0189</t>
  </si>
  <si>
    <t>SO0190</t>
  </si>
  <si>
    <t>SO0191</t>
  </si>
  <si>
    <t>SO0192</t>
  </si>
  <si>
    <t>SO0193</t>
  </si>
  <si>
    <t>SO0194</t>
  </si>
  <si>
    <t>SO0195</t>
  </si>
  <si>
    <t>SO0196</t>
  </si>
  <si>
    <t>SO0197</t>
  </si>
  <si>
    <t>SO0198</t>
  </si>
  <si>
    <t>SO0199</t>
  </si>
  <si>
    <t>SO0200</t>
  </si>
  <si>
    <t>SO0201</t>
  </si>
  <si>
    <t>SO0202</t>
  </si>
  <si>
    <t>SO0203</t>
  </si>
  <si>
    <t>SO0204</t>
  </si>
  <si>
    <t>SO0205</t>
  </si>
  <si>
    <t>SO0206</t>
  </si>
  <si>
    <t>SO0207</t>
  </si>
  <si>
    <t>SO0208</t>
  </si>
  <si>
    <t>SO0209</t>
  </si>
  <si>
    <t>SO0210</t>
  </si>
  <si>
    <t>SO0211</t>
  </si>
  <si>
    <t>SO0212</t>
  </si>
  <si>
    <t>SO0213</t>
  </si>
  <si>
    <t>SO0214</t>
  </si>
  <si>
    <t>SO0215</t>
  </si>
  <si>
    <t>SO0216</t>
  </si>
  <si>
    <t>SO0217</t>
  </si>
  <si>
    <t>SO0218</t>
  </si>
  <si>
    <t>SO0219</t>
  </si>
  <si>
    <t>SO0220</t>
  </si>
  <si>
    <t>SO0221</t>
  </si>
  <si>
    <t>SO0222</t>
  </si>
  <si>
    <t>SO0223</t>
  </si>
  <si>
    <t>SO0224</t>
  </si>
  <si>
    <t>SO0225</t>
  </si>
  <si>
    <t>SO0226</t>
  </si>
  <si>
    <t>SO0227</t>
  </si>
  <si>
    <t>SO0228</t>
  </si>
  <si>
    <t>SO0229</t>
  </si>
  <si>
    <t>SO0230</t>
  </si>
  <si>
    <t>SO0231</t>
  </si>
  <si>
    <t>SO0232</t>
  </si>
  <si>
    <t>SO0233</t>
  </si>
  <si>
    <t>SO0234</t>
  </si>
  <si>
    <t>SO0235</t>
  </si>
  <si>
    <t>SO0236</t>
  </si>
  <si>
    <t>SO0237</t>
  </si>
  <si>
    <t>SO0238</t>
  </si>
  <si>
    <t>SO0239</t>
  </si>
  <si>
    <t>SO0240</t>
  </si>
  <si>
    <t>SO0241</t>
  </si>
  <si>
    <t>SO0242</t>
  </si>
  <si>
    <t>SO0243</t>
  </si>
  <si>
    <t>SO0244</t>
  </si>
  <si>
    <t>SO0245</t>
  </si>
  <si>
    <t>SO0246</t>
  </si>
  <si>
    <t>SO0247</t>
  </si>
  <si>
    <t>SO0248</t>
  </si>
  <si>
    <t>SO0249</t>
  </si>
  <si>
    <t>SO0250</t>
  </si>
  <si>
    <t>CustomerName</t>
  </si>
  <si>
    <t>City</t>
  </si>
  <si>
    <t>Segment</t>
  </si>
  <si>
    <t>Customer 01</t>
  </si>
  <si>
    <t>Dhaka</t>
  </si>
  <si>
    <t>Corporate</t>
  </si>
  <si>
    <t>Customer 02</t>
  </si>
  <si>
    <t>Chattogram</t>
  </si>
  <si>
    <t>Retail</t>
  </si>
  <si>
    <t>Customer 03</t>
  </si>
  <si>
    <t>Sylhet</t>
  </si>
  <si>
    <t>Distributor</t>
  </si>
  <si>
    <t>Customer 04</t>
  </si>
  <si>
    <t>Khulna</t>
  </si>
  <si>
    <t>Customer 05</t>
  </si>
  <si>
    <t>Rajshahi</t>
  </si>
  <si>
    <t>Customer 06</t>
  </si>
  <si>
    <t>Gazipur</t>
  </si>
  <si>
    <t>Customer 07</t>
  </si>
  <si>
    <t>Narayanganj</t>
  </si>
  <si>
    <t>Customer 08</t>
  </si>
  <si>
    <t>Cumilla</t>
  </si>
  <si>
    <t>Customer 09</t>
  </si>
  <si>
    <t>Customer 10</t>
  </si>
  <si>
    <t>Customer 11</t>
  </si>
  <si>
    <t>Customer 12</t>
  </si>
  <si>
    <t>Customer 13</t>
  </si>
  <si>
    <t>Customer 14</t>
  </si>
  <si>
    <t>Customer 15</t>
  </si>
  <si>
    <t>Customer 16</t>
  </si>
  <si>
    <t>Customer 17</t>
  </si>
  <si>
    <t>Customer 18</t>
  </si>
  <si>
    <t>Customer 19</t>
  </si>
  <si>
    <t>Customer 20</t>
  </si>
  <si>
    <t>ProductName</t>
  </si>
  <si>
    <t>Category</t>
  </si>
  <si>
    <t>SubCategory</t>
  </si>
  <si>
    <t>P001</t>
  </si>
  <si>
    <t>Premium LPG 12kg</t>
  </si>
  <si>
    <t>LPG</t>
  </si>
  <si>
    <t>Cylinder</t>
  </si>
  <si>
    <t>Premium LPG 25kg</t>
  </si>
  <si>
    <t>P003</t>
  </si>
  <si>
    <t>Premium LPG 45kg</t>
  </si>
  <si>
    <t>P004</t>
  </si>
  <si>
    <t>Commercial LPG 50kg</t>
  </si>
  <si>
    <t>P005</t>
  </si>
  <si>
    <t>LPG Regulator</t>
  </si>
  <si>
    <t>Accessory</t>
  </si>
  <si>
    <t>Equipment</t>
  </si>
  <si>
    <t>P006</t>
  </si>
  <si>
    <t>LPG Hose 2m</t>
  </si>
  <si>
    <t>Double Burner</t>
  </si>
  <si>
    <t>Appliance</t>
  </si>
  <si>
    <t>P008</t>
  </si>
  <si>
    <t>Single Burner</t>
  </si>
  <si>
    <t>P009</t>
  </si>
  <si>
    <t>Safety Valve</t>
  </si>
  <si>
    <t>P010</t>
  </si>
  <si>
    <t>Industrial Valve</t>
  </si>
  <si>
    <t>P011</t>
  </si>
  <si>
    <t>LPG 12kg Refill</t>
  </si>
  <si>
    <t>Refill</t>
  </si>
  <si>
    <t>LPG 25kg Refill</t>
  </si>
  <si>
    <t>P013</t>
  </si>
  <si>
    <t>LPG 45kg Refill</t>
  </si>
  <si>
    <t>P014</t>
  </si>
  <si>
    <t>LPG 50kg Refill</t>
  </si>
  <si>
    <t>P015</t>
  </si>
  <si>
    <t>Cylinder Deposit</t>
  </si>
  <si>
    <t>Service</t>
  </si>
  <si>
    <t>Deposit</t>
  </si>
  <si>
    <t>StoreName</t>
  </si>
  <si>
    <t>Region</t>
  </si>
  <si>
    <t>Channel</t>
  </si>
  <si>
    <t>Sales Point 01</t>
  </si>
  <si>
    <t>Central</t>
  </si>
  <si>
    <t>Dealer</t>
  </si>
  <si>
    <t>Sales Point 02</t>
  </si>
  <si>
    <t>East</t>
  </si>
  <si>
    <t>Sales Point 03</t>
  </si>
  <si>
    <t>North</t>
  </si>
  <si>
    <t>Direct</t>
  </si>
  <si>
    <t>Sales Point 04</t>
  </si>
  <si>
    <t>South</t>
  </si>
  <si>
    <t>Sales Point 05</t>
  </si>
  <si>
    <t>West</t>
  </si>
  <si>
    <t>Sales Point 06</t>
  </si>
  <si>
    <t>Sales Point 07</t>
  </si>
  <si>
    <t>Sales Point 08</t>
  </si>
  <si>
    <t>Sales Point 09</t>
  </si>
  <si>
    <t>Sales Point 10</t>
  </si>
  <si>
    <t>Row Labels</t>
  </si>
  <si>
    <t>Grand Total</t>
  </si>
  <si>
    <t>Total Sales</t>
  </si>
  <si>
    <t>Gross Profit</t>
  </si>
  <si>
    <t>Total Cost</t>
  </si>
  <si>
    <t>Profit %</t>
  </si>
  <si>
    <t>Orders</t>
  </si>
  <si>
    <t>Average Order Value</t>
  </si>
  <si>
    <t xml:space="preserve">Last Updated Date </t>
  </si>
  <si>
    <t>Sum of Quantity</t>
  </si>
  <si>
    <t>Helper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</si>
</sst>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4" x14ac:knownFonts="1">
    <font>
      <sz val="11"/>
      <color theme="1"/>
      <name val="Aptos Narrow"/>
      <family val="2"/>
      <scheme val="minor"/>
    </font>
    <font>
      <sz val="11"/>
      <color theme="1"/>
      <name val="Aptos Narrow"/>
      <family val="2"/>
      <scheme val="minor"/>
    </font>
    <font>
      <sz val="20"/>
      <color theme="1"/>
      <name val="Aptos Narrow"/>
      <family val="2"/>
      <scheme val="minor"/>
    </font>
    <font>
      <sz val="22"/>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165" fontId="0" fillId="0" borderId="0" xfId="0" applyNumberFormat="1"/>
    <xf numFmtId="0" fontId="0" fillId="2" borderId="0" xfId="0" applyFill="1"/>
    <xf numFmtId="43" fontId="0" fillId="0" borderId="0" xfId="1" applyFont="1"/>
    <xf numFmtId="9" fontId="0" fillId="0" borderId="0" xfId="2" applyFont="1"/>
    <xf numFmtId="0" fontId="2" fillId="0" borderId="0" xfId="0" applyFont="1" applyAlignment="1">
      <alignment horizontal="left"/>
    </xf>
    <xf numFmtId="9" fontId="2" fillId="0" borderId="0" xfId="0" applyNumberFormat="1" applyFont="1"/>
    <xf numFmtId="0" fontId="3" fillId="0" borderId="0" xfId="0" pivotButton="1" applyFont="1"/>
    <xf numFmtId="0" fontId="3" fillId="0" borderId="0" xfId="0" applyFont="1"/>
  </cellXfs>
  <cellStyles count="3">
    <cellStyle name="Comma" xfId="1" builtinId="3"/>
    <cellStyle name="Normal" xfId="0" builtinId="0"/>
    <cellStyle name="Percent" xfId="2" builtinId="5"/>
  </cellStyles>
  <dxfs count="33">
    <dxf>
      <font>
        <sz val="22"/>
      </font>
    </dxf>
    <dxf>
      <font>
        <sz val="22"/>
      </font>
    </dxf>
    <dxf>
      <font>
        <sz val="20"/>
      </font>
    </dxf>
    <dxf>
      <font>
        <sz val="20"/>
      </font>
    </dxf>
    <dxf>
      <font>
        <sz val="22"/>
      </font>
    </dxf>
    <dxf>
      <numFmt numFmtId="13" formatCode="0%"/>
    </dxf>
    <dxf>
      <font>
        <sz val="20"/>
      </font>
    </dxf>
    <dxf>
      <font>
        <sz val="20"/>
      </font>
    </dxf>
    <dxf>
      <font>
        <sz val="20"/>
      </font>
    </dxf>
    <dxf>
      <font>
        <sz val="20"/>
      </font>
    </dxf>
    <dxf>
      <font>
        <sz val="20"/>
      </font>
    </dxf>
    <dxf>
      <font>
        <sz val="20"/>
      </font>
    </dxf>
    <dxf>
      <font>
        <sz val="20"/>
      </font>
    </dxf>
    <dxf>
      <font>
        <sz val="20"/>
      </font>
    </dxf>
    <dxf>
      <font>
        <sz val="20"/>
      </font>
    </dxf>
    <dxf>
      <font>
        <sz val="20"/>
      </font>
    </dxf>
    <dxf>
      <numFmt numFmtId="13" formatCode="0%"/>
    </dxf>
    <dxf>
      <numFmt numFmtId="165" formatCode="_(* #,##0_);_(* \(#,##0\);_(* &quot;-&quot;??_);_(@_)"/>
    </dxf>
    <dxf>
      <numFmt numFmtId="165" formatCode="_(* #,##0_);_(* \(#,##0\);_(* &quot;-&quot;??_);_(@_)"/>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Class _ B19 _ 230826.xlsx]Pivot!PivotTable2</c:name>
    <c:fmtId val="2"/>
  </c:pivotSource>
  <c:chart>
    <c:title>
      <c:tx>
        <c:rich>
          <a:bodyPr rot="0" spcFirstLastPara="1" vertOverflow="ellipsis" vert="horz" wrap="square" anchor="ctr" anchorCtr="1"/>
          <a:lstStyle/>
          <a:p>
            <a:pPr algn="ctr" rtl="0">
              <a:defRPr lang="en-US" sz="2000" b="1" i="0" u="none" strike="noStrike" kern="1200" spc="0" baseline="0">
                <a:solidFill>
                  <a:schemeClr val="bg1"/>
                </a:solidFill>
                <a:effectLst>
                  <a:glow rad="139700">
                    <a:schemeClr val="accent5">
                      <a:satMod val="175000"/>
                      <a:alpha val="40000"/>
                    </a:schemeClr>
                  </a:glow>
                </a:effectLst>
                <a:latin typeface="+mn-lt"/>
                <a:ea typeface="+mn-ea"/>
                <a:cs typeface="+mn-cs"/>
              </a:defRPr>
            </a:pPr>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Category wise Total Sales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bg1"/>
              </a:solidFill>
              <a:effectLst>
                <a:glow rad="139700">
                  <a:schemeClr val="accent5">
                    <a:satMod val="175000"/>
                    <a:alpha val="40000"/>
                  </a:schemeClr>
                </a:glo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Pivot!$C$8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29-41CE-B05F-FB8215ED7E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29-41CE-B05F-FB8215ED7E78}"/>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Pivot!$B$9:$B$11</c:f>
              <c:strCache>
                <c:ptCount val="2"/>
                <c:pt idx="0">
                  <c:v>Appliance</c:v>
                </c:pt>
                <c:pt idx="1">
                  <c:v>LPG</c:v>
                </c:pt>
              </c:strCache>
            </c:strRef>
          </c:cat>
          <c:val>
            <c:numRef>
              <c:f>Pivot!$C$9:$C$11</c:f>
              <c:numCache>
                <c:formatCode>General</c:formatCode>
                <c:ptCount val="2"/>
                <c:pt idx="0">
                  <c:v>908068</c:v>
                </c:pt>
                <c:pt idx="1">
                  <c:v>4774050.5999999996</c:v>
                </c:pt>
              </c:numCache>
            </c:numRef>
          </c:val>
          <c:extLst>
            <c:ext xmlns:c16="http://schemas.microsoft.com/office/drawing/2014/chart" uri="{C3380CC4-5D6E-409C-BE32-E72D297353CC}">
              <c16:uniqueId val="{00000004-7C29-41CE-B05F-FB8215ED7E78}"/>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2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2000" b="1">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Class _ B19 _ 230826.xlsx]Pivot!PivotTable4</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solidFill>
                  <a:schemeClr val="bg1"/>
                </a:solidFill>
                <a:effectLst>
                  <a:glow rad="139700">
                    <a:schemeClr val="accent5">
                      <a:satMod val="175000"/>
                      <a:alpha val="40000"/>
                    </a:schemeClr>
                  </a:glow>
                </a:effectLst>
              </a:rPr>
              <a:t>Region</a:t>
            </a:r>
            <a:r>
              <a:rPr lang="en-US" sz="2000" b="1" baseline="0">
                <a:solidFill>
                  <a:schemeClr val="bg1"/>
                </a:solidFill>
                <a:effectLst>
                  <a:glow rad="139700">
                    <a:schemeClr val="accent5">
                      <a:satMod val="175000"/>
                      <a:alpha val="40000"/>
                    </a:schemeClr>
                  </a:glow>
                </a:effectLst>
              </a:rPr>
              <a:t> wise Total Sales</a:t>
            </a:r>
            <a:endParaRPr lang="en-US" sz="2000" b="1">
              <a:solidFill>
                <a:schemeClr val="bg1"/>
              </a:solidFill>
              <a:effectLst>
                <a:glow rad="139700">
                  <a:schemeClr val="accent5">
                    <a:satMod val="175000"/>
                    <a:alpha val="40000"/>
                  </a:schemeClr>
                </a:glow>
              </a:effectLst>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Pivot!$B$15:$B$20</c:f>
              <c:strCache>
                <c:ptCount val="5"/>
                <c:pt idx="0">
                  <c:v>West</c:v>
                </c:pt>
                <c:pt idx="1">
                  <c:v>North</c:v>
                </c:pt>
                <c:pt idx="2">
                  <c:v>South</c:v>
                </c:pt>
                <c:pt idx="3">
                  <c:v>East</c:v>
                </c:pt>
                <c:pt idx="4">
                  <c:v>Central</c:v>
                </c:pt>
              </c:strCache>
            </c:strRef>
          </c:cat>
          <c:val>
            <c:numRef>
              <c:f>Pivot!$C$15:$C$20</c:f>
              <c:numCache>
                <c:formatCode>_(* #,##0_);_(* \(#,##0\);_(* "-"??_);_(@_)</c:formatCode>
                <c:ptCount val="5"/>
                <c:pt idx="0">
                  <c:v>1066675</c:v>
                </c:pt>
                <c:pt idx="1">
                  <c:v>1079335.3</c:v>
                </c:pt>
                <c:pt idx="2">
                  <c:v>1140158.1000000001</c:v>
                </c:pt>
                <c:pt idx="3">
                  <c:v>1172965.7</c:v>
                </c:pt>
                <c:pt idx="4">
                  <c:v>1222984.5</c:v>
                </c:pt>
              </c:numCache>
            </c:numRef>
          </c:val>
          <c:extLst>
            <c:ext xmlns:c16="http://schemas.microsoft.com/office/drawing/2014/chart" uri="{C3380CC4-5D6E-409C-BE32-E72D297353CC}">
              <c16:uniqueId val="{00000000-339E-4607-AE39-E55537B9A0D3}"/>
            </c:ext>
          </c:extLst>
        </c:ser>
        <c:dLbls>
          <c:dLblPos val="outEnd"/>
          <c:showLegendKey val="0"/>
          <c:showVal val="1"/>
          <c:showCatName val="0"/>
          <c:showSerName val="0"/>
          <c:showPercent val="0"/>
          <c:showBubbleSize val="0"/>
        </c:dLbls>
        <c:gapWidth val="182"/>
        <c:axId val="2070168959"/>
        <c:axId val="2143936831"/>
      </c:barChart>
      <c:catAx>
        <c:axId val="207016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3936831"/>
        <c:crosses val="autoZero"/>
        <c:auto val="1"/>
        <c:lblAlgn val="ctr"/>
        <c:lblOffset val="100"/>
        <c:noMultiLvlLbl val="0"/>
      </c:catAx>
      <c:valAx>
        <c:axId val="214393683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16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Class _ B19 _ 230826.xlsx]Pivot!PivotTable5</c:name>
    <c:fmtId val="2"/>
  </c:pivotSource>
  <c:chart>
    <c:title>
      <c:tx>
        <c:rich>
          <a:bodyPr rot="0" spcFirstLastPara="1" vertOverflow="ellipsis" vert="horz" wrap="square" anchor="ctr" anchorCtr="1"/>
          <a:lstStyle/>
          <a:p>
            <a:pPr algn="ctr" rtl="0">
              <a:defRPr lang="en-US" sz="2000" b="1" i="0" u="none" strike="noStrike" kern="1200" spc="0" baseline="0">
                <a:solidFill>
                  <a:schemeClr val="bg1"/>
                </a:solidFill>
                <a:effectLst>
                  <a:glow rad="139700">
                    <a:schemeClr val="accent5">
                      <a:satMod val="175000"/>
                      <a:alpha val="40000"/>
                    </a:schemeClr>
                  </a:glow>
                </a:effectLst>
                <a:latin typeface="+mn-lt"/>
                <a:ea typeface="+mn-ea"/>
                <a:cs typeface="+mn-cs"/>
              </a:defRPr>
            </a:pPr>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Sub Category Wise Total Sales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bg1"/>
              </a:solidFill>
              <a:effectLst>
                <a:glow rad="139700">
                  <a:schemeClr val="accent5">
                    <a:satMod val="175000"/>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Pivot!$B$23:$B$26</c:f>
              <c:strCache>
                <c:ptCount val="3"/>
                <c:pt idx="0">
                  <c:v>Cylinder</c:v>
                </c:pt>
                <c:pt idx="1">
                  <c:v>Equipment</c:v>
                </c:pt>
                <c:pt idx="2">
                  <c:v>Refill</c:v>
                </c:pt>
              </c:strCache>
            </c:strRef>
          </c:cat>
          <c:val>
            <c:numRef>
              <c:f>Pivot!$C$23:$C$26</c:f>
              <c:numCache>
                <c:formatCode>_(* #,##0_);_(* \(#,##0\);_(* "-"??_);_(@_)</c:formatCode>
                <c:ptCount val="3"/>
                <c:pt idx="0">
                  <c:v>2503611</c:v>
                </c:pt>
                <c:pt idx="1">
                  <c:v>908068</c:v>
                </c:pt>
                <c:pt idx="2">
                  <c:v>2270439.6</c:v>
                </c:pt>
              </c:numCache>
            </c:numRef>
          </c:val>
          <c:extLst>
            <c:ext xmlns:c16="http://schemas.microsoft.com/office/drawing/2014/chart" uri="{C3380CC4-5D6E-409C-BE32-E72D297353CC}">
              <c16:uniqueId val="{00000000-589F-4A87-825B-267E9C16B678}"/>
            </c:ext>
          </c:extLst>
        </c:ser>
        <c:dLbls>
          <c:showLegendKey val="0"/>
          <c:showVal val="0"/>
          <c:showCatName val="0"/>
          <c:showSerName val="0"/>
          <c:showPercent val="0"/>
          <c:showBubbleSize val="0"/>
        </c:dLbls>
        <c:gapWidth val="219"/>
        <c:overlap val="-27"/>
        <c:axId val="2070197727"/>
        <c:axId val="2143977151"/>
      </c:barChart>
      <c:catAx>
        <c:axId val="207019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3977151"/>
        <c:crosses val="autoZero"/>
        <c:auto val="1"/>
        <c:lblAlgn val="ctr"/>
        <c:lblOffset val="100"/>
        <c:noMultiLvlLbl val="0"/>
      </c:catAx>
      <c:valAx>
        <c:axId val="214397715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19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Class _ B19 _ 230826.xlsx]Pivot!PivotTable4</c:name>
    <c:fmtId val="5"/>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solidFill>
                  <a:schemeClr val="bg1"/>
                </a:solidFill>
                <a:effectLst>
                  <a:glow rad="139700">
                    <a:schemeClr val="accent5">
                      <a:satMod val="175000"/>
                      <a:alpha val="40000"/>
                    </a:schemeClr>
                  </a:glow>
                </a:effectLst>
              </a:rPr>
              <a:t>Region</a:t>
            </a:r>
            <a:r>
              <a:rPr lang="en-US" sz="2000" b="1" baseline="0">
                <a:solidFill>
                  <a:schemeClr val="bg1"/>
                </a:solidFill>
                <a:effectLst>
                  <a:glow rad="139700">
                    <a:schemeClr val="accent5">
                      <a:satMod val="175000"/>
                      <a:alpha val="40000"/>
                    </a:schemeClr>
                  </a:glow>
                </a:effectLst>
              </a:rPr>
              <a:t> wise Total Sales</a:t>
            </a:r>
            <a:endParaRPr lang="en-US" sz="2000" b="1">
              <a:solidFill>
                <a:schemeClr val="bg1"/>
              </a:solidFill>
              <a:effectLst>
                <a:glow rad="139700">
                  <a:schemeClr val="accent5">
                    <a:satMod val="175000"/>
                    <a:alpha val="40000"/>
                  </a:schemeClr>
                </a:glow>
              </a:effectLst>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Pivot!$B$15:$B$20</c:f>
              <c:strCache>
                <c:ptCount val="5"/>
                <c:pt idx="0">
                  <c:v>West</c:v>
                </c:pt>
                <c:pt idx="1">
                  <c:v>North</c:v>
                </c:pt>
                <c:pt idx="2">
                  <c:v>South</c:v>
                </c:pt>
                <c:pt idx="3">
                  <c:v>East</c:v>
                </c:pt>
                <c:pt idx="4">
                  <c:v>Central</c:v>
                </c:pt>
              </c:strCache>
            </c:strRef>
          </c:cat>
          <c:val>
            <c:numRef>
              <c:f>Pivot!$C$15:$C$20</c:f>
              <c:numCache>
                <c:formatCode>_(* #,##0_);_(* \(#,##0\);_(* "-"??_);_(@_)</c:formatCode>
                <c:ptCount val="5"/>
                <c:pt idx="0">
                  <c:v>1066675</c:v>
                </c:pt>
                <c:pt idx="1">
                  <c:v>1079335.3</c:v>
                </c:pt>
                <c:pt idx="2">
                  <c:v>1140158.1000000001</c:v>
                </c:pt>
                <c:pt idx="3">
                  <c:v>1172965.7</c:v>
                </c:pt>
                <c:pt idx="4">
                  <c:v>1222984.5</c:v>
                </c:pt>
              </c:numCache>
            </c:numRef>
          </c:val>
          <c:extLst>
            <c:ext xmlns:c16="http://schemas.microsoft.com/office/drawing/2014/chart" uri="{C3380CC4-5D6E-409C-BE32-E72D297353CC}">
              <c16:uniqueId val="{00000000-EB0D-4BF8-A03B-9249EA007E56}"/>
            </c:ext>
          </c:extLst>
        </c:ser>
        <c:dLbls>
          <c:dLblPos val="outEnd"/>
          <c:showLegendKey val="0"/>
          <c:showVal val="1"/>
          <c:showCatName val="0"/>
          <c:showSerName val="0"/>
          <c:showPercent val="0"/>
          <c:showBubbleSize val="0"/>
        </c:dLbls>
        <c:gapWidth val="182"/>
        <c:axId val="2070168959"/>
        <c:axId val="2143936831"/>
      </c:barChart>
      <c:catAx>
        <c:axId val="207016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3936831"/>
        <c:crosses val="autoZero"/>
        <c:auto val="1"/>
        <c:lblAlgn val="ctr"/>
        <c:lblOffset val="100"/>
        <c:noMultiLvlLbl val="0"/>
      </c:catAx>
      <c:valAx>
        <c:axId val="214393683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16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Class _ B19 _ 230826.xlsx]Pivot!PivotTable5</c:name>
    <c:fmtId val="4"/>
  </c:pivotSource>
  <c:chart>
    <c:title>
      <c:tx>
        <c:rich>
          <a:bodyPr rot="0" spcFirstLastPara="1" vertOverflow="ellipsis" vert="horz" wrap="square" anchor="ctr" anchorCtr="1"/>
          <a:lstStyle/>
          <a:p>
            <a:pPr algn="ctr" rtl="0">
              <a:defRPr lang="en-US" sz="2000" b="1" i="0" u="none" strike="noStrike" kern="1200" spc="0" baseline="0">
                <a:solidFill>
                  <a:schemeClr val="bg1"/>
                </a:solidFill>
                <a:effectLst>
                  <a:glow rad="139700">
                    <a:schemeClr val="accent5">
                      <a:satMod val="175000"/>
                      <a:alpha val="40000"/>
                    </a:schemeClr>
                  </a:glow>
                </a:effectLst>
                <a:latin typeface="+mn-lt"/>
                <a:ea typeface="+mn-ea"/>
                <a:cs typeface="+mn-cs"/>
              </a:defRPr>
            </a:pPr>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Sub Category Wise Total Sales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bg1"/>
              </a:solidFill>
              <a:effectLst>
                <a:glow rad="139700">
                  <a:schemeClr val="accent5">
                    <a:satMod val="175000"/>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Pivot!$B$23:$B$26</c:f>
              <c:strCache>
                <c:ptCount val="3"/>
                <c:pt idx="0">
                  <c:v>Cylinder</c:v>
                </c:pt>
                <c:pt idx="1">
                  <c:v>Equipment</c:v>
                </c:pt>
                <c:pt idx="2">
                  <c:v>Refill</c:v>
                </c:pt>
              </c:strCache>
            </c:strRef>
          </c:cat>
          <c:val>
            <c:numRef>
              <c:f>Pivot!$C$23:$C$26</c:f>
              <c:numCache>
                <c:formatCode>_(* #,##0_);_(* \(#,##0\);_(* "-"??_);_(@_)</c:formatCode>
                <c:ptCount val="3"/>
                <c:pt idx="0">
                  <c:v>2503611</c:v>
                </c:pt>
                <c:pt idx="1">
                  <c:v>908068</c:v>
                </c:pt>
                <c:pt idx="2">
                  <c:v>2270439.6</c:v>
                </c:pt>
              </c:numCache>
            </c:numRef>
          </c:val>
          <c:extLst>
            <c:ext xmlns:c16="http://schemas.microsoft.com/office/drawing/2014/chart" uri="{C3380CC4-5D6E-409C-BE32-E72D297353CC}">
              <c16:uniqueId val="{00000000-0544-446C-9EC0-CB9CBC681B46}"/>
            </c:ext>
          </c:extLst>
        </c:ser>
        <c:dLbls>
          <c:showLegendKey val="0"/>
          <c:showVal val="0"/>
          <c:showCatName val="0"/>
          <c:showSerName val="0"/>
          <c:showPercent val="0"/>
          <c:showBubbleSize val="0"/>
        </c:dLbls>
        <c:gapWidth val="219"/>
        <c:overlap val="-27"/>
        <c:axId val="2070197727"/>
        <c:axId val="2143977151"/>
      </c:barChart>
      <c:catAx>
        <c:axId val="207019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3977151"/>
        <c:crosses val="autoZero"/>
        <c:auto val="1"/>
        <c:lblAlgn val="ctr"/>
        <c:lblOffset val="100"/>
        <c:noMultiLvlLbl val="0"/>
      </c:catAx>
      <c:valAx>
        <c:axId val="214397715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19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68580</xdr:rowOff>
    </xdr:from>
    <xdr:to>
      <xdr:col>4</xdr:col>
      <xdr:colOff>182880</xdr:colOff>
      <xdr:row>5</xdr:row>
      <xdr:rowOff>175260</xdr:rowOff>
    </xdr:to>
    <xdr:sp macro="" textlink="">
      <xdr:nvSpPr>
        <xdr:cNvPr id="2" name="Rectangle: Rounded Corners 1">
          <a:extLst>
            <a:ext uri="{FF2B5EF4-FFF2-40B4-BE49-F238E27FC236}">
              <a16:creationId xmlns:a16="http://schemas.microsoft.com/office/drawing/2014/main" id="{2F6E0AC8-693D-F8C5-2BD0-4F7DD1681924}"/>
            </a:ext>
          </a:extLst>
        </xdr:cNvPr>
        <xdr:cNvSpPr/>
      </xdr:nvSpPr>
      <xdr:spPr>
        <a:xfrm>
          <a:off x="53340" y="68580"/>
          <a:ext cx="2567940" cy="10210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232410</xdr:colOff>
      <xdr:row>0</xdr:row>
      <xdr:rowOff>68580</xdr:rowOff>
    </xdr:from>
    <xdr:to>
      <xdr:col>17</xdr:col>
      <xdr:colOff>201930</xdr:colOff>
      <xdr:row>5</xdr:row>
      <xdr:rowOff>175260</xdr:rowOff>
    </xdr:to>
    <xdr:sp macro="" textlink="">
      <xdr:nvSpPr>
        <xdr:cNvPr id="3" name="Rectangle: Rounded Corners 2">
          <a:extLst>
            <a:ext uri="{FF2B5EF4-FFF2-40B4-BE49-F238E27FC236}">
              <a16:creationId xmlns:a16="http://schemas.microsoft.com/office/drawing/2014/main" id="{96B9AF94-0DB3-2CBE-35D7-819376A4E109}"/>
            </a:ext>
          </a:extLst>
        </xdr:cNvPr>
        <xdr:cNvSpPr/>
      </xdr:nvSpPr>
      <xdr:spPr>
        <a:xfrm>
          <a:off x="2670810" y="68580"/>
          <a:ext cx="7894320" cy="10210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251460</xdr:colOff>
      <xdr:row>0</xdr:row>
      <xdr:rowOff>68580</xdr:rowOff>
    </xdr:from>
    <xdr:to>
      <xdr:col>22</xdr:col>
      <xdr:colOff>99060</xdr:colOff>
      <xdr:row>5</xdr:row>
      <xdr:rowOff>175260</xdr:rowOff>
    </xdr:to>
    <xdr:sp macro="" textlink="">
      <xdr:nvSpPr>
        <xdr:cNvPr id="4" name="Rectangle: Rounded Corners 3">
          <a:extLst>
            <a:ext uri="{FF2B5EF4-FFF2-40B4-BE49-F238E27FC236}">
              <a16:creationId xmlns:a16="http://schemas.microsoft.com/office/drawing/2014/main" id="{C062AAD9-C66D-A33F-7130-5409B241B8E3}"/>
            </a:ext>
          </a:extLst>
        </xdr:cNvPr>
        <xdr:cNvSpPr/>
      </xdr:nvSpPr>
      <xdr:spPr>
        <a:xfrm>
          <a:off x="10614660" y="68580"/>
          <a:ext cx="2895600" cy="10210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68580</xdr:colOff>
      <xdr:row>6</xdr:row>
      <xdr:rowOff>38100</xdr:rowOff>
    </xdr:from>
    <xdr:to>
      <xdr:col>4</xdr:col>
      <xdr:colOff>198120</xdr:colOff>
      <xdr:row>32</xdr:row>
      <xdr:rowOff>38100</xdr:rowOff>
    </xdr:to>
    <xdr:sp macro="" textlink="">
      <xdr:nvSpPr>
        <xdr:cNvPr id="5" name="Rectangle: Rounded Corners 4">
          <a:extLst>
            <a:ext uri="{FF2B5EF4-FFF2-40B4-BE49-F238E27FC236}">
              <a16:creationId xmlns:a16="http://schemas.microsoft.com/office/drawing/2014/main" id="{B5CE9D8D-3F73-C56C-3F22-5C47FB37C454}"/>
            </a:ext>
          </a:extLst>
        </xdr:cNvPr>
        <xdr:cNvSpPr/>
      </xdr:nvSpPr>
      <xdr:spPr>
        <a:xfrm>
          <a:off x="68580" y="1135380"/>
          <a:ext cx="2567940" cy="47548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232410</xdr:colOff>
      <xdr:row>16</xdr:row>
      <xdr:rowOff>137160</xdr:rowOff>
    </xdr:from>
    <xdr:to>
      <xdr:col>10</xdr:col>
      <xdr:colOff>586740</xdr:colOff>
      <xdr:row>31</xdr:row>
      <xdr:rowOff>175260</xdr:rowOff>
    </xdr:to>
    <xdr:sp macro="" textlink="">
      <xdr:nvSpPr>
        <xdr:cNvPr id="6" name="Rectangle: Rounded Corners 5">
          <a:extLst>
            <a:ext uri="{FF2B5EF4-FFF2-40B4-BE49-F238E27FC236}">
              <a16:creationId xmlns:a16="http://schemas.microsoft.com/office/drawing/2014/main" id="{51FA7F2B-E61E-CB99-FD36-5A2DA879F3E3}"/>
            </a:ext>
          </a:extLst>
        </xdr:cNvPr>
        <xdr:cNvSpPr/>
      </xdr:nvSpPr>
      <xdr:spPr>
        <a:xfrm>
          <a:off x="2670810" y="3063240"/>
          <a:ext cx="4011930" cy="278130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38100</xdr:colOff>
      <xdr:row>16</xdr:row>
      <xdr:rowOff>152400</xdr:rowOff>
    </xdr:from>
    <xdr:to>
      <xdr:col>17</xdr:col>
      <xdr:colOff>251460</xdr:colOff>
      <xdr:row>31</xdr:row>
      <xdr:rowOff>175260</xdr:rowOff>
    </xdr:to>
    <xdr:sp macro="" textlink="">
      <xdr:nvSpPr>
        <xdr:cNvPr id="7" name="Rectangle: Rounded Corners 6">
          <a:extLst>
            <a:ext uri="{FF2B5EF4-FFF2-40B4-BE49-F238E27FC236}">
              <a16:creationId xmlns:a16="http://schemas.microsoft.com/office/drawing/2014/main" id="{76C654FA-8D87-97C7-AB76-40A39B35F051}"/>
            </a:ext>
          </a:extLst>
        </xdr:cNvPr>
        <xdr:cNvSpPr/>
      </xdr:nvSpPr>
      <xdr:spPr>
        <a:xfrm>
          <a:off x="6743700" y="3078480"/>
          <a:ext cx="3870960" cy="27660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289560</xdr:colOff>
      <xdr:row>11</xdr:row>
      <xdr:rowOff>91440</xdr:rowOff>
    </xdr:from>
    <xdr:to>
      <xdr:col>22</xdr:col>
      <xdr:colOff>99060</xdr:colOff>
      <xdr:row>31</xdr:row>
      <xdr:rowOff>167640</xdr:rowOff>
    </xdr:to>
    <xdr:sp macro="" textlink="">
      <xdr:nvSpPr>
        <xdr:cNvPr id="8" name="Rectangle: Rounded Corners 7">
          <a:extLst>
            <a:ext uri="{FF2B5EF4-FFF2-40B4-BE49-F238E27FC236}">
              <a16:creationId xmlns:a16="http://schemas.microsoft.com/office/drawing/2014/main" id="{41F258FD-8E2B-0521-4565-E9C890485202}"/>
            </a:ext>
          </a:extLst>
        </xdr:cNvPr>
        <xdr:cNvSpPr/>
      </xdr:nvSpPr>
      <xdr:spPr>
        <a:xfrm>
          <a:off x="10652760" y="2103120"/>
          <a:ext cx="2857500" cy="373380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232410</xdr:colOff>
      <xdr:row>6</xdr:row>
      <xdr:rowOff>45720</xdr:rowOff>
    </xdr:from>
    <xdr:to>
      <xdr:col>8</xdr:col>
      <xdr:colOff>441960</xdr:colOff>
      <xdr:row>11</xdr:row>
      <xdr:rowOff>30480</xdr:rowOff>
    </xdr:to>
    <xdr:sp macro="" textlink="">
      <xdr:nvSpPr>
        <xdr:cNvPr id="9" name="Rectangle: Rounded Corners 8">
          <a:extLst>
            <a:ext uri="{FF2B5EF4-FFF2-40B4-BE49-F238E27FC236}">
              <a16:creationId xmlns:a16="http://schemas.microsoft.com/office/drawing/2014/main" id="{56A0F98D-802E-D585-A68E-E4403FE7734B}"/>
            </a:ext>
          </a:extLst>
        </xdr:cNvPr>
        <xdr:cNvSpPr/>
      </xdr:nvSpPr>
      <xdr:spPr>
        <a:xfrm>
          <a:off x="2670810" y="1143000"/>
          <a:ext cx="2647950" cy="8991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504825</xdr:colOff>
      <xdr:row>6</xdr:row>
      <xdr:rowOff>45720</xdr:rowOff>
    </xdr:from>
    <xdr:to>
      <xdr:col>13</xdr:col>
      <xdr:colOff>24765</xdr:colOff>
      <xdr:row>11</xdr:row>
      <xdr:rowOff>30480</xdr:rowOff>
    </xdr:to>
    <xdr:sp macro="" textlink="">
      <xdr:nvSpPr>
        <xdr:cNvPr id="10" name="Rectangle: Rounded Corners 9">
          <a:extLst>
            <a:ext uri="{FF2B5EF4-FFF2-40B4-BE49-F238E27FC236}">
              <a16:creationId xmlns:a16="http://schemas.microsoft.com/office/drawing/2014/main" id="{4A630E3B-DB07-7BE9-A488-D38BCFF52777}"/>
            </a:ext>
          </a:extLst>
        </xdr:cNvPr>
        <xdr:cNvSpPr/>
      </xdr:nvSpPr>
      <xdr:spPr>
        <a:xfrm>
          <a:off x="5381625" y="1143000"/>
          <a:ext cx="2567940" cy="8991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83820</xdr:colOff>
      <xdr:row>6</xdr:row>
      <xdr:rowOff>45720</xdr:rowOff>
    </xdr:from>
    <xdr:to>
      <xdr:col>17</xdr:col>
      <xdr:colOff>213360</xdr:colOff>
      <xdr:row>11</xdr:row>
      <xdr:rowOff>30480</xdr:rowOff>
    </xdr:to>
    <xdr:sp macro="" textlink="">
      <xdr:nvSpPr>
        <xdr:cNvPr id="11" name="Rectangle: Rounded Corners 10">
          <a:extLst>
            <a:ext uri="{FF2B5EF4-FFF2-40B4-BE49-F238E27FC236}">
              <a16:creationId xmlns:a16="http://schemas.microsoft.com/office/drawing/2014/main" id="{B7EF4D8D-BB54-5653-599D-7A5331A94DDA}"/>
            </a:ext>
          </a:extLst>
        </xdr:cNvPr>
        <xdr:cNvSpPr/>
      </xdr:nvSpPr>
      <xdr:spPr>
        <a:xfrm>
          <a:off x="8008620" y="1143000"/>
          <a:ext cx="2567940" cy="8991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266700</xdr:colOff>
      <xdr:row>6</xdr:row>
      <xdr:rowOff>45720</xdr:rowOff>
    </xdr:from>
    <xdr:to>
      <xdr:col>22</xdr:col>
      <xdr:colOff>99060</xdr:colOff>
      <xdr:row>11</xdr:row>
      <xdr:rowOff>30480</xdr:rowOff>
    </xdr:to>
    <xdr:sp macro="" textlink="">
      <xdr:nvSpPr>
        <xdr:cNvPr id="12" name="Rectangle: Rounded Corners 11">
          <a:extLst>
            <a:ext uri="{FF2B5EF4-FFF2-40B4-BE49-F238E27FC236}">
              <a16:creationId xmlns:a16="http://schemas.microsoft.com/office/drawing/2014/main" id="{0957E885-C50B-6C34-6650-712AD578DB6B}"/>
            </a:ext>
          </a:extLst>
        </xdr:cNvPr>
        <xdr:cNvSpPr/>
      </xdr:nvSpPr>
      <xdr:spPr>
        <a:xfrm>
          <a:off x="10629900" y="1143000"/>
          <a:ext cx="2880360" cy="8991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232410</xdr:colOff>
      <xdr:row>11</xdr:row>
      <xdr:rowOff>99060</xdr:rowOff>
    </xdr:from>
    <xdr:to>
      <xdr:col>8</xdr:col>
      <xdr:colOff>441960</xdr:colOff>
      <xdr:row>16</xdr:row>
      <xdr:rowOff>68580</xdr:rowOff>
    </xdr:to>
    <xdr:sp macro="" textlink="">
      <xdr:nvSpPr>
        <xdr:cNvPr id="18" name="Rectangle: Rounded Corners 17">
          <a:extLst>
            <a:ext uri="{FF2B5EF4-FFF2-40B4-BE49-F238E27FC236}">
              <a16:creationId xmlns:a16="http://schemas.microsoft.com/office/drawing/2014/main" id="{24647856-ADA4-F718-3764-2606A8AEEB4D}"/>
            </a:ext>
          </a:extLst>
        </xdr:cNvPr>
        <xdr:cNvSpPr/>
      </xdr:nvSpPr>
      <xdr:spPr>
        <a:xfrm>
          <a:off x="2670810" y="2110740"/>
          <a:ext cx="2647950" cy="88392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504825</xdr:colOff>
      <xdr:row>11</xdr:row>
      <xdr:rowOff>99060</xdr:rowOff>
    </xdr:from>
    <xdr:to>
      <xdr:col>13</xdr:col>
      <xdr:colOff>24765</xdr:colOff>
      <xdr:row>16</xdr:row>
      <xdr:rowOff>68580</xdr:rowOff>
    </xdr:to>
    <xdr:sp macro="" textlink="">
      <xdr:nvSpPr>
        <xdr:cNvPr id="19" name="Rectangle: Rounded Corners 18">
          <a:extLst>
            <a:ext uri="{FF2B5EF4-FFF2-40B4-BE49-F238E27FC236}">
              <a16:creationId xmlns:a16="http://schemas.microsoft.com/office/drawing/2014/main" id="{901DDB2A-5089-549B-C773-BB6F2BC28499}"/>
            </a:ext>
          </a:extLst>
        </xdr:cNvPr>
        <xdr:cNvSpPr/>
      </xdr:nvSpPr>
      <xdr:spPr>
        <a:xfrm>
          <a:off x="5381625" y="2110740"/>
          <a:ext cx="2567940" cy="88392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83820</xdr:colOff>
      <xdr:row>11</xdr:row>
      <xdr:rowOff>99060</xdr:rowOff>
    </xdr:from>
    <xdr:to>
      <xdr:col>17</xdr:col>
      <xdr:colOff>213360</xdr:colOff>
      <xdr:row>16</xdr:row>
      <xdr:rowOff>68580</xdr:rowOff>
    </xdr:to>
    <xdr:sp macro="" textlink="">
      <xdr:nvSpPr>
        <xdr:cNvPr id="20" name="Rectangle: Rounded Corners 19">
          <a:extLst>
            <a:ext uri="{FF2B5EF4-FFF2-40B4-BE49-F238E27FC236}">
              <a16:creationId xmlns:a16="http://schemas.microsoft.com/office/drawing/2014/main" id="{65017755-8716-457C-BD22-465481B65800}"/>
            </a:ext>
          </a:extLst>
        </xdr:cNvPr>
        <xdr:cNvSpPr/>
      </xdr:nvSpPr>
      <xdr:spPr>
        <a:xfrm>
          <a:off x="8008620" y="2110740"/>
          <a:ext cx="2567940" cy="88392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106680</xdr:colOff>
      <xdr:row>1</xdr:row>
      <xdr:rowOff>0</xdr:rowOff>
    </xdr:from>
    <xdr:to>
      <xdr:col>4</xdr:col>
      <xdr:colOff>91440</xdr:colOff>
      <xdr:row>5</xdr:row>
      <xdr:rowOff>58049</xdr:rowOff>
    </xdr:to>
    <xdr:pic>
      <xdr:nvPicPr>
        <xdr:cNvPr id="25" name="Picture 24">
          <a:extLst>
            <a:ext uri="{FF2B5EF4-FFF2-40B4-BE49-F238E27FC236}">
              <a16:creationId xmlns:a16="http://schemas.microsoft.com/office/drawing/2014/main" id="{BB0D459C-B8D7-5F1D-CDF1-5DEF9BD0FCA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6708" t="6592" r="4751" b="82667"/>
        <a:stretch>
          <a:fillRect/>
        </a:stretch>
      </xdr:blipFill>
      <xdr:spPr>
        <a:xfrm>
          <a:off x="106680" y="182880"/>
          <a:ext cx="2423160" cy="789569"/>
        </a:xfrm>
        <a:prstGeom prst="rect">
          <a:avLst/>
        </a:prstGeom>
      </xdr:spPr>
    </xdr:pic>
    <xdr:clientData/>
  </xdr:twoCellAnchor>
  <xdr:oneCellAnchor>
    <xdr:from>
      <xdr:col>4</xdr:col>
      <xdr:colOff>316141</xdr:colOff>
      <xdr:row>0</xdr:row>
      <xdr:rowOff>160020</xdr:rowOff>
    </xdr:from>
    <xdr:ext cx="7527830" cy="781111"/>
    <xdr:sp macro="" textlink="">
      <xdr:nvSpPr>
        <xdr:cNvPr id="26" name="TextBox 25">
          <a:extLst>
            <a:ext uri="{FF2B5EF4-FFF2-40B4-BE49-F238E27FC236}">
              <a16:creationId xmlns:a16="http://schemas.microsoft.com/office/drawing/2014/main" id="{96D575F9-A327-D58D-C391-7A658553E7DF}"/>
            </a:ext>
          </a:extLst>
        </xdr:cNvPr>
        <xdr:cNvSpPr txBox="1"/>
      </xdr:nvSpPr>
      <xdr:spPr>
        <a:xfrm>
          <a:off x="2754541" y="160020"/>
          <a:ext cx="7527830"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rtl="0">
            <a:defRPr sz="2000" b="1" i="0" u="none" strike="noStrike" kern="1200" spc="0" baseline="0">
              <a:solidFill>
                <a:sysClr val="windowText" lastClr="000000">
                  <a:lumMod val="65000"/>
                  <a:lumOff val="35000"/>
                </a:sysClr>
              </a:solidFill>
              <a:latin typeface="+mn-lt"/>
              <a:ea typeface="+mn-ea"/>
              <a:cs typeface="+mn-cs"/>
            </a:defRPr>
          </a:pPr>
          <a:r>
            <a:rPr lang="en-US" sz="4400" b="1" i="0" u="none" strike="noStrike" kern="1200" spc="0" baseline="0">
              <a:solidFill>
                <a:schemeClr val="bg1"/>
              </a:solidFill>
              <a:effectLst>
                <a:glow rad="139700">
                  <a:schemeClr val="accent5">
                    <a:satMod val="175000"/>
                    <a:alpha val="40000"/>
                  </a:schemeClr>
                </a:glow>
              </a:effectLst>
              <a:latin typeface="+mn-lt"/>
              <a:ea typeface="+mn-ea"/>
              <a:cs typeface="+mn-cs"/>
            </a:rPr>
            <a:t>Dynamic Sales Dashboard 2026</a:t>
          </a:r>
        </a:p>
      </xdr:txBody>
    </xdr:sp>
    <xdr:clientData/>
  </xdr:oneCellAnchor>
  <xdr:oneCellAnchor>
    <xdr:from>
      <xdr:col>4</xdr:col>
      <xdr:colOff>327660</xdr:colOff>
      <xdr:row>6</xdr:row>
      <xdr:rowOff>137160</xdr:rowOff>
    </xdr:from>
    <xdr:ext cx="767839" cy="718530"/>
    <xdr:sp macro="" textlink="">
      <xdr:nvSpPr>
        <xdr:cNvPr id="30" name="TextBox 29">
          <a:extLst>
            <a:ext uri="{FF2B5EF4-FFF2-40B4-BE49-F238E27FC236}">
              <a16:creationId xmlns:a16="http://schemas.microsoft.com/office/drawing/2014/main" id="{63E7DB90-B067-BAB2-2852-15049DDF3CF4}"/>
            </a:ext>
          </a:extLst>
        </xdr:cNvPr>
        <xdr:cNvSpPr txBox="1"/>
      </xdr:nvSpPr>
      <xdr:spPr>
        <a:xfrm>
          <a:off x="2766060" y="1234440"/>
          <a:ext cx="767839"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Sales</a:t>
          </a:r>
        </a:p>
      </xdr:txBody>
    </xdr:sp>
    <xdr:clientData/>
  </xdr:oneCellAnchor>
  <xdr:oneCellAnchor>
    <xdr:from>
      <xdr:col>9</xdr:col>
      <xdr:colOff>7620</xdr:colOff>
      <xdr:row>6</xdr:row>
      <xdr:rowOff>137160</xdr:rowOff>
    </xdr:from>
    <xdr:ext cx="767839" cy="718530"/>
    <xdr:sp macro="" textlink="">
      <xdr:nvSpPr>
        <xdr:cNvPr id="31" name="TextBox 30">
          <a:extLst>
            <a:ext uri="{FF2B5EF4-FFF2-40B4-BE49-F238E27FC236}">
              <a16:creationId xmlns:a16="http://schemas.microsoft.com/office/drawing/2014/main" id="{AD7FECC2-5752-248B-2822-8415A2731FF8}"/>
            </a:ext>
          </a:extLst>
        </xdr:cNvPr>
        <xdr:cNvSpPr txBox="1"/>
      </xdr:nvSpPr>
      <xdr:spPr>
        <a:xfrm>
          <a:off x="5494020" y="1234440"/>
          <a:ext cx="767839"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Cost</a:t>
          </a:r>
        </a:p>
      </xdr:txBody>
    </xdr:sp>
    <xdr:clientData/>
  </xdr:oneCellAnchor>
  <xdr:oneCellAnchor>
    <xdr:from>
      <xdr:col>8</xdr:col>
      <xdr:colOff>586740</xdr:colOff>
      <xdr:row>12</xdr:row>
      <xdr:rowOff>152400</xdr:rowOff>
    </xdr:from>
    <xdr:ext cx="1006750" cy="405432"/>
    <xdr:sp macro="" textlink="">
      <xdr:nvSpPr>
        <xdr:cNvPr id="34" name="TextBox 33">
          <a:extLst>
            <a:ext uri="{FF2B5EF4-FFF2-40B4-BE49-F238E27FC236}">
              <a16:creationId xmlns:a16="http://schemas.microsoft.com/office/drawing/2014/main" id="{9095C1AB-6B83-9A68-1D6E-962E0331443D}"/>
            </a:ext>
          </a:extLst>
        </xdr:cNvPr>
        <xdr:cNvSpPr txBox="1"/>
      </xdr:nvSpPr>
      <xdr:spPr>
        <a:xfrm>
          <a:off x="5463540" y="2346960"/>
          <a:ext cx="10067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rtl="0">
            <a:defRPr sz="2000" b="1"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Profit %</a:t>
          </a:r>
        </a:p>
      </xdr:txBody>
    </xdr:sp>
    <xdr:clientData/>
  </xdr:oneCellAnchor>
  <xdr:oneCellAnchor>
    <xdr:from>
      <xdr:col>17</xdr:col>
      <xdr:colOff>342900</xdr:colOff>
      <xdr:row>6</xdr:row>
      <xdr:rowOff>137160</xdr:rowOff>
    </xdr:from>
    <xdr:ext cx="791307" cy="718530"/>
    <xdr:sp macro="" textlink="">
      <xdr:nvSpPr>
        <xdr:cNvPr id="35" name="TextBox 34">
          <a:extLst>
            <a:ext uri="{FF2B5EF4-FFF2-40B4-BE49-F238E27FC236}">
              <a16:creationId xmlns:a16="http://schemas.microsoft.com/office/drawing/2014/main" id="{384E0B13-8FB6-14A7-B557-E260E6EDB9D0}"/>
            </a:ext>
          </a:extLst>
        </xdr:cNvPr>
        <xdr:cNvSpPr txBox="1"/>
      </xdr:nvSpPr>
      <xdr:spPr>
        <a:xfrm>
          <a:off x="10706100" y="1234440"/>
          <a:ext cx="791307"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Order</a:t>
          </a:r>
        </a:p>
      </xdr:txBody>
    </xdr:sp>
    <xdr:clientData/>
  </xdr:oneCellAnchor>
  <xdr:oneCellAnchor>
    <xdr:from>
      <xdr:col>13</xdr:col>
      <xdr:colOff>167640</xdr:colOff>
      <xdr:row>6</xdr:row>
      <xdr:rowOff>144780</xdr:rowOff>
    </xdr:from>
    <xdr:ext cx="767839" cy="718530"/>
    <xdr:sp macro="" textlink="">
      <xdr:nvSpPr>
        <xdr:cNvPr id="38" name="TextBox 37">
          <a:extLst>
            <a:ext uri="{FF2B5EF4-FFF2-40B4-BE49-F238E27FC236}">
              <a16:creationId xmlns:a16="http://schemas.microsoft.com/office/drawing/2014/main" id="{ECE43FCC-6BE8-C92F-3F55-303416B8C6B9}"/>
            </a:ext>
          </a:extLst>
        </xdr:cNvPr>
        <xdr:cNvSpPr txBox="1"/>
      </xdr:nvSpPr>
      <xdr:spPr>
        <a:xfrm>
          <a:off x="8092440" y="1242060"/>
          <a:ext cx="767839"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Profit</a:t>
          </a:r>
        </a:p>
      </xdr:txBody>
    </xdr:sp>
    <xdr:clientData/>
  </xdr:oneCellAnchor>
  <xdr:oneCellAnchor>
    <xdr:from>
      <xdr:col>4</xdr:col>
      <xdr:colOff>297181</xdr:colOff>
      <xdr:row>11</xdr:row>
      <xdr:rowOff>152400</xdr:rowOff>
    </xdr:from>
    <xdr:ext cx="1173480" cy="843885"/>
    <xdr:sp macro="" textlink="">
      <xdr:nvSpPr>
        <xdr:cNvPr id="39" name="TextBox 38">
          <a:extLst>
            <a:ext uri="{FF2B5EF4-FFF2-40B4-BE49-F238E27FC236}">
              <a16:creationId xmlns:a16="http://schemas.microsoft.com/office/drawing/2014/main" id="{682E214B-4339-D343-9C70-F57E12CF6CD1}"/>
            </a:ext>
          </a:extLst>
        </xdr:cNvPr>
        <xdr:cNvSpPr txBox="1"/>
      </xdr:nvSpPr>
      <xdr:spPr>
        <a:xfrm>
          <a:off x="2735581" y="2164080"/>
          <a:ext cx="1173480" cy="843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0" u="none" strike="noStrike" kern="1200" spc="0" baseline="0">
              <a:solidFill>
                <a:schemeClr val="bg1"/>
              </a:solidFill>
              <a:effectLst>
                <a:glow rad="139700">
                  <a:schemeClr val="accent5">
                    <a:satMod val="175000"/>
                    <a:alpha val="40000"/>
                  </a:schemeClr>
                </a:glow>
              </a:effectLst>
              <a:latin typeface="+mn-lt"/>
              <a:ea typeface="+mn-ea"/>
              <a:cs typeface="+mn-cs"/>
            </a:rPr>
            <a:t>Average</a:t>
          </a:r>
          <a:r>
            <a:rPr lang="en-US" sz="1600" b="1" baseline="0">
              <a:solidFill>
                <a:schemeClr val="bg1"/>
              </a:solidFill>
            </a:rPr>
            <a:t> </a:t>
          </a:r>
          <a:r>
            <a:rPr lang="en-US" sz="1600" b="1" i="0" u="none" strike="noStrike" kern="1200" spc="0" baseline="0">
              <a:solidFill>
                <a:schemeClr val="bg1"/>
              </a:solidFill>
              <a:effectLst>
                <a:glow rad="139700">
                  <a:schemeClr val="accent5">
                    <a:satMod val="175000"/>
                    <a:alpha val="40000"/>
                  </a:schemeClr>
                </a:glow>
              </a:effectLst>
              <a:latin typeface="+mn-lt"/>
              <a:ea typeface="+mn-ea"/>
              <a:cs typeface="+mn-cs"/>
            </a:rPr>
            <a:t>Order</a:t>
          </a:r>
          <a:r>
            <a:rPr lang="en-US" sz="1600" b="1" baseline="0">
              <a:solidFill>
                <a:schemeClr val="bg1"/>
              </a:solidFill>
            </a:rPr>
            <a:t> </a:t>
          </a:r>
        </a:p>
        <a:p>
          <a:r>
            <a:rPr lang="en-US" sz="1600" b="1" i="0" u="none" strike="noStrike" kern="1200" spc="0" baseline="0">
              <a:solidFill>
                <a:schemeClr val="bg1"/>
              </a:solidFill>
              <a:effectLst>
                <a:glow rad="139700">
                  <a:schemeClr val="accent5">
                    <a:satMod val="175000"/>
                    <a:alpha val="40000"/>
                  </a:schemeClr>
                </a:glow>
              </a:effectLst>
              <a:latin typeface="+mn-lt"/>
              <a:ea typeface="+mn-ea"/>
              <a:cs typeface="+mn-cs"/>
            </a:rPr>
            <a:t>Amount</a:t>
          </a:r>
        </a:p>
      </xdr:txBody>
    </xdr:sp>
    <xdr:clientData/>
  </xdr:oneCellAnchor>
  <xdr:oneCellAnchor>
    <xdr:from>
      <xdr:col>13</xdr:col>
      <xdr:colOff>190500</xdr:colOff>
      <xdr:row>12</xdr:row>
      <xdr:rowOff>7620</xdr:rowOff>
    </xdr:from>
    <xdr:ext cx="1011367" cy="718530"/>
    <xdr:sp macro="" textlink="">
      <xdr:nvSpPr>
        <xdr:cNvPr id="40" name="TextBox 39">
          <a:extLst>
            <a:ext uri="{FF2B5EF4-FFF2-40B4-BE49-F238E27FC236}">
              <a16:creationId xmlns:a16="http://schemas.microsoft.com/office/drawing/2014/main" id="{45F4474B-2DC4-30D9-44CA-2530B5305423}"/>
            </a:ext>
          </a:extLst>
        </xdr:cNvPr>
        <xdr:cNvSpPr txBox="1"/>
      </xdr:nvSpPr>
      <xdr:spPr>
        <a:xfrm>
          <a:off x="8115300" y="2202180"/>
          <a:ext cx="1011367"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Quantiy</a:t>
          </a:r>
        </a:p>
      </xdr:txBody>
    </xdr:sp>
    <xdr:clientData/>
  </xdr:oneCellAnchor>
  <xdr:oneCellAnchor>
    <xdr:from>
      <xdr:col>5</xdr:col>
      <xdr:colOff>495300</xdr:colOff>
      <xdr:row>6</xdr:row>
      <xdr:rowOff>160020</xdr:rowOff>
    </xdr:from>
    <xdr:ext cx="1600200" cy="701040"/>
    <xdr:sp macro="" textlink="Pivot!B6">
      <xdr:nvSpPr>
        <xdr:cNvPr id="41" name="TextBox 40">
          <a:extLst>
            <a:ext uri="{FF2B5EF4-FFF2-40B4-BE49-F238E27FC236}">
              <a16:creationId xmlns:a16="http://schemas.microsoft.com/office/drawing/2014/main" id="{E8CBAF3F-923B-3A90-DF44-E0388DB70908}"/>
            </a:ext>
          </a:extLst>
        </xdr:cNvPr>
        <xdr:cNvSpPr txBox="1"/>
      </xdr:nvSpPr>
      <xdr:spPr>
        <a:xfrm>
          <a:off x="3543300" y="1257300"/>
          <a:ext cx="16002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D708B73-6650-451E-9CD6-7D43CE395643}" type="TxLink">
            <a:rPr lang="en-US" sz="2000" b="1" i="0" u="none" strike="noStrike">
              <a:solidFill>
                <a:srgbClr val="FFFF00"/>
              </a:solidFill>
              <a:latin typeface="Aptos Narrow"/>
            </a:rPr>
            <a:pPr algn="ctr"/>
            <a:t> 5,682,118.60 </a:t>
          </a:fld>
          <a:endParaRPr lang="en-US" sz="2000" b="1">
            <a:solidFill>
              <a:srgbClr val="FFFF00"/>
            </a:solidFill>
          </a:endParaRPr>
        </a:p>
      </xdr:txBody>
    </xdr:sp>
    <xdr:clientData/>
  </xdr:oneCellAnchor>
  <xdr:oneCellAnchor>
    <xdr:from>
      <xdr:col>10</xdr:col>
      <xdr:colOff>228600</xdr:colOff>
      <xdr:row>6</xdr:row>
      <xdr:rowOff>175260</xdr:rowOff>
    </xdr:from>
    <xdr:ext cx="1524000" cy="701040"/>
    <xdr:sp macro="" textlink="Pivot!C6">
      <xdr:nvSpPr>
        <xdr:cNvPr id="44" name="TextBox 43">
          <a:extLst>
            <a:ext uri="{FF2B5EF4-FFF2-40B4-BE49-F238E27FC236}">
              <a16:creationId xmlns:a16="http://schemas.microsoft.com/office/drawing/2014/main" id="{CB14A061-DE41-1321-9FF0-D3914CF1AFA0}"/>
            </a:ext>
          </a:extLst>
        </xdr:cNvPr>
        <xdr:cNvSpPr txBox="1"/>
      </xdr:nvSpPr>
      <xdr:spPr>
        <a:xfrm>
          <a:off x="6324600" y="127254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558FF79-6AA9-4EB4-AF77-FCE59B9B2EF3}" type="TxLink">
            <a:rPr lang="en-US" sz="1800" b="1" i="0" u="none" strike="noStrike">
              <a:solidFill>
                <a:srgbClr val="FFFF00"/>
              </a:solidFill>
              <a:latin typeface="Aptos Narrow"/>
              <a:ea typeface="+mn-ea"/>
              <a:cs typeface="+mn-cs"/>
            </a:rPr>
            <a:pPr marL="0" indent="0" algn="ctr"/>
            <a:t> 4,440,693.92 </a:t>
          </a:fld>
          <a:endParaRPr lang="en-US" sz="1800" b="1" i="0" u="none" strike="noStrike">
            <a:solidFill>
              <a:srgbClr val="FFFF00"/>
            </a:solidFill>
            <a:latin typeface="Aptos Narrow"/>
            <a:ea typeface="+mn-ea"/>
            <a:cs typeface="+mn-cs"/>
          </a:endParaRPr>
        </a:p>
      </xdr:txBody>
    </xdr:sp>
    <xdr:clientData/>
  </xdr:oneCellAnchor>
  <xdr:twoCellAnchor>
    <xdr:from>
      <xdr:col>17</xdr:col>
      <xdr:colOff>426720</xdr:colOff>
      <xdr:row>12</xdr:row>
      <xdr:rowOff>160020</xdr:rowOff>
    </xdr:from>
    <xdr:to>
      <xdr:col>21</xdr:col>
      <xdr:colOff>569923</xdr:colOff>
      <xdr:row>30</xdr:row>
      <xdr:rowOff>101425</xdr:rowOff>
    </xdr:to>
    <xdr:graphicFrame macro="">
      <xdr:nvGraphicFramePr>
        <xdr:cNvPr id="45" name="Chart 44">
          <a:extLst>
            <a:ext uri="{FF2B5EF4-FFF2-40B4-BE49-F238E27FC236}">
              <a16:creationId xmlns:a16="http://schemas.microsoft.com/office/drawing/2014/main" id="{3584080C-2E76-4F71-B735-5C5791377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373380</xdr:colOff>
      <xdr:row>17</xdr:row>
      <xdr:rowOff>106680</xdr:rowOff>
    </xdr:from>
    <xdr:to>
      <xdr:col>10</xdr:col>
      <xdr:colOff>388620</xdr:colOff>
      <xdr:row>30</xdr:row>
      <xdr:rowOff>162385</xdr:rowOff>
    </xdr:to>
    <xdr:graphicFrame macro="">
      <xdr:nvGraphicFramePr>
        <xdr:cNvPr id="46" name="Chart 45">
          <a:extLst>
            <a:ext uri="{FF2B5EF4-FFF2-40B4-BE49-F238E27FC236}">
              <a16:creationId xmlns:a16="http://schemas.microsoft.com/office/drawing/2014/main" id="{DBE257F5-47D6-45F9-ACA1-D17EFB216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121920</xdr:colOff>
      <xdr:row>17</xdr:row>
      <xdr:rowOff>30480</xdr:rowOff>
    </xdr:from>
    <xdr:to>
      <xdr:col>17</xdr:col>
      <xdr:colOff>53340</xdr:colOff>
      <xdr:row>31</xdr:row>
      <xdr:rowOff>114300</xdr:rowOff>
    </xdr:to>
    <xdr:graphicFrame macro="">
      <xdr:nvGraphicFramePr>
        <xdr:cNvPr id="47" name="Chart 46">
          <a:extLst>
            <a:ext uri="{FF2B5EF4-FFF2-40B4-BE49-F238E27FC236}">
              <a16:creationId xmlns:a16="http://schemas.microsoft.com/office/drawing/2014/main" id="{ADD2178E-FFBC-4693-8E6C-D877F8DB0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17</xdr:col>
      <xdr:colOff>388620</xdr:colOff>
      <xdr:row>1</xdr:row>
      <xdr:rowOff>30480</xdr:rowOff>
    </xdr:from>
    <xdr:ext cx="2644140" cy="405432"/>
    <xdr:sp macro="" textlink="">
      <xdr:nvSpPr>
        <xdr:cNvPr id="50" name="TextBox 49">
          <a:extLst>
            <a:ext uri="{FF2B5EF4-FFF2-40B4-BE49-F238E27FC236}">
              <a16:creationId xmlns:a16="http://schemas.microsoft.com/office/drawing/2014/main" id="{B7D703C2-0CE6-D788-FDB4-1ECF5CC76CB1}"/>
            </a:ext>
          </a:extLst>
        </xdr:cNvPr>
        <xdr:cNvSpPr txBox="1"/>
      </xdr:nvSpPr>
      <xdr:spPr>
        <a:xfrm>
          <a:off x="10751820" y="213360"/>
          <a:ext cx="264414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rtl="0">
            <a:defRPr sz="2000" b="1"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Last Updated Date</a:t>
          </a:r>
        </a:p>
      </xdr:txBody>
    </xdr:sp>
    <xdr:clientData/>
  </xdr:oneCellAnchor>
  <xdr:oneCellAnchor>
    <xdr:from>
      <xdr:col>17</xdr:col>
      <xdr:colOff>381000</xdr:colOff>
      <xdr:row>3</xdr:row>
      <xdr:rowOff>30480</xdr:rowOff>
    </xdr:from>
    <xdr:ext cx="2644140" cy="468013"/>
    <xdr:sp macro="" textlink="Pivot!E21">
      <xdr:nvSpPr>
        <xdr:cNvPr id="51" name="TextBox 50">
          <a:extLst>
            <a:ext uri="{FF2B5EF4-FFF2-40B4-BE49-F238E27FC236}">
              <a16:creationId xmlns:a16="http://schemas.microsoft.com/office/drawing/2014/main" id="{C9714053-9BD6-2619-1461-72D0CB1F0555}"/>
            </a:ext>
          </a:extLst>
        </xdr:cNvPr>
        <xdr:cNvSpPr txBox="1"/>
      </xdr:nvSpPr>
      <xdr:spPr>
        <a:xfrm>
          <a:off x="10744200" y="579120"/>
          <a:ext cx="264414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CF2B8C2-BE26-48F1-9C1A-BB230605E46D}" type="TxLink">
            <a:rPr lang="en-US" sz="2400" b="1" i="0" u="none" strike="noStrike">
              <a:solidFill>
                <a:srgbClr val="FFFF00"/>
              </a:solidFill>
              <a:latin typeface="Aptos Narrow"/>
            </a:rPr>
            <a:t>23-08-26</a:t>
          </a:fld>
          <a:endParaRPr lang="en-US" sz="4400" b="1">
            <a:solidFill>
              <a:srgbClr val="FFFF00"/>
            </a:solidFill>
          </a:endParaRPr>
        </a:p>
      </xdr:txBody>
    </xdr:sp>
    <xdr:clientData/>
  </xdr:oneCellAnchor>
  <xdr:twoCellAnchor editAs="oneCell">
    <xdr:from>
      <xdr:col>0</xdr:col>
      <xdr:colOff>167640</xdr:colOff>
      <xdr:row>6</xdr:row>
      <xdr:rowOff>137161</xdr:rowOff>
    </xdr:from>
    <xdr:to>
      <xdr:col>4</xdr:col>
      <xdr:colOff>68580</xdr:colOff>
      <xdr:row>14</xdr:row>
      <xdr:rowOff>30481</xdr:rowOff>
    </xdr:to>
    <mc:AlternateContent xmlns:mc="http://schemas.openxmlformats.org/markup-compatibility/2006">
      <mc:Choice xmlns:a14="http://schemas.microsoft.com/office/drawing/2010/main" Requires="a14">
        <xdr:graphicFrame macro="">
          <xdr:nvGraphicFramePr>
            <xdr:cNvPr id="52" name="Segment">
              <a:extLst>
                <a:ext uri="{FF2B5EF4-FFF2-40B4-BE49-F238E27FC236}">
                  <a16:creationId xmlns:a16="http://schemas.microsoft.com/office/drawing/2014/main" id="{F2927714-E9A6-40D1-8A7F-EAC95A3D724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7640" y="1234441"/>
              <a:ext cx="2339340" cy="1356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192864</xdr:colOff>
      <xdr:row>19</xdr:row>
      <xdr:rowOff>167641</xdr:rowOff>
    </xdr:from>
    <xdr:to>
      <xdr:col>4</xdr:col>
      <xdr:colOff>30479</xdr:colOff>
      <xdr:row>26</xdr:row>
      <xdr:rowOff>144781</xdr:rowOff>
    </xdr:to>
    <mc:AlternateContent xmlns:mc="http://schemas.openxmlformats.org/markup-compatibility/2006">
      <mc:Choice xmlns:a14="http://schemas.microsoft.com/office/drawing/2010/main" Requires="a14">
        <xdr:graphicFrame macro="">
          <xdr:nvGraphicFramePr>
            <xdr:cNvPr id="53" name="Channel">
              <a:extLst>
                <a:ext uri="{FF2B5EF4-FFF2-40B4-BE49-F238E27FC236}">
                  <a16:creationId xmlns:a16="http://schemas.microsoft.com/office/drawing/2014/main" id="{2F4DDA8D-42DC-4420-8CAE-CB4498F42D0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92864" y="3642361"/>
              <a:ext cx="227601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185770</xdr:colOff>
      <xdr:row>14</xdr:row>
      <xdr:rowOff>68581</xdr:rowOff>
    </xdr:from>
    <xdr:to>
      <xdr:col>4</xdr:col>
      <xdr:colOff>60960</xdr:colOff>
      <xdr:row>19</xdr:row>
      <xdr:rowOff>144781</xdr:rowOff>
    </xdr:to>
    <mc:AlternateContent xmlns:mc="http://schemas.openxmlformats.org/markup-compatibility/2006">
      <mc:Choice xmlns:a14="http://schemas.microsoft.com/office/drawing/2010/main" Requires="a14">
        <xdr:graphicFrame macro="">
          <xdr:nvGraphicFramePr>
            <xdr:cNvPr id="55" name="Region">
              <a:extLst>
                <a:ext uri="{FF2B5EF4-FFF2-40B4-BE49-F238E27FC236}">
                  <a16:creationId xmlns:a16="http://schemas.microsoft.com/office/drawing/2014/main" id="{8A955E85-9CE4-4D3B-A009-963EDC0E01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5770" y="2628901"/>
              <a:ext cx="231359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205740</xdr:colOff>
      <xdr:row>27</xdr:row>
      <xdr:rowOff>68580</xdr:rowOff>
    </xdr:from>
    <xdr:to>
      <xdr:col>4</xdr:col>
      <xdr:colOff>7620</xdr:colOff>
      <xdr:row>31</xdr:row>
      <xdr:rowOff>121920</xdr:rowOff>
    </xdr:to>
    <xdr:sp macro="" textlink="">
      <xdr:nvSpPr>
        <xdr:cNvPr id="56" name="Rectangle: Rounded Corners 55">
          <a:extLst>
            <a:ext uri="{FF2B5EF4-FFF2-40B4-BE49-F238E27FC236}">
              <a16:creationId xmlns:a16="http://schemas.microsoft.com/office/drawing/2014/main" id="{10615928-F861-DB87-F64F-531B56934B73}"/>
            </a:ext>
          </a:extLst>
        </xdr:cNvPr>
        <xdr:cNvSpPr/>
      </xdr:nvSpPr>
      <xdr:spPr>
        <a:xfrm>
          <a:off x="205740" y="5006340"/>
          <a:ext cx="224028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FF00"/>
              </a:solidFill>
            </a:rPr>
            <a:t>Prepared By : </a:t>
          </a:r>
        </a:p>
        <a:p>
          <a:pPr algn="l"/>
          <a:r>
            <a:rPr lang="en-US" sz="1800" b="1">
              <a:solidFill>
                <a:srgbClr val="FFFF00"/>
              </a:solidFill>
            </a:rPr>
            <a:t>Batch</a:t>
          </a:r>
          <a:r>
            <a:rPr lang="en-US" sz="1800" b="1" baseline="0">
              <a:solidFill>
                <a:srgbClr val="FFFF00"/>
              </a:solidFill>
            </a:rPr>
            <a:t> 19</a:t>
          </a:r>
          <a:endParaRPr lang="en-US" sz="1050" b="1">
            <a:solidFill>
              <a:srgbClr val="FFFF00"/>
            </a:solidFill>
          </a:endParaRPr>
        </a:p>
      </xdr:txBody>
    </xdr:sp>
    <xdr:clientData/>
  </xdr:twoCellAnchor>
  <xdr:oneCellAnchor>
    <xdr:from>
      <xdr:col>14</xdr:col>
      <xdr:colOff>396240</xdr:colOff>
      <xdr:row>6</xdr:row>
      <xdr:rowOff>152400</xdr:rowOff>
    </xdr:from>
    <xdr:ext cx="1524000" cy="701040"/>
    <xdr:sp macro="" textlink="Pivot!D6">
      <xdr:nvSpPr>
        <xdr:cNvPr id="57" name="TextBox 56">
          <a:extLst>
            <a:ext uri="{FF2B5EF4-FFF2-40B4-BE49-F238E27FC236}">
              <a16:creationId xmlns:a16="http://schemas.microsoft.com/office/drawing/2014/main" id="{F47E5400-F673-BF53-189A-AF80CA42EC8F}"/>
            </a:ext>
          </a:extLst>
        </xdr:cNvPr>
        <xdr:cNvSpPr txBox="1"/>
      </xdr:nvSpPr>
      <xdr:spPr>
        <a:xfrm>
          <a:off x="8930640" y="124968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FFEBF7B-F676-402D-A0E8-23705A65DC77}" type="TxLink">
            <a:rPr lang="en-US" sz="1800" b="1" i="0" u="none" strike="noStrike">
              <a:solidFill>
                <a:srgbClr val="FFFF00"/>
              </a:solidFill>
              <a:latin typeface="Aptos Narrow"/>
              <a:ea typeface="+mn-ea"/>
              <a:cs typeface="+mn-cs"/>
            </a:rPr>
            <a:pPr marL="0" indent="0" algn="ctr"/>
            <a:t> 1,241,424.68 </a:t>
          </a:fld>
          <a:endParaRPr lang="en-US" sz="1800" b="1" i="0" u="none" strike="noStrike">
            <a:solidFill>
              <a:srgbClr val="FFFF00"/>
            </a:solidFill>
            <a:latin typeface="Aptos Narrow"/>
            <a:ea typeface="+mn-ea"/>
            <a:cs typeface="+mn-cs"/>
          </a:endParaRPr>
        </a:p>
      </xdr:txBody>
    </xdr:sp>
    <xdr:clientData/>
  </xdr:oneCellAnchor>
  <xdr:oneCellAnchor>
    <xdr:from>
      <xdr:col>19</xdr:col>
      <xdr:colOff>243840</xdr:colOff>
      <xdr:row>6</xdr:row>
      <xdr:rowOff>137160</xdr:rowOff>
    </xdr:from>
    <xdr:ext cx="1524000" cy="701040"/>
    <xdr:sp macro="" textlink="Pivot!F6">
      <xdr:nvSpPr>
        <xdr:cNvPr id="58" name="TextBox 57">
          <a:extLst>
            <a:ext uri="{FF2B5EF4-FFF2-40B4-BE49-F238E27FC236}">
              <a16:creationId xmlns:a16="http://schemas.microsoft.com/office/drawing/2014/main" id="{FC663F73-17BC-8809-BFEF-6E47F4E53999}"/>
            </a:ext>
          </a:extLst>
        </xdr:cNvPr>
        <xdr:cNvSpPr txBox="1"/>
      </xdr:nvSpPr>
      <xdr:spPr>
        <a:xfrm>
          <a:off x="11826240" y="123444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8A78979-3A89-415E-85D5-65834C6BE2DF}" type="TxLink">
            <a:rPr lang="en-US" sz="1800" b="1" i="0" u="none" strike="noStrike">
              <a:solidFill>
                <a:srgbClr val="FFFF00"/>
              </a:solidFill>
              <a:latin typeface="Aptos Narrow"/>
              <a:ea typeface="+mn-ea"/>
              <a:cs typeface="+mn-cs"/>
            </a:rPr>
            <a:pPr marL="0" indent="0" algn="ctr"/>
            <a:t> 250.00 </a:t>
          </a:fld>
          <a:endParaRPr lang="en-US" sz="1800" b="1" i="0" u="none" strike="noStrike">
            <a:solidFill>
              <a:srgbClr val="FFFF00"/>
            </a:solidFill>
            <a:latin typeface="Aptos Narrow"/>
            <a:ea typeface="+mn-ea"/>
            <a:cs typeface="+mn-cs"/>
          </a:endParaRPr>
        </a:p>
      </xdr:txBody>
    </xdr:sp>
    <xdr:clientData/>
  </xdr:oneCellAnchor>
  <xdr:oneCellAnchor>
    <xdr:from>
      <xdr:col>14</xdr:col>
      <xdr:colOff>449580</xdr:colOff>
      <xdr:row>12</xdr:row>
      <xdr:rowOff>22860</xdr:rowOff>
    </xdr:from>
    <xdr:ext cx="1524000" cy="701040"/>
    <xdr:sp macro="" textlink="Pivot!H6">
      <xdr:nvSpPr>
        <xdr:cNvPr id="59" name="TextBox 58">
          <a:extLst>
            <a:ext uri="{FF2B5EF4-FFF2-40B4-BE49-F238E27FC236}">
              <a16:creationId xmlns:a16="http://schemas.microsoft.com/office/drawing/2014/main" id="{870719DF-4FDE-9FB5-04EF-37D02D3684A7}"/>
            </a:ext>
          </a:extLst>
        </xdr:cNvPr>
        <xdr:cNvSpPr txBox="1"/>
      </xdr:nvSpPr>
      <xdr:spPr>
        <a:xfrm>
          <a:off x="8983980" y="221742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1230800-2BD3-45FC-B059-218447217F2D}" type="TxLink">
            <a:rPr lang="en-US" sz="2000" b="1" i="0" u="none" strike="noStrike">
              <a:solidFill>
                <a:srgbClr val="FFFF00"/>
              </a:solidFill>
              <a:latin typeface="Aptos Narrow"/>
              <a:ea typeface="+mn-ea"/>
              <a:cs typeface="+mn-cs"/>
            </a:rPr>
            <a:pPr marL="0" indent="0" algn="ctr"/>
            <a:t> 2,184.00 </a:t>
          </a:fld>
          <a:endParaRPr lang="en-US" sz="2000" b="1" i="0" u="none" strike="noStrike">
            <a:solidFill>
              <a:srgbClr val="FFFF00"/>
            </a:solidFill>
            <a:latin typeface="Aptos Narrow"/>
            <a:ea typeface="+mn-ea"/>
            <a:cs typeface="+mn-cs"/>
          </a:endParaRPr>
        </a:p>
      </xdr:txBody>
    </xdr:sp>
    <xdr:clientData/>
  </xdr:oneCellAnchor>
  <xdr:oneCellAnchor>
    <xdr:from>
      <xdr:col>10</xdr:col>
      <xdr:colOff>259080</xdr:colOff>
      <xdr:row>12</xdr:row>
      <xdr:rowOff>7620</xdr:rowOff>
    </xdr:from>
    <xdr:ext cx="1524000" cy="701040"/>
    <xdr:sp macro="" textlink="Pivot!E6">
      <xdr:nvSpPr>
        <xdr:cNvPr id="60" name="TextBox 59">
          <a:extLst>
            <a:ext uri="{FF2B5EF4-FFF2-40B4-BE49-F238E27FC236}">
              <a16:creationId xmlns:a16="http://schemas.microsoft.com/office/drawing/2014/main" id="{1AD7A31F-34D8-010A-4A43-9BF8293CD26B}"/>
            </a:ext>
          </a:extLst>
        </xdr:cNvPr>
        <xdr:cNvSpPr txBox="1"/>
      </xdr:nvSpPr>
      <xdr:spPr>
        <a:xfrm>
          <a:off x="6355080" y="220218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FE26A8B-AF9D-40CA-9E6C-21CB133456C8}" type="TxLink">
            <a:rPr lang="en-US" sz="2000" b="1" i="0" u="none" strike="noStrike">
              <a:solidFill>
                <a:srgbClr val="FFFF00"/>
              </a:solidFill>
              <a:latin typeface="Aptos Narrow"/>
              <a:ea typeface="+mn-ea"/>
              <a:cs typeface="+mn-cs"/>
            </a:rPr>
            <a:pPr marL="0" indent="0" algn="ctr"/>
            <a:t>22%</a:t>
          </a:fld>
          <a:endParaRPr lang="en-US" sz="2000" b="1" i="0" u="none" strike="noStrike">
            <a:solidFill>
              <a:srgbClr val="FFFF00"/>
            </a:solidFill>
            <a:latin typeface="Aptos Narrow"/>
            <a:ea typeface="+mn-ea"/>
            <a:cs typeface="+mn-cs"/>
          </a:endParaRPr>
        </a:p>
      </xdr:txBody>
    </xdr:sp>
    <xdr:clientData/>
  </xdr:oneCellAnchor>
  <xdr:oneCellAnchor>
    <xdr:from>
      <xdr:col>5</xdr:col>
      <xdr:colOff>548640</xdr:colOff>
      <xdr:row>11</xdr:row>
      <xdr:rowOff>175260</xdr:rowOff>
    </xdr:from>
    <xdr:ext cx="1600200" cy="701040"/>
    <xdr:sp macro="" textlink="Pivot!G6">
      <xdr:nvSpPr>
        <xdr:cNvPr id="61" name="TextBox 60">
          <a:extLst>
            <a:ext uri="{FF2B5EF4-FFF2-40B4-BE49-F238E27FC236}">
              <a16:creationId xmlns:a16="http://schemas.microsoft.com/office/drawing/2014/main" id="{50DCB86E-6EB8-D514-596A-6ED943073087}"/>
            </a:ext>
          </a:extLst>
        </xdr:cNvPr>
        <xdr:cNvSpPr txBox="1"/>
      </xdr:nvSpPr>
      <xdr:spPr>
        <a:xfrm>
          <a:off x="3596640" y="2186940"/>
          <a:ext cx="16002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CBC31B6D-DA53-49F7-A547-7A7ACD1F81F4}" type="TxLink">
            <a:rPr lang="en-US" sz="2000" b="1" i="0" u="none" strike="noStrike">
              <a:solidFill>
                <a:srgbClr val="FFFF00"/>
              </a:solidFill>
              <a:latin typeface="Aptos Narrow"/>
              <a:ea typeface="+mn-ea"/>
              <a:cs typeface="+mn-cs"/>
            </a:rPr>
            <a:pPr marL="0" indent="0" algn="ctr"/>
            <a:t> 22,728.47 </a:t>
          </a:fld>
          <a:endParaRPr lang="en-US" sz="2000" b="1" i="0" u="none" strike="noStrike">
            <a:solidFill>
              <a:srgbClr val="FFFF00"/>
            </a:solidFill>
            <a:latin typeface="Aptos Narrow"/>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68580</xdr:rowOff>
    </xdr:from>
    <xdr:to>
      <xdr:col>4</xdr:col>
      <xdr:colOff>182880</xdr:colOff>
      <xdr:row>5</xdr:row>
      <xdr:rowOff>175260</xdr:rowOff>
    </xdr:to>
    <xdr:sp macro="" textlink="">
      <xdr:nvSpPr>
        <xdr:cNvPr id="2" name="Rectangle: Rounded Corners 1">
          <a:extLst>
            <a:ext uri="{FF2B5EF4-FFF2-40B4-BE49-F238E27FC236}">
              <a16:creationId xmlns:a16="http://schemas.microsoft.com/office/drawing/2014/main" id="{0C5F3CBA-B367-46ED-9A5B-257C9AB0C33C}"/>
            </a:ext>
          </a:extLst>
        </xdr:cNvPr>
        <xdr:cNvSpPr/>
      </xdr:nvSpPr>
      <xdr:spPr>
        <a:xfrm>
          <a:off x="53340" y="68580"/>
          <a:ext cx="2567940" cy="10210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232410</xdr:colOff>
      <xdr:row>0</xdr:row>
      <xdr:rowOff>68580</xdr:rowOff>
    </xdr:from>
    <xdr:to>
      <xdr:col>17</xdr:col>
      <xdr:colOff>201930</xdr:colOff>
      <xdr:row>5</xdr:row>
      <xdr:rowOff>175260</xdr:rowOff>
    </xdr:to>
    <xdr:sp macro="" textlink="">
      <xdr:nvSpPr>
        <xdr:cNvPr id="3" name="Rectangle: Rounded Corners 2">
          <a:extLst>
            <a:ext uri="{FF2B5EF4-FFF2-40B4-BE49-F238E27FC236}">
              <a16:creationId xmlns:a16="http://schemas.microsoft.com/office/drawing/2014/main" id="{5A256702-8626-41AD-8824-FFA144EB58CA}"/>
            </a:ext>
          </a:extLst>
        </xdr:cNvPr>
        <xdr:cNvSpPr/>
      </xdr:nvSpPr>
      <xdr:spPr>
        <a:xfrm>
          <a:off x="2670810" y="68580"/>
          <a:ext cx="7894320" cy="10210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251460</xdr:colOff>
      <xdr:row>0</xdr:row>
      <xdr:rowOff>68580</xdr:rowOff>
    </xdr:from>
    <xdr:to>
      <xdr:col>20</xdr:col>
      <xdr:colOff>53340</xdr:colOff>
      <xdr:row>5</xdr:row>
      <xdr:rowOff>175260</xdr:rowOff>
    </xdr:to>
    <xdr:sp macro="" textlink="">
      <xdr:nvSpPr>
        <xdr:cNvPr id="4" name="Rectangle: Rounded Corners 3">
          <a:extLst>
            <a:ext uri="{FF2B5EF4-FFF2-40B4-BE49-F238E27FC236}">
              <a16:creationId xmlns:a16="http://schemas.microsoft.com/office/drawing/2014/main" id="{81E1EF99-09C8-4E13-BE89-0EF711F9D7EC}"/>
            </a:ext>
          </a:extLst>
        </xdr:cNvPr>
        <xdr:cNvSpPr/>
      </xdr:nvSpPr>
      <xdr:spPr>
        <a:xfrm>
          <a:off x="10614660" y="68580"/>
          <a:ext cx="2750820" cy="10210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68580</xdr:colOff>
      <xdr:row>6</xdr:row>
      <xdr:rowOff>38100</xdr:rowOff>
    </xdr:from>
    <xdr:to>
      <xdr:col>4</xdr:col>
      <xdr:colOff>198120</xdr:colOff>
      <xdr:row>32</xdr:row>
      <xdr:rowOff>38100</xdr:rowOff>
    </xdr:to>
    <xdr:sp macro="" textlink="">
      <xdr:nvSpPr>
        <xdr:cNvPr id="5" name="Rectangle: Rounded Corners 4">
          <a:extLst>
            <a:ext uri="{FF2B5EF4-FFF2-40B4-BE49-F238E27FC236}">
              <a16:creationId xmlns:a16="http://schemas.microsoft.com/office/drawing/2014/main" id="{74EC2846-92B6-43BB-8D54-BE2942DC2861}"/>
            </a:ext>
          </a:extLst>
        </xdr:cNvPr>
        <xdr:cNvSpPr/>
      </xdr:nvSpPr>
      <xdr:spPr>
        <a:xfrm>
          <a:off x="68580" y="1135380"/>
          <a:ext cx="2567940" cy="47548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232410</xdr:colOff>
      <xdr:row>16</xdr:row>
      <xdr:rowOff>137160</xdr:rowOff>
    </xdr:from>
    <xdr:to>
      <xdr:col>10</xdr:col>
      <xdr:colOff>586740</xdr:colOff>
      <xdr:row>31</xdr:row>
      <xdr:rowOff>175260</xdr:rowOff>
    </xdr:to>
    <xdr:sp macro="" textlink="">
      <xdr:nvSpPr>
        <xdr:cNvPr id="6" name="Rectangle: Rounded Corners 5">
          <a:extLst>
            <a:ext uri="{FF2B5EF4-FFF2-40B4-BE49-F238E27FC236}">
              <a16:creationId xmlns:a16="http://schemas.microsoft.com/office/drawing/2014/main" id="{EAC076DC-09E2-4EE9-80CF-87AA3FF88C0F}"/>
            </a:ext>
          </a:extLst>
        </xdr:cNvPr>
        <xdr:cNvSpPr/>
      </xdr:nvSpPr>
      <xdr:spPr>
        <a:xfrm>
          <a:off x="2670810" y="3680460"/>
          <a:ext cx="4011930" cy="364998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38100</xdr:colOff>
      <xdr:row>16</xdr:row>
      <xdr:rowOff>152400</xdr:rowOff>
    </xdr:from>
    <xdr:to>
      <xdr:col>17</xdr:col>
      <xdr:colOff>251460</xdr:colOff>
      <xdr:row>31</xdr:row>
      <xdr:rowOff>175260</xdr:rowOff>
    </xdr:to>
    <xdr:sp macro="" textlink="">
      <xdr:nvSpPr>
        <xdr:cNvPr id="7" name="Rectangle: Rounded Corners 6">
          <a:extLst>
            <a:ext uri="{FF2B5EF4-FFF2-40B4-BE49-F238E27FC236}">
              <a16:creationId xmlns:a16="http://schemas.microsoft.com/office/drawing/2014/main" id="{EB75BDD0-CE2C-4744-AFF2-34A65B1F8026}"/>
            </a:ext>
          </a:extLst>
        </xdr:cNvPr>
        <xdr:cNvSpPr/>
      </xdr:nvSpPr>
      <xdr:spPr>
        <a:xfrm>
          <a:off x="6743700" y="3078480"/>
          <a:ext cx="3870960" cy="27660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232410</xdr:colOff>
      <xdr:row>6</xdr:row>
      <xdr:rowOff>45720</xdr:rowOff>
    </xdr:from>
    <xdr:to>
      <xdr:col>8</xdr:col>
      <xdr:colOff>441960</xdr:colOff>
      <xdr:row>11</xdr:row>
      <xdr:rowOff>30480</xdr:rowOff>
    </xdr:to>
    <xdr:sp macro="" textlink="">
      <xdr:nvSpPr>
        <xdr:cNvPr id="9" name="Rectangle: Rounded Corners 8">
          <a:extLst>
            <a:ext uri="{FF2B5EF4-FFF2-40B4-BE49-F238E27FC236}">
              <a16:creationId xmlns:a16="http://schemas.microsoft.com/office/drawing/2014/main" id="{454A595C-E9C9-4D69-BEC3-A7CCEEDD339B}"/>
            </a:ext>
          </a:extLst>
        </xdr:cNvPr>
        <xdr:cNvSpPr/>
      </xdr:nvSpPr>
      <xdr:spPr>
        <a:xfrm>
          <a:off x="2670810" y="1143000"/>
          <a:ext cx="2647950" cy="8991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504825</xdr:colOff>
      <xdr:row>6</xdr:row>
      <xdr:rowOff>45720</xdr:rowOff>
    </xdr:from>
    <xdr:to>
      <xdr:col>13</xdr:col>
      <xdr:colOff>24765</xdr:colOff>
      <xdr:row>11</xdr:row>
      <xdr:rowOff>30480</xdr:rowOff>
    </xdr:to>
    <xdr:sp macro="" textlink="">
      <xdr:nvSpPr>
        <xdr:cNvPr id="10" name="Rectangle: Rounded Corners 9">
          <a:extLst>
            <a:ext uri="{FF2B5EF4-FFF2-40B4-BE49-F238E27FC236}">
              <a16:creationId xmlns:a16="http://schemas.microsoft.com/office/drawing/2014/main" id="{15F6A3A2-E108-4ED0-8AEA-486E6B9F3C3F}"/>
            </a:ext>
          </a:extLst>
        </xdr:cNvPr>
        <xdr:cNvSpPr/>
      </xdr:nvSpPr>
      <xdr:spPr>
        <a:xfrm>
          <a:off x="5381625" y="1143000"/>
          <a:ext cx="2567940" cy="8991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83820</xdr:colOff>
      <xdr:row>6</xdr:row>
      <xdr:rowOff>45720</xdr:rowOff>
    </xdr:from>
    <xdr:to>
      <xdr:col>17</xdr:col>
      <xdr:colOff>213360</xdr:colOff>
      <xdr:row>11</xdr:row>
      <xdr:rowOff>30480</xdr:rowOff>
    </xdr:to>
    <xdr:sp macro="" textlink="">
      <xdr:nvSpPr>
        <xdr:cNvPr id="11" name="Rectangle: Rounded Corners 10">
          <a:extLst>
            <a:ext uri="{FF2B5EF4-FFF2-40B4-BE49-F238E27FC236}">
              <a16:creationId xmlns:a16="http://schemas.microsoft.com/office/drawing/2014/main" id="{6C29D16C-12A4-4C61-A951-8B860EAD9E03}"/>
            </a:ext>
          </a:extLst>
        </xdr:cNvPr>
        <xdr:cNvSpPr/>
      </xdr:nvSpPr>
      <xdr:spPr>
        <a:xfrm>
          <a:off x="8008620" y="1143000"/>
          <a:ext cx="2567940" cy="8991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266700</xdr:colOff>
      <xdr:row>6</xdr:row>
      <xdr:rowOff>45720</xdr:rowOff>
    </xdr:from>
    <xdr:to>
      <xdr:col>20</xdr:col>
      <xdr:colOff>53340</xdr:colOff>
      <xdr:row>11</xdr:row>
      <xdr:rowOff>30480</xdr:rowOff>
    </xdr:to>
    <xdr:sp macro="" textlink="">
      <xdr:nvSpPr>
        <xdr:cNvPr id="12" name="Rectangle: Rounded Corners 11">
          <a:extLst>
            <a:ext uri="{FF2B5EF4-FFF2-40B4-BE49-F238E27FC236}">
              <a16:creationId xmlns:a16="http://schemas.microsoft.com/office/drawing/2014/main" id="{2C1CF6C3-90E3-441A-AC95-9D1E355D53EE}"/>
            </a:ext>
          </a:extLst>
        </xdr:cNvPr>
        <xdr:cNvSpPr/>
      </xdr:nvSpPr>
      <xdr:spPr>
        <a:xfrm>
          <a:off x="10629900" y="1143000"/>
          <a:ext cx="2735580" cy="89916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232410</xdr:colOff>
      <xdr:row>11</xdr:row>
      <xdr:rowOff>99060</xdr:rowOff>
    </xdr:from>
    <xdr:to>
      <xdr:col>8</xdr:col>
      <xdr:colOff>441960</xdr:colOff>
      <xdr:row>14</xdr:row>
      <xdr:rowOff>144780</xdr:rowOff>
    </xdr:to>
    <xdr:sp macro="" textlink="">
      <xdr:nvSpPr>
        <xdr:cNvPr id="13" name="Rectangle: Rounded Corners 12">
          <a:extLst>
            <a:ext uri="{FF2B5EF4-FFF2-40B4-BE49-F238E27FC236}">
              <a16:creationId xmlns:a16="http://schemas.microsoft.com/office/drawing/2014/main" id="{2D76E2EE-4F65-4E37-8559-16704D99334F}"/>
            </a:ext>
          </a:extLst>
        </xdr:cNvPr>
        <xdr:cNvSpPr/>
      </xdr:nvSpPr>
      <xdr:spPr>
        <a:xfrm>
          <a:off x="2670810" y="2110740"/>
          <a:ext cx="2647950" cy="92202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504825</xdr:colOff>
      <xdr:row>11</xdr:row>
      <xdr:rowOff>99060</xdr:rowOff>
    </xdr:from>
    <xdr:to>
      <xdr:col>13</xdr:col>
      <xdr:colOff>24765</xdr:colOff>
      <xdr:row>14</xdr:row>
      <xdr:rowOff>152400</xdr:rowOff>
    </xdr:to>
    <xdr:sp macro="" textlink="">
      <xdr:nvSpPr>
        <xdr:cNvPr id="14" name="Rectangle: Rounded Corners 13">
          <a:extLst>
            <a:ext uri="{FF2B5EF4-FFF2-40B4-BE49-F238E27FC236}">
              <a16:creationId xmlns:a16="http://schemas.microsoft.com/office/drawing/2014/main" id="{267F218C-7643-405B-874B-CD72FD54EFD2}"/>
            </a:ext>
          </a:extLst>
        </xdr:cNvPr>
        <xdr:cNvSpPr/>
      </xdr:nvSpPr>
      <xdr:spPr>
        <a:xfrm>
          <a:off x="5381625" y="2110740"/>
          <a:ext cx="2567940" cy="92964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83820</xdr:colOff>
      <xdr:row>11</xdr:row>
      <xdr:rowOff>99060</xdr:rowOff>
    </xdr:from>
    <xdr:to>
      <xdr:col>17</xdr:col>
      <xdr:colOff>213360</xdr:colOff>
      <xdr:row>14</xdr:row>
      <xdr:rowOff>213360</xdr:rowOff>
    </xdr:to>
    <xdr:sp macro="" textlink="">
      <xdr:nvSpPr>
        <xdr:cNvPr id="15" name="Rectangle: Rounded Corners 14">
          <a:extLst>
            <a:ext uri="{FF2B5EF4-FFF2-40B4-BE49-F238E27FC236}">
              <a16:creationId xmlns:a16="http://schemas.microsoft.com/office/drawing/2014/main" id="{EEDE66F6-1D54-44FF-A929-C4839118C855}"/>
            </a:ext>
          </a:extLst>
        </xdr:cNvPr>
        <xdr:cNvSpPr/>
      </xdr:nvSpPr>
      <xdr:spPr>
        <a:xfrm>
          <a:off x="8008620" y="2110740"/>
          <a:ext cx="2567940" cy="990600"/>
        </a:xfrm>
        <a:prstGeom prst="roundRect">
          <a:avLst>
            <a:gd name="adj" fmla="val 6667"/>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106680</xdr:colOff>
      <xdr:row>1</xdr:row>
      <xdr:rowOff>0</xdr:rowOff>
    </xdr:from>
    <xdr:to>
      <xdr:col>4</xdr:col>
      <xdr:colOff>91440</xdr:colOff>
      <xdr:row>5</xdr:row>
      <xdr:rowOff>58049</xdr:rowOff>
    </xdr:to>
    <xdr:pic>
      <xdr:nvPicPr>
        <xdr:cNvPr id="16" name="Picture 15">
          <a:extLst>
            <a:ext uri="{FF2B5EF4-FFF2-40B4-BE49-F238E27FC236}">
              <a16:creationId xmlns:a16="http://schemas.microsoft.com/office/drawing/2014/main" id="{16AC42A0-5F5B-4562-ABBC-6492E9AB387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6708" t="6592" r="4751" b="82667"/>
        <a:stretch>
          <a:fillRect/>
        </a:stretch>
      </xdr:blipFill>
      <xdr:spPr>
        <a:xfrm>
          <a:off x="106680" y="182880"/>
          <a:ext cx="2423160" cy="789569"/>
        </a:xfrm>
        <a:prstGeom prst="rect">
          <a:avLst/>
        </a:prstGeom>
      </xdr:spPr>
    </xdr:pic>
    <xdr:clientData/>
  </xdr:twoCellAnchor>
  <xdr:oneCellAnchor>
    <xdr:from>
      <xdr:col>4</xdr:col>
      <xdr:colOff>316141</xdr:colOff>
      <xdr:row>0</xdr:row>
      <xdr:rowOff>160020</xdr:rowOff>
    </xdr:from>
    <xdr:ext cx="7527830" cy="781111"/>
    <xdr:sp macro="" textlink="">
      <xdr:nvSpPr>
        <xdr:cNvPr id="17" name="TextBox 16">
          <a:extLst>
            <a:ext uri="{FF2B5EF4-FFF2-40B4-BE49-F238E27FC236}">
              <a16:creationId xmlns:a16="http://schemas.microsoft.com/office/drawing/2014/main" id="{41312DC6-6B7D-4D26-8CC4-25EFE9FFD8E4}"/>
            </a:ext>
          </a:extLst>
        </xdr:cNvPr>
        <xdr:cNvSpPr txBox="1"/>
      </xdr:nvSpPr>
      <xdr:spPr>
        <a:xfrm>
          <a:off x="2754541" y="160020"/>
          <a:ext cx="7527830"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rtl="0">
            <a:defRPr sz="2000" b="1" i="0" u="none" strike="noStrike" kern="1200" spc="0" baseline="0">
              <a:solidFill>
                <a:sysClr val="windowText" lastClr="000000">
                  <a:lumMod val="65000"/>
                  <a:lumOff val="35000"/>
                </a:sysClr>
              </a:solidFill>
              <a:latin typeface="+mn-lt"/>
              <a:ea typeface="+mn-ea"/>
              <a:cs typeface="+mn-cs"/>
            </a:defRPr>
          </a:pPr>
          <a:r>
            <a:rPr lang="en-US" sz="4400" b="1" i="0" u="none" strike="noStrike" kern="1200" spc="0" baseline="0">
              <a:solidFill>
                <a:schemeClr val="bg1"/>
              </a:solidFill>
              <a:effectLst>
                <a:glow rad="139700">
                  <a:schemeClr val="accent5">
                    <a:satMod val="175000"/>
                    <a:alpha val="40000"/>
                  </a:schemeClr>
                </a:glow>
              </a:effectLst>
              <a:latin typeface="+mn-lt"/>
              <a:ea typeface="+mn-ea"/>
              <a:cs typeface="+mn-cs"/>
            </a:rPr>
            <a:t>Dynamic Sales Dashboard 2026</a:t>
          </a:r>
        </a:p>
      </xdr:txBody>
    </xdr:sp>
    <xdr:clientData/>
  </xdr:oneCellAnchor>
  <xdr:oneCellAnchor>
    <xdr:from>
      <xdr:col>4</xdr:col>
      <xdr:colOff>327660</xdr:colOff>
      <xdr:row>6</xdr:row>
      <xdr:rowOff>137160</xdr:rowOff>
    </xdr:from>
    <xdr:ext cx="767839" cy="718530"/>
    <xdr:sp macro="" textlink="">
      <xdr:nvSpPr>
        <xdr:cNvPr id="18" name="TextBox 17">
          <a:extLst>
            <a:ext uri="{FF2B5EF4-FFF2-40B4-BE49-F238E27FC236}">
              <a16:creationId xmlns:a16="http://schemas.microsoft.com/office/drawing/2014/main" id="{D3E73F1A-AC17-43F7-A79A-1963B0EAD121}"/>
            </a:ext>
          </a:extLst>
        </xdr:cNvPr>
        <xdr:cNvSpPr txBox="1"/>
      </xdr:nvSpPr>
      <xdr:spPr>
        <a:xfrm>
          <a:off x="2766060" y="1234440"/>
          <a:ext cx="767839"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Sales</a:t>
          </a:r>
        </a:p>
      </xdr:txBody>
    </xdr:sp>
    <xdr:clientData/>
  </xdr:oneCellAnchor>
  <xdr:oneCellAnchor>
    <xdr:from>
      <xdr:col>9</xdr:col>
      <xdr:colOff>7620</xdr:colOff>
      <xdr:row>6</xdr:row>
      <xdr:rowOff>137160</xdr:rowOff>
    </xdr:from>
    <xdr:ext cx="767839" cy="718530"/>
    <xdr:sp macro="" textlink="">
      <xdr:nvSpPr>
        <xdr:cNvPr id="19" name="TextBox 18">
          <a:extLst>
            <a:ext uri="{FF2B5EF4-FFF2-40B4-BE49-F238E27FC236}">
              <a16:creationId xmlns:a16="http://schemas.microsoft.com/office/drawing/2014/main" id="{6C1105D1-73B1-496A-952E-5E6BB338B604}"/>
            </a:ext>
          </a:extLst>
        </xdr:cNvPr>
        <xdr:cNvSpPr txBox="1"/>
      </xdr:nvSpPr>
      <xdr:spPr>
        <a:xfrm>
          <a:off x="5494020" y="1234440"/>
          <a:ext cx="767839"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Cost</a:t>
          </a:r>
        </a:p>
      </xdr:txBody>
    </xdr:sp>
    <xdr:clientData/>
  </xdr:oneCellAnchor>
  <xdr:oneCellAnchor>
    <xdr:from>
      <xdr:col>8</xdr:col>
      <xdr:colOff>586740</xdr:colOff>
      <xdr:row>12</xdr:row>
      <xdr:rowOff>152400</xdr:rowOff>
    </xdr:from>
    <xdr:ext cx="1006750" cy="405432"/>
    <xdr:sp macro="" textlink="">
      <xdr:nvSpPr>
        <xdr:cNvPr id="20" name="TextBox 19">
          <a:extLst>
            <a:ext uri="{FF2B5EF4-FFF2-40B4-BE49-F238E27FC236}">
              <a16:creationId xmlns:a16="http://schemas.microsoft.com/office/drawing/2014/main" id="{34EB99D0-9207-4CBB-845E-26272C37F660}"/>
            </a:ext>
          </a:extLst>
        </xdr:cNvPr>
        <xdr:cNvSpPr txBox="1"/>
      </xdr:nvSpPr>
      <xdr:spPr>
        <a:xfrm>
          <a:off x="5463540" y="2346960"/>
          <a:ext cx="10067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rtl="0">
            <a:defRPr sz="2000" b="1"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Profit %</a:t>
          </a:r>
        </a:p>
      </xdr:txBody>
    </xdr:sp>
    <xdr:clientData/>
  </xdr:oneCellAnchor>
  <xdr:oneCellAnchor>
    <xdr:from>
      <xdr:col>17</xdr:col>
      <xdr:colOff>342900</xdr:colOff>
      <xdr:row>6</xdr:row>
      <xdr:rowOff>137160</xdr:rowOff>
    </xdr:from>
    <xdr:ext cx="791307" cy="718530"/>
    <xdr:sp macro="" textlink="">
      <xdr:nvSpPr>
        <xdr:cNvPr id="21" name="TextBox 20">
          <a:extLst>
            <a:ext uri="{FF2B5EF4-FFF2-40B4-BE49-F238E27FC236}">
              <a16:creationId xmlns:a16="http://schemas.microsoft.com/office/drawing/2014/main" id="{E6EDC801-7CD2-4614-8A85-696AD925D71B}"/>
            </a:ext>
          </a:extLst>
        </xdr:cNvPr>
        <xdr:cNvSpPr txBox="1"/>
      </xdr:nvSpPr>
      <xdr:spPr>
        <a:xfrm>
          <a:off x="10706100" y="1234440"/>
          <a:ext cx="791307"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Order</a:t>
          </a:r>
        </a:p>
      </xdr:txBody>
    </xdr:sp>
    <xdr:clientData/>
  </xdr:oneCellAnchor>
  <xdr:oneCellAnchor>
    <xdr:from>
      <xdr:col>13</xdr:col>
      <xdr:colOff>167640</xdr:colOff>
      <xdr:row>6</xdr:row>
      <xdr:rowOff>144780</xdr:rowOff>
    </xdr:from>
    <xdr:ext cx="767839" cy="718530"/>
    <xdr:sp macro="" textlink="">
      <xdr:nvSpPr>
        <xdr:cNvPr id="22" name="TextBox 21">
          <a:extLst>
            <a:ext uri="{FF2B5EF4-FFF2-40B4-BE49-F238E27FC236}">
              <a16:creationId xmlns:a16="http://schemas.microsoft.com/office/drawing/2014/main" id="{532EC12D-73C9-4CCA-BB63-01C3F357378D}"/>
            </a:ext>
          </a:extLst>
        </xdr:cNvPr>
        <xdr:cNvSpPr txBox="1"/>
      </xdr:nvSpPr>
      <xdr:spPr>
        <a:xfrm>
          <a:off x="8092440" y="1242060"/>
          <a:ext cx="767839"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Profit</a:t>
          </a:r>
        </a:p>
      </xdr:txBody>
    </xdr:sp>
    <xdr:clientData/>
  </xdr:oneCellAnchor>
  <xdr:oneCellAnchor>
    <xdr:from>
      <xdr:col>4</xdr:col>
      <xdr:colOff>297181</xdr:colOff>
      <xdr:row>11</xdr:row>
      <xdr:rowOff>152400</xdr:rowOff>
    </xdr:from>
    <xdr:ext cx="1173480" cy="843885"/>
    <xdr:sp macro="" textlink="">
      <xdr:nvSpPr>
        <xdr:cNvPr id="23" name="TextBox 22">
          <a:extLst>
            <a:ext uri="{FF2B5EF4-FFF2-40B4-BE49-F238E27FC236}">
              <a16:creationId xmlns:a16="http://schemas.microsoft.com/office/drawing/2014/main" id="{CA606762-3960-4C6A-B389-A84BF62CB426}"/>
            </a:ext>
          </a:extLst>
        </xdr:cNvPr>
        <xdr:cNvSpPr txBox="1"/>
      </xdr:nvSpPr>
      <xdr:spPr>
        <a:xfrm>
          <a:off x="2735581" y="2164080"/>
          <a:ext cx="1173480" cy="843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0" u="none" strike="noStrike" kern="1200" spc="0" baseline="0">
              <a:solidFill>
                <a:schemeClr val="bg1"/>
              </a:solidFill>
              <a:effectLst>
                <a:glow rad="139700">
                  <a:schemeClr val="accent5">
                    <a:satMod val="175000"/>
                    <a:alpha val="40000"/>
                  </a:schemeClr>
                </a:glow>
              </a:effectLst>
              <a:latin typeface="+mn-lt"/>
              <a:ea typeface="+mn-ea"/>
              <a:cs typeface="+mn-cs"/>
            </a:rPr>
            <a:t>Average</a:t>
          </a:r>
          <a:r>
            <a:rPr lang="en-US" sz="1600" b="1" baseline="0">
              <a:solidFill>
                <a:schemeClr val="bg1"/>
              </a:solidFill>
            </a:rPr>
            <a:t> </a:t>
          </a:r>
          <a:r>
            <a:rPr lang="en-US" sz="1600" b="1" i="0" u="none" strike="noStrike" kern="1200" spc="0" baseline="0">
              <a:solidFill>
                <a:schemeClr val="bg1"/>
              </a:solidFill>
              <a:effectLst>
                <a:glow rad="139700">
                  <a:schemeClr val="accent5">
                    <a:satMod val="175000"/>
                    <a:alpha val="40000"/>
                  </a:schemeClr>
                </a:glow>
              </a:effectLst>
              <a:latin typeface="+mn-lt"/>
              <a:ea typeface="+mn-ea"/>
              <a:cs typeface="+mn-cs"/>
            </a:rPr>
            <a:t>Order</a:t>
          </a:r>
          <a:r>
            <a:rPr lang="en-US" sz="1600" b="1" baseline="0">
              <a:solidFill>
                <a:schemeClr val="bg1"/>
              </a:solidFill>
            </a:rPr>
            <a:t> </a:t>
          </a:r>
        </a:p>
        <a:p>
          <a:r>
            <a:rPr lang="en-US" sz="1600" b="1" i="0" u="none" strike="noStrike" kern="1200" spc="0" baseline="0">
              <a:solidFill>
                <a:schemeClr val="bg1"/>
              </a:solidFill>
              <a:effectLst>
                <a:glow rad="139700">
                  <a:schemeClr val="accent5">
                    <a:satMod val="175000"/>
                    <a:alpha val="40000"/>
                  </a:schemeClr>
                </a:glow>
              </a:effectLst>
              <a:latin typeface="+mn-lt"/>
              <a:ea typeface="+mn-ea"/>
              <a:cs typeface="+mn-cs"/>
            </a:rPr>
            <a:t>Amount</a:t>
          </a:r>
        </a:p>
      </xdr:txBody>
    </xdr:sp>
    <xdr:clientData/>
  </xdr:oneCellAnchor>
  <xdr:oneCellAnchor>
    <xdr:from>
      <xdr:col>13</xdr:col>
      <xdr:colOff>190500</xdr:colOff>
      <xdr:row>12</xdr:row>
      <xdr:rowOff>7620</xdr:rowOff>
    </xdr:from>
    <xdr:ext cx="1011367" cy="718530"/>
    <xdr:sp macro="" textlink="">
      <xdr:nvSpPr>
        <xdr:cNvPr id="24" name="TextBox 23">
          <a:extLst>
            <a:ext uri="{FF2B5EF4-FFF2-40B4-BE49-F238E27FC236}">
              <a16:creationId xmlns:a16="http://schemas.microsoft.com/office/drawing/2014/main" id="{E411273B-F0D2-4986-9C4F-5FEFD062B51D}"/>
            </a:ext>
          </a:extLst>
        </xdr:cNvPr>
        <xdr:cNvSpPr txBox="1"/>
      </xdr:nvSpPr>
      <xdr:spPr>
        <a:xfrm>
          <a:off x="8115300" y="2202180"/>
          <a:ext cx="1011367"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Total</a:t>
          </a:r>
          <a:r>
            <a:rPr lang="en-US" sz="2000" b="1">
              <a:solidFill>
                <a:schemeClr val="bg1"/>
              </a:solidFill>
            </a:rPr>
            <a:t> </a:t>
          </a:r>
        </a:p>
        <a:p>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Quantiy</a:t>
          </a:r>
        </a:p>
      </xdr:txBody>
    </xdr:sp>
    <xdr:clientData/>
  </xdr:oneCellAnchor>
  <xdr:oneCellAnchor>
    <xdr:from>
      <xdr:col>5</xdr:col>
      <xdr:colOff>495300</xdr:colOff>
      <xdr:row>6</xdr:row>
      <xdr:rowOff>160020</xdr:rowOff>
    </xdr:from>
    <xdr:ext cx="1600200" cy="701040"/>
    <xdr:sp macro="" textlink="Pivot!B6">
      <xdr:nvSpPr>
        <xdr:cNvPr id="25" name="TextBox 24">
          <a:extLst>
            <a:ext uri="{FF2B5EF4-FFF2-40B4-BE49-F238E27FC236}">
              <a16:creationId xmlns:a16="http://schemas.microsoft.com/office/drawing/2014/main" id="{DB9B5EF5-0DC5-4CB8-BF45-5E6B234418C2}"/>
            </a:ext>
          </a:extLst>
        </xdr:cNvPr>
        <xdr:cNvSpPr txBox="1"/>
      </xdr:nvSpPr>
      <xdr:spPr>
        <a:xfrm>
          <a:off x="3543300" y="1257300"/>
          <a:ext cx="16002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D708B73-6650-451E-9CD6-7D43CE395643}" type="TxLink">
            <a:rPr lang="en-US" sz="2000" b="1" i="0" u="none" strike="noStrike">
              <a:solidFill>
                <a:srgbClr val="FFFF00"/>
              </a:solidFill>
              <a:latin typeface="Aptos Narrow"/>
            </a:rPr>
            <a:pPr algn="ctr"/>
            <a:t> 5,682,118.60 </a:t>
          </a:fld>
          <a:endParaRPr lang="en-US" sz="2000" b="1">
            <a:solidFill>
              <a:srgbClr val="FFFF00"/>
            </a:solidFill>
          </a:endParaRPr>
        </a:p>
      </xdr:txBody>
    </xdr:sp>
    <xdr:clientData/>
  </xdr:oneCellAnchor>
  <xdr:oneCellAnchor>
    <xdr:from>
      <xdr:col>10</xdr:col>
      <xdr:colOff>228600</xdr:colOff>
      <xdr:row>6</xdr:row>
      <xdr:rowOff>175260</xdr:rowOff>
    </xdr:from>
    <xdr:ext cx="1524000" cy="701040"/>
    <xdr:sp macro="" textlink="Pivot!C6">
      <xdr:nvSpPr>
        <xdr:cNvPr id="26" name="TextBox 25">
          <a:extLst>
            <a:ext uri="{FF2B5EF4-FFF2-40B4-BE49-F238E27FC236}">
              <a16:creationId xmlns:a16="http://schemas.microsoft.com/office/drawing/2014/main" id="{16C02F3A-5248-4ABB-B147-656BF58832DB}"/>
            </a:ext>
          </a:extLst>
        </xdr:cNvPr>
        <xdr:cNvSpPr txBox="1"/>
      </xdr:nvSpPr>
      <xdr:spPr>
        <a:xfrm>
          <a:off x="6324600" y="127254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558FF79-6AA9-4EB4-AF77-FCE59B9B2EF3}" type="TxLink">
            <a:rPr lang="en-US" sz="1800" b="1" i="0" u="none" strike="noStrike">
              <a:solidFill>
                <a:srgbClr val="FFFF00"/>
              </a:solidFill>
              <a:latin typeface="Aptos Narrow"/>
              <a:ea typeface="+mn-ea"/>
              <a:cs typeface="+mn-cs"/>
            </a:rPr>
            <a:pPr marL="0" indent="0" algn="ctr"/>
            <a:t> 4,440,693.92 </a:t>
          </a:fld>
          <a:endParaRPr lang="en-US" sz="1800" b="1" i="0" u="none" strike="noStrike">
            <a:solidFill>
              <a:srgbClr val="FFFF00"/>
            </a:solidFill>
            <a:latin typeface="Aptos Narrow"/>
            <a:ea typeface="+mn-ea"/>
            <a:cs typeface="+mn-cs"/>
          </a:endParaRPr>
        </a:p>
      </xdr:txBody>
    </xdr:sp>
    <xdr:clientData/>
  </xdr:oneCellAnchor>
  <xdr:twoCellAnchor>
    <xdr:from>
      <xdr:col>4</xdr:col>
      <xdr:colOff>373380</xdr:colOff>
      <xdr:row>17</xdr:row>
      <xdr:rowOff>106680</xdr:rowOff>
    </xdr:from>
    <xdr:to>
      <xdr:col>10</xdr:col>
      <xdr:colOff>388620</xdr:colOff>
      <xdr:row>30</xdr:row>
      <xdr:rowOff>162385</xdr:rowOff>
    </xdr:to>
    <xdr:graphicFrame macro="">
      <xdr:nvGraphicFramePr>
        <xdr:cNvPr id="28" name="Chart 27">
          <a:extLst>
            <a:ext uri="{FF2B5EF4-FFF2-40B4-BE49-F238E27FC236}">
              <a16:creationId xmlns:a16="http://schemas.microsoft.com/office/drawing/2014/main" id="{92ACF61D-50A4-462B-BDD2-0653EF9E9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121920</xdr:colOff>
      <xdr:row>17</xdr:row>
      <xdr:rowOff>30480</xdr:rowOff>
    </xdr:from>
    <xdr:to>
      <xdr:col>17</xdr:col>
      <xdr:colOff>53340</xdr:colOff>
      <xdr:row>31</xdr:row>
      <xdr:rowOff>114300</xdr:rowOff>
    </xdr:to>
    <xdr:graphicFrame macro="">
      <xdr:nvGraphicFramePr>
        <xdr:cNvPr id="29" name="Chart 28">
          <a:extLst>
            <a:ext uri="{FF2B5EF4-FFF2-40B4-BE49-F238E27FC236}">
              <a16:creationId xmlns:a16="http://schemas.microsoft.com/office/drawing/2014/main" id="{068696F5-4EB7-4872-A35B-03A1EA4EB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17</xdr:col>
      <xdr:colOff>388620</xdr:colOff>
      <xdr:row>1</xdr:row>
      <xdr:rowOff>30480</xdr:rowOff>
    </xdr:from>
    <xdr:ext cx="2644140" cy="405432"/>
    <xdr:sp macro="" textlink="">
      <xdr:nvSpPr>
        <xdr:cNvPr id="30" name="TextBox 29">
          <a:extLst>
            <a:ext uri="{FF2B5EF4-FFF2-40B4-BE49-F238E27FC236}">
              <a16:creationId xmlns:a16="http://schemas.microsoft.com/office/drawing/2014/main" id="{CE0A9F0E-ABD3-4AA2-BA43-330B432CBFA0}"/>
            </a:ext>
          </a:extLst>
        </xdr:cNvPr>
        <xdr:cNvSpPr txBox="1"/>
      </xdr:nvSpPr>
      <xdr:spPr>
        <a:xfrm>
          <a:off x="10751820" y="213360"/>
          <a:ext cx="264414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rtl="0">
            <a:defRPr sz="2000" b="1"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chemeClr val="bg1"/>
              </a:solidFill>
              <a:effectLst>
                <a:glow rad="139700">
                  <a:schemeClr val="accent5">
                    <a:satMod val="175000"/>
                    <a:alpha val="40000"/>
                  </a:schemeClr>
                </a:glow>
              </a:effectLst>
              <a:latin typeface="+mn-lt"/>
              <a:ea typeface="+mn-ea"/>
              <a:cs typeface="+mn-cs"/>
            </a:rPr>
            <a:t>Last Updated Date</a:t>
          </a:r>
        </a:p>
      </xdr:txBody>
    </xdr:sp>
    <xdr:clientData/>
  </xdr:oneCellAnchor>
  <xdr:oneCellAnchor>
    <xdr:from>
      <xdr:col>17</xdr:col>
      <xdr:colOff>381000</xdr:colOff>
      <xdr:row>3</xdr:row>
      <xdr:rowOff>30480</xdr:rowOff>
    </xdr:from>
    <xdr:ext cx="2644140" cy="468013"/>
    <xdr:sp macro="" textlink="Pivot!E21">
      <xdr:nvSpPr>
        <xdr:cNvPr id="31" name="TextBox 30">
          <a:extLst>
            <a:ext uri="{FF2B5EF4-FFF2-40B4-BE49-F238E27FC236}">
              <a16:creationId xmlns:a16="http://schemas.microsoft.com/office/drawing/2014/main" id="{628BE90B-0C1A-48AF-B672-CB688808150D}"/>
            </a:ext>
          </a:extLst>
        </xdr:cNvPr>
        <xdr:cNvSpPr txBox="1"/>
      </xdr:nvSpPr>
      <xdr:spPr>
        <a:xfrm>
          <a:off x="10744200" y="579120"/>
          <a:ext cx="264414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CF2B8C2-BE26-48F1-9C1A-BB230605E46D}" type="TxLink">
            <a:rPr lang="en-US" sz="2400" b="1" i="0" u="none" strike="noStrike">
              <a:solidFill>
                <a:srgbClr val="FFFF00"/>
              </a:solidFill>
              <a:latin typeface="Aptos Narrow"/>
            </a:rPr>
            <a:t>23-08-26</a:t>
          </a:fld>
          <a:endParaRPr lang="en-US" sz="4400" b="1">
            <a:solidFill>
              <a:srgbClr val="FFFF00"/>
            </a:solidFill>
          </a:endParaRPr>
        </a:p>
      </xdr:txBody>
    </xdr:sp>
    <xdr:clientData/>
  </xdr:oneCellAnchor>
  <xdr:twoCellAnchor editAs="oneCell">
    <xdr:from>
      <xdr:col>0</xdr:col>
      <xdr:colOff>167640</xdr:colOff>
      <xdr:row>6</xdr:row>
      <xdr:rowOff>137161</xdr:rowOff>
    </xdr:from>
    <xdr:to>
      <xdr:col>4</xdr:col>
      <xdr:colOff>68580</xdr:colOff>
      <xdr:row>13</xdr:row>
      <xdr:rowOff>30481</xdr:rowOff>
    </xdr:to>
    <mc:AlternateContent xmlns:mc="http://schemas.openxmlformats.org/markup-compatibility/2006">
      <mc:Choice xmlns:a14="http://schemas.microsoft.com/office/drawing/2010/main" Requires="a14">
        <xdr:graphicFrame macro="">
          <xdr:nvGraphicFramePr>
            <xdr:cNvPr id="32" name="Segment 1">
              <a:extLst>
                <a:ext uri="{FF2B5EF4-FFF2-40B4-BE49-F238E27FC236}">
                  <a16:creationId xmlns:a16="http://schemas.microsoft.com/office/drawing/2014/main" id="{DB3C4BDF-261A-4568-882D-42E66F05A30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67640" y="1234441"/>
              <a:ext cx="2339340" cy="1356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192864</xdr:colOff>
      <xdr:row>19</xdr:row>
      <xdr:rowOff>167641</xdr:rowOff>
    </xdr:from>
    <xdr:to>
      <xdr:col>4</xdr:col>
      <xdr:colOff>30479</xdr:colOff>
      <xdr:row>24</xdr:row>
      <xdr:rowOff>76201</xdr:rowOff>
    </xdr:to>
    <mc:AlternateContent xmlns:mc="http://schemas.openxmlformats.org/markup-compatibility/2006">
      <mc:Choice xmlns:a14="http://schemas.microsoft.com/office/drawing/2010/main" Requires="a14">
        <xdr:graphicFrame macro="">
          <xdr:nvGraphicFramePr>
            <xdr:cNvPr id="33" name="Channel 1">
              <a:extLst>
                <a:ext uri="{FF2B5EF4-FFF2-40B4-BE49-F238E27FC236}">
                  <a16:creationId xmlns:a16="http://schemas.microsoft.com/office/drawing/2014/main" id="{5E7926C1-BA55-47AB-BACC-131E3B35A6E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92864" y="4693921"/>
              <a:ext cx="227601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185770</xdr:colOff>
      <xdr:row>14</xdr:row>
      <xdr:rowOff>68581</xdr:rowOff>
    </xdr:from>
    <xdr:to>
      <xdr:col>4</xdr:col>
      <xdr:colOff>60960</xdr:colOff>
      <xdr:row>17</xdr:row>
      <xdr:rowOff>76201</xdr:rowOff>
    </xdr:to>
    <mc:AlternateContent xmlns:mc="http://schemas.openxmlformats.org/markup-compatibility/2006">
      <mc:Choice xmlns:a14="http://schemas.microsoft.com/office/drawing/2010/main" Requires="a14">
        <xdr:graphicFrame macro="">
          <xdr:nvGraphicFramePr>
            <xdr:cNvPr id="34" name="Region 1">
              <a:extLst>
                <a:ext uri="{FF2B5EF4-FFF2-40B4-BE49-F238E27FC236}">
                  <a16:creationId xmlns:a16="http://schemas.microsoft.com/office/drawing/2014/main" id="{1EB35BBE-7090-47D4-A451-094C2A1C99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5770" y="2956561"/>
              <a:ext cx="231359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205740</xdr:colOff>
      <xdr:row>27</xdr:row>
      <xdr:rowOff>68580</xdr:rowOff>
    </xdr:from>
    <xdr:to>
      <xdr:col>4</xdr:col>
      <xdr:colOff>7620</xdr:colOff>
      <xdr:row>31</xdr:row>
      <xdr:rowOff>121920</xdr:rowOff>
    </xdr:to>
    <xdr:sp macro="" textlink="">
      <xdr:nvSpPr>
        <xdr:cNvPr id="35" name="Rectangle: Rounded Corners 34">
          <a:extLst>
            <a:ext uri="{FF2B5EF4-FFF2-40B4-BE49-F238E27FC236}">
              <a16:creationId xmlns:a16="http://schemas.microsoft.com/office/drawing/2014/main" id="{9902D992-F2E6-47FF-BD73-9538FCE75AD8}"/>
            </a:ext>
          </a:extLst>
        </xdr:cNvPr>
        <xdr:cNvSpPr/>
      </xdr:nvSpPr>
      <xdr:spPr>
        <a:xfrm>
          <a:off x="205740" y="5006340"/>
          <a:ext cx="224028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FF00"/>
              </a:solidFill>
            </a:rPr>
            <a:t>Prepared By : </a:t>
          </a:r>
        </a:p>
        <a:p>
          <a:pPr algn="l"/>
          <a:r>
            <a:rPr lang="en-US" sz="1800" b="1">
              <a:solidFill>
                <a:srgbClr val="FFFF00"/>
              </a:solidFill>
            </a:rPr>
            <a:t>Batch</a:t>
          </a:r>
          <a:r>
            <a:rPr lang="en-US" sz="1800" b="1" baseline="0">
              <a:solidFill>
                <a:srgbClr val="FFFF00"/>
              </a:solidFill>
            </a:rPr>
            <a:t> 19</a:t>
          </a:r>
          <a:endParaRPr lang="en-US" sz="1050" b="1">
            <a:solidFill>
              <a:srgbClr val="FFFF00"/>
            </a:solidFill>
          </a:endParaRPr>
        </a:p>
      </xdr:txBody>
    </xdr:sp>
    <xdr:clientData/>
  </xdr:twoCellAnchor>
  <xdr:oneCellAnchor>
    <xdr:from>
      <xdr:col>14</xdr:col>
      <xdr:colOff>396240</xdr:colOff>
      <xdr:row>6</xdr:row>
      <xdr:rowOff>152400</xdr:rowOff>
    </xdr:from>
    <xdr:ext cx="1524000" cy="701040"/>
    <xdr:sp macro="" textlink="Pivot!D6">
      <xdr:nvSpPr>
        <xdr:cNvPr id="36" name="TextBox 35">
          <a:extLst>
            <a:ext uri="{FF2B5EF4-FFF2-40B4-BE49-F238E27FC236}">
              <a16:creationId xmlns:a16="http://schemas.microsoft.com/office/drawing/2014/main" id="{29841B1A-C006-433D-B2F1-79C342F98EE4}"/>
            </a:ext>
          </a:extLst>
        </xdr:cNvPr>
        <xdr:cNvSpPr txBox="1"/>
      </xdr:nvSpPr>
      <xdr:spPr>
        <a:xfrm>
          <a:off x="8930640" y="124968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FFEBF7B-F676-402D-A0E8-23705A65DC77}" type="TxLink">
            <a:rPr lang="en-US" sz="1800" b="1" i="0" u="none" strike="noStrike">
              <a:solidFill>
                <a:srgbClr val="FFFF00"/>
              </a:solidFill>
              <a:latin typeface="Aptos Narrow"/>
              <a:ea typeface="+mn-ea"/>
              <a:cs typeface="+mn-cs"/>
            </a:rPr>
            <a:pPr marL="0" indent="0" algn="ctr"/>
            <a:t> 1,241,424.68 </a:t>
          </a:fld>
          <a:endParaRPr lang="en-US" sz="1800" b="1" i="0" u="none" strike="noStrike">
            <a:solidFill>
              <a:srgbClr val="FFFF00"/>
            </a:solidFill>
            <a:latin typeface="Aptos Narrow"/>
            <a:ea typeface="+mn-ea"/>
            <a:cs typeface="+mn-cs"/>
          </a:endParaRPr>
        </a:p>
      </xdr:txBody>
    </xdr:sp>
    <xdr:clientData/>
  </xdr:oneCellAnchor>
  <xdr:oneCellAnchor>
    <xdr:from>
      <xdr:col>18</xdr:col>
      <xdr:colOff>723900</xdr:colOff>
      <xdr:row>6</xdr:row>
      <xdr:rowOff>160020</xdr:rowOff>
    </xdr:from>
    <xdr:ext cx="1524000" cy="701040"/>
    <xdr:sp macro="" textlink="Pivot!F6">
      <xdr:nvSpPr>
        <xdr:cNvPr id="37" name="TextBox 36">
          <a:extLst>
            <a:ext uri="{FF2B5EF4-FFF2-40B4-BE49-F238E27FC236}">
              <a16:creationId xmlns:a16="http://schemas.microsoft.com/office/drawing/2014/main" id="{D97222F6-8349-40B8-BAC7-716BC626CE88}"/>
            </a:ext>
          </a:extLst>
        </xdr:cNvPr>
        <xdr:cNvSpPr txBox="1"/>
      </xdr:nvSpPr>
      <xdr:spPr>
        <a:xfrm>
          <a:off x="11696700" y="125730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8A78979-3A89-415E-85D5-65834C6BE2DF}" type="TxLink">
            <a:rPr lang="en-US" sz="1800" b="1" i="0" u="none" strike="noStrike">
              <a:solidFill>
                <a:srgbClr val="FFFF00"/>
              </a:solidFill>
              <a:latin typeface="Aptos Narrow"/>
              <a:ea typeface="+mn-ea"/>
              <a:cs typeface="+mn-cs"/>
            </a:rPr>
            <a:pPr marL="0" indent="0" algn="ctr"/>
            <a:t> 250.00 </a:t>
          </a:fld>
          <a:endParaRPr lang="en-US" sz="1800" b="1" i="0" u="none" strike="noStrike">
            <a:solidFill>
              <a:srgbClr val="FFFF00"/>
            </a:solidFill>
            <a:latin typeface="Aptos Narrow"/>
            <a:ea typeface="+mn-ea"/>
            <a:cs typeface="+mn-cs"/>
          </a:endParaRPr>
        </a:p>
      </xdr:txBody>
    </xdr:sp>
    <xdr:clientData/>
  </xdr:oneCellAnchor>
  <xdr:oneCellAnchor>
    <xdr:from>
      <xdr:col>14</xdr:col>
      <xdr:colOff>449580</xdr:colOff>
      <xdr:row>12</xdr:row>
      <xdr:rowOff>22860</xdr:rowOff>
    </xdr:from>
    <xdr:ext cx="1524000" cy="701040"/>
    <xdr:sp macro="" textlink="Pivot!H6">
      <xdr:nvSpPr>
        <xdr:cNvPr id="38" name="TextBox 37">
          <a:extLst>
            <a:ext uri="{FF2B5EF4-FFF2-40B4-BE49-F238E27FC236}">
              <a16:creationId xmlns:a16="http://schemas.microsoft.com/office/drawing/2014/main" id="{5BFCB549-A57F-4D7E-B76B-0C6B333F44F7}"/>
            </a:ext>
          </a:extLst>
        </xdr:cNvPr>
        <xdr:cNvSpPr txBox="1"/>
      </xdr:nvSpPr>
      <xdr:spPr>
        <a:xfrm>
          <a:off x="8983980" y="221742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1230800-2BD3-45FC-B059-218447217F2D}" type="TxLink">
            <a:rPr lang="en-US" sz="2000" b="1" i="0" u="none" strike="noStrike">
              <a:solidFill>
                <a:srgbClr val="FFFF00"/>
              </a:solidFill>
              <a:latin typeface="Aptos Narrow"/>
              <a:ea typeface="+mn-ea"/>
              <a:cs typeface="+mn-cs"/>
            </a:rPr>
            <a:pPr marL="0" indent="0" algn="ctr"/>
            <a:t> 2,184.00 </a:t>
          </a:fld>
          <a:endParaRPr lang="en-US" sz="2000" b="1" i="0" u="none" strike="noStrike">
            <a:solidFill>
              <a:srgbClr val="FFFF00"/>
            </a:solidFill>
            <a:latin typeface="Aptos Narrow"/>
            <a:ea typeface="+mn-ea"/>
            <a:cs typeface="+mn-cs"/>
          </a:endParaRPr>
        </a:p>
      </xdr:txBody>
    </xdr:sp>
    <xdr:clientData/>
  </xdr:oneCellAnchor>
  <xdr:oneCellAnchor>
    <xdr:from>
      <xdr:col>10</xdr:col>
      <xdr:colOff>259080</xdr:colOff>
      <xdr:row>12</xdr:row>
      <xdr:rowOff>7620</xdr:rowOff>
    </xdr:from>
    <xdr:ext cx="1524000" cy="701040"/>
    <xdr:sp macro="" textlink="Pivot!E6">
      <xdr:nvSpPr>
        <xdr:cNvPr id="39" name="TextBox 38">
          <a:extLst>
            <a:ext uri="{FF2B5EF4-FFF2-40B4-BE49-F238E27FC236}">
              <a16:creationId xmlns:a16="http://schemas.microsoft.com/office/drawing/2014/main" id="{74B8F2E0-EDB7-459B-8926-02D23F3C886A}"/>
            </a:ext>
          </a:extLst>
        </xdr:cNvPr>
        <xdr:cNvSpPr txBox="1"/>
      </xdr:nvSpPr>
      <xdr:spPr>
        <a:xfrm>
          <a:off x="6355080" y="2202180"/>
          <a:ext cx="15240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FE26A8B-AF9D-40CA-9E6C-21CB133456C8}" type="TxLink">
            <a:rPr lang="en-US" sz="2000" b="1" i="0" u="none" strike="noStrike">
              <a:solidFill>
                <a:srgbClr val="FFFF00"/>
              </a:solidFill>
              <a:latin typeface="Aptos Narrow"/>
              <a:ea typeface="+mn-ea"/>
              <a:cs typeface="+mn-cs"/>
            </a:rPr>
            <a:pPr marL="0" indent="0" algn="ctr"/>
            <a:t>22%</a:t>
          </a:fld>
          <a:endParaRPr lang="en-US" sz="2000" b="1" i="0" u="none" strike="noStrike">
            <a:solidFill>
              <a:srgbClr val="FFFF00"/>
            </a:solidFill>
            <a:latin typeface="Aptos Narrow"/>
            <a:ea typeface="+mn-ea"/>
            <a:cs typeface="+mn-cs"/>
          </a:endParaRPr>
        </a:p>
      </xdr:txBody>
    </xdr:sp>
    <xdr:clientData/>
  </xdr:oneCellAnchor>
  <xdr:oneCellAnchor>
    <xdr:from>
      <xdr:col>5</xdr:col>
      <xdr:colOff>548640</xdr:colOff>
      <xdr:row>11</xdr:row>
      <xdr:rowOff>175260</xdr:rowOff>
    </xdr:from>
    <xdr:ext cx="1600200" cy="701040"/>
    <xdr:sp macro="" textlink="Pivot!G6">
      <xdr:nvSpPr>
        <xdr:cNvPr id="40" name="TextBox 39">
          <a:extLst>
            <a:ext uri="{FF2B5EF4-FFF2-40B4-BE49-F238E27FC236}">
              <a16:creationId xmlns:a16="http://schemas.microsoft.com/office/drawing/2014/main" id="{F450D5E8-16EF-4778-8B27-DC49337BA282}"/>
            </a:ext>
          </a:extLst>
        </xdr:cNvPr>
        <xdr:cNvSpPr txBox="1"/>
      </xdr:nvSpPr>
      <xdr:spPr>
        <a:xfrm>
          <a:off x="3596640" y="2186940"/>
          <a:ext cx="16002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CBC31B6D-DA53-49F7-A547-7A7ACD1F81F4}" type="TxLink">
            <a:rPr lang="en-US" sz="2000" b="1" i="0" u="none" strike="noStrike">
              <a:solidFill>
                <a:srgbClr val="FFFF00"/>
              </a:solidFill>
              <a:latin typeface="Aptos Narrow"/>
              <a:ea typeface="+mn-ea"/>
              <a:cs typeface="+mn-cs"/>
            </a:rPr>
            <a:pPr marL="0" indent="0" algn="ctr"/>
            <a:t> 22,728.47 </a:t>
          </a:fld>
          <a:endParaRPr lang="en-US" sz="2000" b="1" i="0" u="none" strike="noStrike">
            <a:solidFill>
              <a:srgbClr val="FFFF00"/>
            </a:solidFill>
            <a:latin typeface="Aptos Narrow"/>
            <a:ea typeface="+mn-ea"/>
            <a:cs typeface="+mn-cs"/>
          </a:endParaRPr>
        </a:p>
      </xdr:txBody>
    </xdr:sp>
    <xdr:clientData/>
  </xdr:oneCellAnchor>
  <xdr:twoCellAnchor>
    <xdr:from>
      <xdr:col>17</xdr:col>
      <xdr:colOff>518160</xdr:colOff>
      <xdr:row>11</xdr:row>
      <xdr:rowOff>83820</xdr:rowOff>
    </xdr:from>
    <xdr:to>
      <xdr:col>20</xdr:col>
      <xdr:colOff>60960</xdr:colOff>
      <xdr:row>22</xdr:row>
      <xdr:rowOff>83820</xdr:rowOff>
    </xdr:to>
    <xdr:sp macro="" textlink="">
      <xdr:nvSpPr>
        <xdr:cNvPr id="41" name="Rectangle: Rounded Corners 40">
          <a:extLst>
            <a:ext uri="{FF2B5EF4-FFF2-40B4-BE49-F238E27FC236}">
              <a16:creationId xmlns:a16="http://schemas.microsoft.com/office/drawing/2014/main" id="{9D92DEA8-DAFC-A382-F99F-41B1CFE6E563}"/>
            </a:ext>
          </a:extLst>
        </xdr:cNvPr>
        <xdr:cNvSpPr/>
      </xdr:nvSpPr>
      <xdr:spPr>
        <a:xfrm>
          <a:off x="10881360" y="2095500"/>
          <a:ext cx="2491740" cy="3169920"/>
        </a:xfrm>
        <a:prstGeom prst="roundRect">
          <a:avLst>
            <a:gd name="adj" fmla="val 2263"/>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UD" refreshedDate="46257.948306481485" createdVersion="5" refreshedVersion="8" minRefreshableVersion="3" recordCount="0" supportSubquery="1" supportAdvancedDrill="1" xr:uid="{E3BB219B-4C98-4791-8239-AFBB9911546E}">
  <cacheSource type="external" connectionId="5"/>
  <cacheFields count="8">
    <cacheField name="[Measures].[Total Sales]" caption="Total Sales" numFmtId="0" hierarchy="23" level="32767"/>
    <cacheField name="[Measures].[Total Cost]" caption="Total Cost" numFmtId="0" hierarchy="24" level="32767"/>
    <cacheField name="[Measures].[Gross Profit]" caption="Gross Profit" numFmtId="0" hierarchy="25" level="32767"/>
    <cacheField name="[Measures].[Profit %]" caption="Profit %" numFmtId="0" hierarchy="26" level="32767"/>
    <cacheField name="[Measures].[Orders]" caption="Orders" numFmtId="0" hierarchy="27" level="32767"/>
    <cacheField name="[Measures].[Average Order Value]" caption="Average Order Value" numFmtId="0" hierarchy="28" level="32767"/>
    <cacheField name="[Measures].[Sum of Quantity]" caption="Sum of Quantity" numFmtId="0" hierarchy="35" level="32767"/>
    <cacheField name="[_04_Stores].[Channel].[Channel]" caption="Channel" numFmtId="0" hierarchy="17" level="1">
      <sharedItems containsSemiMixedTypes="0" containsNonDate="0" containsString="0"/>
    </cacheField>
  </cacheFields>
  <cacheHierarchies count="36">
    <cacheHierarchy uniqueName="[_01_Sales].[OrderID]" caption="OrderID" attribute="1" defaultMemberUniqueName="[_01_Sales].[OrderID].[All]" allUniqueName="[_01_Sales].[OrderID].[All]" dimensionUniqueName="[_01_Sales]" displayFolder="" count="0" memberValueDatatype="130" unbalanced="0"/>
    <cacheHierarchy uniqueName="[_01_Sales].[OrderDate]" caption="OrderDate" attribute="1" time="1" defaultMemberUniqueName="[_01_Sales].[OrderDate].[All]" allUniqueName="[_01_Sales].[OrderDate].[All]" dimensionUniqueName="[_01_Sales]" displayFolder="" count="0" memberValueDatatype="7" unbalanced="0"/>
    <cacheHierarchy uniqueName="[_01_Sales].[CustomerID]" caption="CustomerID" attribute="1" defaultMemberUniqueName="[_01_Sales].[CustomerID].[All]" allUniqueName="[_01_Sales].[CustomerID].[All]" dimensionUniqueName="[_01_Sales]" displayFolder="" count="0" memberValueDatatype="130" unbalanced="0"/>
    <cacheHierarchy uniqueName="[_01_Sales].[ProductID]" caption="ProductID" attribute="1" defaultMemberUniqueName="[_01_Sales].[ProductID].[All]" allUniqueName="[_01_Sales].[ProductID].[All]" dimensionUniqueName="[_01_Sales]" displayFolder="" count="0" memberValueDatatype="130" unbalanced="0"/>
    <cacheHierarchy uniqueName="[_01_Sales].[StoreID]" caption="StoreID" attribute="1" defaultMemberUniqueName="[_01_Sales].[StoreID].[All]" allUniqueName="[_01_Sales].[StoreID].[All]" dimensionUniqueName="[_01_Sales]" displayFolder="" count="0" memberValueDatatype="130" unbalanced="0"/>
    <cacheHierarchy uniqueName="[_01_Sales].[Quantity]" caption="Quantity" attribute="1" defaultMemberUniqueName="[_01_Sales].[Quantity].[All]" allUniqueName="[_01_Sales].[Quantity].[All]" dimensionUniqueName="[_01_Sales]" displayFolder="" count="0" memberValueDatatype="20" unbalanced="0"/>
    <cacheHierarchy uniqueName="[_01_Sales].[UnitPrice]" caption="UnitPrice" attribute="1" defaultMemberUniqueName="[_01_Sales].[UnitPrice].[All]" allUniqueName="[_01_Sales].[UnitPrice].[All]" dimensionUniqueName="[_01_Sales]" displayFolder="" count="0" memberValueDatatype="20" unbalanced="0"/>
    <cacheHierarchy uniqueName="[_01_Sales].[DiscountPct]" caption="DiscountPct" attribute="1" defaultMemberUniqueName="[_01_Sales].[DiscountPct].[All]" allUniqueName="[_01_Sales].[DiscountPct].[All]" dimensionUniqueName="[_01_Sales]" displayFolder="" count="0" memberValueDatatype="5" unbalanced="0"/>
    <cacheHierarchy uniqueName="[_01_Sales].[SalesAmount]" caption="SalesAmount" attribute="1" defaultMemberUniqueName="[_01_Sales].[SalesAmount].[All]" allUniqueName="[_01_Sales].[SalesAmount].[All]" dimensionUniqueName="[_01_Sales]" displayFolder="" count="0" memberValueDatatype="5" unbalanced="0"/>
    <cacheHierarchy uniqueName="[_01_Sales].[CostAmount]" caption="CostAmount" attribute="1" defaultMemberUniqueName="[_01_Sales].[CostAmount].[All]" allUniqueName="[_01_Sales].[CostAmount].[All]" dimensionUniqueName="[_01_Sales]" displayFolder="" count="0" memberValueDatatype="5" unbalanced="0"/>
    <cacheHierarchy uniqueName="[_02_Customers].[CustomerID]" caption="CustomerID" attribute="1" defaultMemberUniqueName="[_02_Customers].[CustomerID].[All]" allUniqueName="[_02_Customers].[CustomerID].[All]" dimensionUniqueName="[_02_Customers]" displayFolder="" count="0" memberValueDatatype="130" unbalanced="0"/>
    <cacheHierarchy uniqueName="[_02_Customers].[CustomerName]" caption="CustomerName" attribute="1" defaultMemberUniqueName="[_02_Customers].[CustomerName].[All]" allUniqueName="[_02_Customers].[CustomerName].[All]" dimensionUniqueName="[_02_Customers]" displayFolder="" count="0" memberValueDatatype="130" unbalanced="0"/>
    <cacheHierarchy uniqueName="[_02_Customers].[City]" caption="City" attribute="1" defaultMemberUniqueName="[_02_Customers].[City].[All]" allUniqueName="[_02_Customers].[City].[All]" dimensionUniqueName="[_02_Customers]" displayFolder="" count="0" memberValueDatatype="130" unbalanced="0"/>
    <cacheHierarchy uniqueName="[_02_Customers].[Segment]" caption="Segment" attribute="1" defaultMemberUniqueName="[_02_Customers].[Segment].[All]" allUniqueName="[_02_Customers].[Segment].[All]" dimensionUniqueName="[_02_Customers]" displayFolder="" count="2" memberValueDatatype="130" unbalanced="0"/>
    <cacheHierarchy uniqueName="[_04_Stores].[StoreID]" caption="StoreID" attribute="1" defaultMemberUniqueName="[_04_Stores].[StoreID].[All]" allUniqueName="[_04_Stores].[StoreID].[All]" dimensionUniqueName="[_04_Stores]" displayFolder="" count="0" memberValueDatatype="130" unbalanced="0"/>
    <cacheHierarchy uniqueName="[_04_Stores].[StoreName]" caption="StoreName" attribute="1" defaultMemberUniqueName="[_04_Stores].[StoreName].[All]" allUniqueName="[_04_Stores].[StoreName].[All]" dimensionUniqueName="[_04_Stores]" displayFolder="" count="0" memberValueDatatype="130" unbalanced="0"/>
    <cacheHierarchy uniqueName="[_04_Stores].[Region]" caption="Region" attribute="1" defaultMemberUniqueName="[_04_Stores].[Region].[All]" allUniqueName="[_04_Stores].[Region].[All]" dimensionUniqueName="[_04_Stores]" displayFolder="" count="2" memberValueDatatype="130" unbalanced="0"/>
    <cacheHierarchy uniqueName="[_04_Stores].[Channel]" caption="Channel" attribute="1" defaultMemberUniqueName="[_04_Stores].[Channel].[All]" allUniqueName="[_04_Stores].[Channel].[All]" dimensionUniqueName="[_04_Stores]" displayFolder="" count="2" memberValueDatatype="130" unbalanced="0">
      <fieldsUsage count="2">
        <fieldUsage x="-1"/>
        <fieldUsage x="7"/>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Measures].[Total Sales]" caption="Total Sales" measure="1" displayFolder="" measureGroup="_01_Sales" count="0" oneField="1">
      <fieldsUsage count="1">
        <fieldUsage x="0"/>
      </fieldsUsage>
    </cacheHierarchy>
    <cacheHierarchy uniqueName="[Measures].[Total Cost]" caption="Total Cost" measure="1" displayFolder="" measureGroup="_01_Sales" count="0" oneField="1">
      <fieldsUsage count="1">
        <fieldUsage x="1"/>
      </fieldsUsage>
    </cacheHierarchy>
    <cacheHierarchy uniqueName="[Measures].[Gross Profit]" caption="Gross Profit" measure="1" displayFolder="" measureGroup="_01_Sales" count="0" oneField="1">
      <fieldsUsage count="1">
        <fieldUsage x="2"/>
      </fieldsUsage>
    </cacheHierarchy>
    <cacheHierarchy uniqueName="[Measures].[Profit %]" caption="Profit %" measure="1" displayFolder="" measureGroup="_01_Sales" count="0" oneField="1">
      <fieldsUsage count="1">
        <fieldUsage x="3"/>
      </fieldsUsage>
    </cacheHierarchy>
    <cacheHierarchy uniqueName="[Measures].[Orders]" caption="Orders" measure="1" displayFolder="" measureGroup="_01_Sales" count="0" oneField="1">
      <fieldsUsage count="1">
        <fieldUsage x="4"/>
      </fieldsUsage>
    </cacheHierarchy>
    <cacheHierarchy uniqueName="[Measures].[Average Order Value]" caption="Average Order Value" measure="1" displayFolder="" measureGroup="_01_Sales" count="0" oneField="1">
      <fieldsUsage count="1">
        <fieldUsage x="5"/>
      </fieldsUsage>
    </cacheHierarchy>
    <cacheHierarchy uniqueName="[Measures].[__XL_Count _01_Sales]" caption="__XL_Count _01_Sales" measure="1" displayFolder="" measureGroup="_01_Sales" count="0" hidden="1"/>
    <cacheHierarchy uniqueName="[Measures].[__XL_Count _02_Customers]" caption="__XL_Count _02_Customers" measure="1" displayFolder="" measureGroup="_02_Customers" count="0" hidden="1"/>
    <cacheHierarchy uniqueName="[Measures].[__XL_Count Products]" caption="__XL_Count Products" measure="1" displayFolder="" measureGroup="Products" count="0" hidden="1"/>
    <cacheHierarchy uniqueName="[Measures].[__XL_Count _04_Stores]" caption="__XL_Count _04_Stores" measure="1" displayFolder="" measureGroup="_04_Stores" count="0" hidden="1"/>
    <cacheHierarchy uniqueName="[Measures].[__No measures defined]" caption="__No measures defined" measure="1" displayFolder="" count="0" hidden="1"/>
    <cacheHierarchy uniqueName="[Measures].[Sum of SalesAmount]" caption="Sum of SalesAmount" measure="1" displayFolder="" measureGroup="_01_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_01_Sales" count="0" oneField="1" hidden="1">
      <fieldsUsage count="1">
        <fieldUsage x="6"/>
      </fieldsUsage>
      <extLst>
        <ext xmlns:x15="http://schemas.microsoft.com/office/spreadsheetml/2010/11/main" uri="{B97F6D7D-B522-45F9-BDA1-12C45D357490}">
          <x15:cacheHierarchy aggregatedColumn="5"/>
        </ext>
      </extLst>
    </cacheHierarchy>
  </cacheHierarchies>
  <kpis count="0"/>
  <dimensions count="5">
    <dimension name="_01_Sales" uniqueName="[_01_Sales]" caption="_01_Sales"/>
    <dimension name="_02_Customers" uniqueName="[_02_Customers]" caption="_02_Customers"/>
    <dimension name="_04_Stores" uniqueName="[_04_Stores]" caption="_04_Stores"/>
    <dimension measure="1" name="Measures" uniqueName="[Measures]" caption="Measures"/>
    <dimension name="Products" uniqueName="[Products]" caption="Products"/>
  </dimensions>
  <measureGroups count="4">
    <measureGroup name="_01_Sales" caption="_01_Sales"/>
    <measureGroup name="_02_Customers" caption="_02_Customers"/>
    <measureGroup name="_04_Stores" caption="_04_Stores"/>
    <measureGroup name="Products" caption="Products"/>
  </measureGroups>
  <maps count="7">
    <map measureGroup="0" dimension="0"/>
    <map measureGroup="0" dimension="1"/>
    <map measureGroup="0" dimension="2"/>
    <map measureGroup="0" dimension="4"/>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UD" refreshedDate="46257.948307060185" createdVersion="5" refreshedVersion="8" minRefreshableVersion="3" recordCount="0" supportSubquery="1" supportAdvancedDrill="1" xr:uid="{473FF80A-D0FC-42C7-A53C-B6BFE24AA7AC}">
  <cacheSource type="external" connectionId="5"/>
  <cacheFields count="3">
    <cacheField name="[Measures].[Total Sales]" caption="Total Sales" numFmtId="0" hierarchy="23" level="32767"/>
    <cacheField name="[Products].[Category].[Category]" caption="Category" numFmtId="0" hierarchy="20" level="1">
      <sharedItems count="2">
        <s v="Appliance"/>
        <s v="LPG"/>
      </sharedItems>
    </cacheField>
    <cacheField name="[_04_Stores].[Channel].[Channel]" caption="Channel" numFmtId="0" hierarchy="17" level="1">
      <sharedItems containsSemiMixedTypes="0" containsNonDate="0" containsString="0"/>
    </cacheField>
  </cacheFields>
  <cacheHierarchies count="36">
    <cacheHierarchy uniqueName="[_01_Sales].[OrderID]" caption="OrderID" attribute="1" defaultMemberUniqueName="[_01_Sales].[OrderID].[All]" allUniqueName="[_01_Sales].[OrderID].[All]" dimensionUniqueName="[_01_Sales]" displayFolder="" count="0" memberValueDatatype="130" unbalanced="0"/>
    <cacheHierarchy uniqueName="[_01_Sales].[OrderDate]" caption="OrderDate" attribute="1" time="1" defaultMemberUniqueName="[_01_Sales].[OrderDate].[All]" allUniqueName="[_01_Sales].[OrderDate].[All]" dimensionUniqueName="[_01_Sales]" displayFolder="" count="0" memberValueDatatype="7" unbalanced="0"/>
    <cacheHierarchy uniqueName="[_01_Sales].[CustomerID]" caption="CustomerID" attribute="1" defaultMemberUniqueName="[_01_Sales].[CustomerID].[All]" allUniqueName="[_01_Sales].[CustomerID].[All]" dimensionUniqueName="[_01_Sales]" displayFolder="" count="0" memberValueDatatype="130" unbalanced="0"/>
    <cacheHierarchy uniqueName="[_01_Sales].[ProductID]" caption="ProductID" attribute="1" defaultMemberUniqueName="[_01_Sales].[ProductID].[All]" allUniqueName="[_01_Sales].[ProductID].[All]" dimensionUniqueName="[_01_Sales]" displayFolder="" count="0" memberValueDatatype="130" unbalanced="0"/>
    <cacheHierarchy uniqueName="[_01_Sales].[StoreID]" caption="StoreID" attribute="1" defaultMemberUniqueName="[_01_Sales].[StoreID].[All]" allUniqueName="[_01_Sales].[StoreID].[All]" dimensionUniqueName="[_01_Sales]" displayFolder="" count="0" memberValueDatatype="130" unbalanced="0"/>
    <cacheHierarchy uniqueName="[_01_Sales].[Quantity]" caption="Quantity" attribute="1" defaultMemberUniqueName="[_01_Sales].[Quantity].[All]" allUniqueName="[_01_Sales].[Quantity].[All]" dimensionUniqueName="[_01_Sales]" displayFolder="" count="0" memberValueDatatype="20" unbalanced="0"/>
    <cacheHierarchy uniqueName="[_01_Sales].[UnitPrice]" caption="UnitPrice" attribute="1" defaultMemberUniqueName="[_01_Sales].[UnitPrice].[All]" allUniqueName="[_01_Sales].[UnitPrice].[All]" dimensionUniqueName="[_01_Sales]" displayFolder="" count="0" memberValueDatatype="20" unbalanced="0"/>
    <cacheHierarchy uniqueName="[_01_Sales].[DiscountPct]" caption="DiscountPct" attribute="1" defaultMemberUniqueName="[_01_Sales].[DiscountPct].[All]" allUniqueName="[_01_Sales].[DiscountPct].[All]" dimensionUniqueName="[_01_Sales]" displayFolder="" count="0" memberValueDatatype="5" unbalanced="0"/>
    <cacheHierarchy uniqueName="[_01_Sales].[SalesAmount]" caption="SalesAmount" attribute="1" defaultMemberUniqueName="[_01_Sales].[SalesAmount].[All]" allUniqueName="[_01_Sales].[SalesAmount].[All]" dimensionUniqueName="[_01_Sales]" displayFolder="" count="0" memberValueDatatype="5" unbalanced="0"/>
    <cacheHierarchy uniqueName="[_01_Sales].[CostAmount]" caption="CostAmount" attribute="1" defaultMemberUniqueName="[_01_Sales].[CostAmount].[All]" allUniqueName="[_01_Sales].[CostAmount].[All]" dimensionUniqueName="[_01_Sales]" displayFolder="" count="0" memberValueDatatype="5" unbalanced="0"/>
    <cacheHierarchy uniqueName="[_02_Customers].[CustomerID]" caption="CustomerID" attribute="1" defaultMemberUniqueName="[_02_Customers].[CustomerID].[All]" allUniqueName="[_02_Customers].[CustomerID].[All]" dimensionUniqueName="[_02_Customers]" displayFolder="" count="0" memberValueDatatype="130" unbalanced="0"/>
    <cacheHierarchy uniqueName="[_02_Customers].[CustomerName]" caption="CustomerName" attribute="1" defaultMemberUniqueName="[_02_Customers].[CustomerName].[All]" allUniqueName="[_02_Customers].[CustomerName].[All]" dimensionUniqueName="[_02_Customers]" displayFolder="" count="0" memberValueDatatype="130" unbalanced="0"/>
    <cacheHierarchy uniqueName="[_02_Customers].[City]" caption="City" attribute="1" defaultMemberUniqueName="[_02_Customers].[City].[All]" allUniqueName="[_02_Customers].[City].[All]" dimensionUniqueName="[_02_Customers]" displayFolder="" count="0" memberValueDatatype="130" unbalanced="0"/>
    <cacheHierarchy uniqueName="[_02_Customers].[Segment]" caption="Segment" attribute="1" defaultMemberUniqueName="[_02_Customers].[Segment].[All]" allUniqueName="[_02_Customers].[Segment].[All]" dimensionUniqueName="[_02_Customers]" displayFolder="" count="2" memberValueDatatype="130" unbalanced="0"/>
    <cacheHierarchy uniqueName="[_04_Stores].[StoreID]" caption="StoreID" attribute="1" defaultMemberUniqueName="[_04_Stores].[StoreID].[All]" allUniqueName="[_04_Stores].[StoreID].[All]" dimensionUniqueName="[_04_Stores]" displayFolder="" count="0" memberValueDatatype="130" unbalanced="0"/>
    <cacheHierarchy uniqueName="[_04_Stores].[StoreName]" caption="StoreName" attribute="1" defaultMemberUniqueName="[_04_Stores].[StoreName].[All]" allUniqueName="[_04_Stores].[StoreName].[All]" dimensionUniqueName="[_04_Stores]" displayFolder="" count="0" memberValueDatatype="130" unbalanced="0"/>
    <cacheHierarchy uniqueName="[_04_Stores].[Region]" caption="Region" attribute="1" defaultMemberUniqueName="[_04_Stores].[Region].[All]" allUniqueName="[_04_Stores].[Region].[All]" dimensionUniqueName="[_04_Stores]" displayFolder="" count="2" memberValueDatatype="130" unbalanced="0"/>
    <cacheHierarchy uniqueName="[_04_Stores].[Channel]" caption="Channel" attribute="1" defaultMemberUniqueName="[_04_Stores].[Channel].[All]" allUniqueName="[_04_Stores].[Channel].[All]" dimensionUniqueName="[_04_Store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Measures].[Total Sales]" caption="Total Sales" measure="1" displayFolder="" measureGroup="_01_Sales" count="0" oneField="1">
      <fieldsUsage count="1">
        <fieldUsage x="0"/>
      </fieldsUsage>
    </cacheHierarchy>
    <cacheHierarchy uniqueName="[Measures].[Total Cost]" caption="Total Cost" measure="1" displayFolder="" measureGroup="_01_Sales" count="0"/>
    <cacheHierarchy uniqueName="[Measures].[Gross Profit]" caption="Gross Profit" measure="1" displayFolder="" measureGroup="_01_Sales" count="0"/>
    <cacheHierarchy uniqueName="[Measures].[Profit %]" caption="Profit %" measure="1" displayFolder="" measureGroup="_01_Sales" count="0"/>
    <cacheHierarchy uniqueName="[Measures].[Orders]" caption="Orders" measure="1" displayFolder="" measureGroup="_01_Sales" count="0"/>
    <cacheHierarchy uniqueName="[Measures].[Average Order Value]" caption="Average Order Value" measure="1" displayFolder="" measureGroup="_01_Sales" count="0"/>
    <cacheHierarchy uniqueName="[Measures].[__XL_Count _01_Sales]" caption="__XL_Count _01_Sales" measure="1" displayFolder="" measureGroup="_01_Sales" count="0" hidden="1"/>
    <cacheHierarchy uniqueName="[Measures].[__XL_Count _02_Customers]" caption="__XL_Count _02_Customers" measure="1" displayFolder="" measureGroup="_02_Customers" count="0" hidden="1"/>
    <cacheHierarchy uniqueName="[Measures].[__XL_Count Products]" caption="__XL_Count Products" measure="1" displayFolder="" measureGroup="Products" count="0" hidden="1"/>
    <cacheHierarchy uniqueName="[Measures].[__XL_Count _04_Stores]" caption="__XL_Count _04_Stores" measure="1" displayFolder="" measureGroup="_04_Stores" count="0" hidden="1"/>
    <cacheHierarchy uniqueName="[Measures].[__No measures defined]" caption="__No measures defined" measure="1" displayFolder="" count="0" hidden="1"/>
    <cacheHierarchy uniqueName="[Measures].[Sum of SalesAmount]" caption="Sum of SalesAmount" measure="1" displayFolder="" measureGroup="_01_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_01_Sales" count="0" hidden="1">
      <extLst>
        <ext xmlns:x15="http://schemas.microsoft.com/office/spreadsheetml/2010/11/main" uri="{B97F6D7D-B522-45F9-BDA1-12C45D357490}">
          <x15:cacheHierarchy aggregatedColumn="5"/>
        </ext>
      </extLst>
    </cacheHierarchy>
  </cacheHierarchies>
  <kpis count="0"/>
  <dimensions count="5">
    <dimension name="_01_Sales" uniqueName="[_01_Sales]" caption="_01_Sales"/>
    <dimension name="_02_Customers" uniqueName="[_02_Customers]" caption="_02_Customers"/>
    <dimension name="_04_Stores" uniqueName="[_04_Stores]" caption="_04_Stores"/>
    <dimension measure="1" name="Measures" uniqueName="[Measures]" caption="Measures"/>
    <dimension name="Products" uniqueName="[Products]" caption="Products"/>
  </dimensions>
  <measureGroups count="4">
    <measureGroup name="_01_Sales" caption="_01_Sales"/>
    <measureGroup name="_02_Customers" caption="_02_Customers"/>
    <measureGroup name="_04_Stores" caption="_04_Stores"/>
    <measureGroup name="Products" caption="Products"/>
  </measureGroups>
  <maps count="7">
    <map measureGroup="0" dimension="0"/>
    <map measureGroup="0" dimension="1"/>
    <map measureGroup="0" dimension="2"/>
    <map measureGroup="0" dimension="4"/>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UD" refreshedDate="46257.948307638886" createdVersion="5" refreshedVersion="8" minRefreshableVersion="3" recordCount="0" supportSubquery="1" supportAdvancedDrill="1" xr:uid="{112CA49A-9AD1-43AF-966B-69CD404752D8}">
  <cacheSource type="external" connectionId="5"/>
  <cacheFields count="3">
    <cacheField name="[Measures].[Profit %]" caption="Profit %" numFmtId="0" hierarchy="26" level="32767"/>
    <cacheField name="[_02_Customers].[City].[City]" caption="City" numFmtId="0" hierarchy="12" level="1">
      <sharedItems count="8">
        <s v="Chattogram"/>
        <s v="Cumilla"/>
        <s v="Dhaka"/>
        <s v="Gazipur"/>
        <s v="Khulna"/>
        <s v="Narayanganj"/>
        <s v="Rajshahi"/>
        <s v="Sylhet"/>
      </sharedItems>
    </cacheField>
    <cacheField name="[_04_Stores].[Channel].[Channel]" caption="Channel" numFmtId="0" hierarchy="17" level="1">
      <sharedItems containsSemiMixedTypes="0" containsNonDate="0" containsString="0"/>
    </cacheField>
  </cacheFields>
  <cacheHierarchies count="36">
    <cacheHierarchy uniqueName="[_01_Sales].[OrderID]" caption="OrderID" attribute="1" defaultMemberUniqueName="[_01_Sales].[OrderID].[All]" allUniqueName="[_01_Sales].[OrderID].[All]" dimensionUniqueName="[_01_Sales]" displayFolder="" count="0" memberValueDatatype="130" unbalanced="0"/>
    <cacheHierarchy uniqueName="[_01_Sales].[OrderDate]" caption="OrderDate" attribute="1" time="1" defaultMemberUniqueName="[_01_Sales].[OrderDate].[All]" allUniqueName="[_01_Sales].[OrderDate].[All]" dimensionUniqueName="[_01_Sales]" displayFolder="" count="0" memberValueDatatype="7" unbalanced="0"/>
    <cacheHierarchy uniqueName="[_01_Sales].[CustomerID]" caption="CustomerID" attribute="1" defaultMemberUniqueName="[_01_Sales].[CustomerID].[All]" allUniqueName="[_01_Sales].[CustomerID].[All]" dimensionUniqueName="[_01_Sales]" displayFolder="" count="0" memberValueDatatype="130" unbalanced="0"/>
    <cacheHierarchy uniqueName="[_01_Sales].[ProductID]" caption="ProductID" attribute="1" defaultMemberUniqueName="[_01_Sales].[ProductID].[All]" allUniqueName="[_01_Sales].[ProductID].[All]" dimensionUniqueName="[_01_Sales]" displayFolder="" count="0" memberValueDatatype="130" unbalanced="0"/>
    <cacheHierarchy uniqueName="[_01_Sales].[StoreID]" caption="StoreID" attribute="1" defaultMemberUniqueName="[_01_Sales].[StoreID].[All]" allUniqueName="[_01_Sales].[StoreID].[All]" dimensionUniqueName="[_01_Sales]" displayFolder="" count="0" memberValueDatatype="130" unbalanced="0"/>
    <cacheHierarchy uniqueName="[_01_Sales].[Quantity]" caption="Quantity" attribute="1" defaultMemberUniqueName="[_01_Sales].[Quantity].[All]" allUniqueName="[_01_Sales].[Quantity].[All]" dimensionUniqueName="[_01_Sales]" displayFolder="" count="0" memberValueDatatype="20" unbalanced="0"/>
    <cacheHierarchy uniqueName="[_01_Sales].[UnitPrice]" caption="UnitPrice" attribute="1" defaultMemberUniqueName="[_01_Sales].[UnitPrice].[All]" allUniqueName="[_01_Sales].[UnitPrice].[All]" dimensionUniqueName="[_01_Sales]" displayFolder="" count="0" memberValueDatatype="20" unbalanced="0"/>
    <cacheHierarchy uniqueName="[_01_Sales].[DiscountPct]" caption="DiscountPct" attribute="1" defaultMemberUniqueName="[_01_Sales].[DiscountPct].[All]" allUniqueName="[_01_Sales].[DiscountPct].[All]" dimensionUniqueName="[_01_Sales]" displayFolder="" count="0" memberValueDatatype="5" unbalanced="0"/>
    <cacheHierarchy uniqueName="[_01_Sales].[SalesAmount]" caption="SalesAmount" attribute="1" defaultMemberUniqueName="[_01_Sales].[SalesAmount].[All]" allUniqueName="[_01_Sales].[SalesAmount].[All]" dimensionUniqueName="[_01_Sales]" displayFolder="" count="0" memberValueDatatype="5" unbalanced="0"/>
    <cacheHierarchy uniqueName="[_01_Sales].[CostAmount]" caption="CostAmount" attribute="1" defaultMemberUniqueName="[_01_Sales].[CostAmount].[All]" allUniqueName="[_01_Sales].[CostAmount].[All]" dimensionUniqueName="[_01_Sales]" displayFolder="" count="0" memberValueDatatype="5" unbalanced="0"/>
    <cacheHierarchy uniqueName="[_02_Customers].[CustomerID]" caption="CustomerID" attribute="1" defaultMemberUniqueName="[_02_Customers].[CustomerID].[All]" allUniqueName="[_02_Customers].[CustomerID].[All]" dimensionUniqueName="[_02_Customers]" displayFolder="" count="0" memberValueDatatype="130" unbalanced="0"/>
    <cacheHierarchy uniqueName="[_02_Customers].[CustomerName]" caption="CustomerName" attribute="1" defaultMemberUniqueName="[_02_Customers].[CustomerName].[All]" allUniqueName="[_02_Customers].[CustomerName].[All]" dimensionUniqueName="[_02_Customers]" displayFolder="" count="0" memberValueDatatype="130" unbalanced="0"/>
    <cacheHierarchy uniqueName="[_02_Customers].[City]" caption="City" attribute="1" defaultMemberUniqueName="[_02_Customers].[City].[All]" allUniqueName="[_02_Customers].[City].[All]" dimensionUniqueName="[_02_Customers]" displayFolder="" count="2" memberValueDatatype="130" unbalanced="0">
      <fieldsUsage count="2">
        <fieldUsage x="-1"/>
        <fieldUsage x="1"/>
      </fieldsUsage>
    </cacheHierarchy>
    <cacheHierarchy uniqueName="[_02_Customers].[Segment]" caption="Segment" attribute="1" defaultMemberUniqueName="[_02_Customers].[Segment].[All]" allUniqueName="[_02_Customers].[Segment].[All]" dimensionUniqueName="[_02_Customers]" displayFolder="" count="2" memberValueDatatype="130" unbalanced="0"/>
    <cacheHierarchy uniqueName="[_04_Stores].[StoreID]" caption="StoreID" attribute="1" defaultMemberUniqueName="[_04_Stores].[StoreID].[All]" allUniqueName="[_04_Stores].[StoreID].[All]" dimensionUniqueName="[_04_Stores]" displayFolder="" count="0" memberValueDatatype="130" unbalanced="0"/>
    <cacheHierarchy uniqueName="[_04_Stores].[StoreName]" caption="StoreName" attribute="1" defaultMemberUniqueName="[_04_Stores].[StoreName].[All]" allUniqueName="[_04_Stores].[StoreName].[All]" dimensionUniqueName="[_04_Stores]" displayFolder="" count="0" memberValueDatatype="130" unbalanced="0"/>
    <cacheHierarchy uniqueName="[_04_Stores].[Region]" caption="Region" attribute="1" defaultMemberUniqueName="[_04_Stores].[Region].[All]" allUniqueName="[_04_Stores].[Region].[All]" dimensionUniqueName="[_04_Stores]" displayFolder="" count="2" memberValueDatatype="130" unbalanced="0"/>
    <cacheHierarchy uniqueName="[_04_Stores].[Channel]" caption="Channel" attribute="1" defaultMemberUniqueName="[_04_Stores].[Channel].[All]" allUniqueName="[_04_Stores].[Channel].[All]" dimensionUniqueName="[_04_Store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Measures].[Total Sales]" caption="Total Sales" measure="1" displayFolder="" measureGroup="_01_Sales" count="0"/>
    <cacheHierarchy uniqueName="[Measures].[Total Cost]" caption="Total Cost" measure="1" displayFolder="" measureGroup="_01_Sales" count="0"/>
    <cacheHierarchy uniqueName="[Measures].[Gross Profit]" caption="Gross Profit" measure="1" displayFolder="" measureGroup="_01_Sales" count="0"/>
    <cacheHierarchy uniqueName="[Measures].[Profit %]" caption="Profit %" measure="1" displayFolder="" measureGroup="_01_Sales" count="0" oneField="1">
      <fieldsUsage count="1">
        <fieldUsage x="0"/>
      </fieldsUsage>
    </cacheHierarchy>
    <cacheHierarchy uniqueName="[Measures].[Orders]" caption="Orders" measure="1" displayFolder="" measureGroup="_01_Sales" count="0"/>
    <cacheHierarchy uniqueName="[Measures].[Average Order Value]" caption="Average Order Value" measure="1" displayFolder="" measureGroup="_01_Sales" count="0"/>
    <cacheHierarchy uniqueName="[Measures].[__XL_Count _01_Sales]" caption="__XL_Count _01_Sales" measure="1" displayFolder="" measureGroup="_01_Sales" count="0" hidden="1"/>
    <cacheHierarchy uniqueName="[Measures].[__XL_Count _02_Customers]" caption="__XL_Count _02_Customers" measure="1" displayFolder="" measureGroup="_02_Customers" count="0" hidden="1"/>
    <cacheHierarchy uniqueName="[Measures].[__XL_Count Products]" caption="__XL_Count Products" measure="1" displayFolder="" measureGroup="Products" count="0" hidden="1"/>
    <cacheHierarchy uniqueName="[Measures].[__XL_Count _04_Stores]" caption="__XL_Count _04_Stores" measure="1" displayFolder="" measureGroup="_04_Stores" count="0" hidden="1"/>
    <cacheHierarchy uniqueName="[Measures].[__No measures defined]" caption="__No measures defined" measure="1" displayFolder="" count="0" hidden="1"/>
    <cacheHierarchy uniqueName="[Measures].[Sum of SalesAmount]" caption="Sum of SalesAmount" measure="1" displayFolder="" measureGroup="_01_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_01_Sales" count="0" hidden="1">
      <extLst>
        <ext xmlns:x15="http://schemas.microsoft.com/office/spreadsheetml/2010/11/main" uri="{B97F6D7D-B522-45F9-BDA1-12C45D357490}">
          <x15:cacheHierarchy aggregatedColumn="5"/>
        </ext>
      </extLst>
    </cacheHierarchy>
  </cacheHierarchies>
  <kpis count="0"/>
  <dimensions count="5">
    <dimension name="_01_Sales" uniqueName="[_01_Sales]" caption="_01_Sales"/>
    <dimension name="_02_Customers" uniqueName="[_02_Customers]" caption="_02_Customers"/>
    <dimension name="_04_Stores" uniqueName="[_04_Stores]" caption="_04_Stores"/>
    <dimension measure="1" name="Measures" uniqueName="[Measures]" caption="Measures"/>
    <dimension name="Products" uniqueName="[Products]" caption="Products"/>
  </dimensions>
  <measureGroups count="4">
    <measureGroup name="_01_Sales" caption="_01_Sales"/>
    <measureGroup name="_02_Customers" caption="_02_Customers"/>
    <measureGroup name="_04_Stores" caption="_04_Stores"/>
    <measureGroup name="Products" caption="Products"/>
  </measureGroups>
  <maps count="7">
    <map measureGroup="0" dimension="0"/>
    <map measureGroup="0" dimension="1"/>
    <map measureGroup="0" dimension="2"/>
    <map measureGroup="0" dimension="4"/>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UD" refreshedDate="46257.948308333333" createdVersion="5" refreshedVersion="8" minRefreshableVersion="3" recordCount="0" supportSubquery="1" supportAdvancedDrill="1" xr:uid="{D43F6159-47AB-4F02-86D6-D3A7F105879A}">
  <cacheSource type="external" connectionId="5"/>
  <cacheFields count="3">
    <cacheField name="[_04_Stores].[Region].[Region]" caption="Region" numFmtId="0" hierarchy="16" level="1">
      <sharedItems count="5">
        <s v="Central"/>
        <s v="East"/>
        <s v="North"/>
        <s v="South"/>
        <s v="West"/>
      </sharedItems>
    </cacheField>
    <cacheField name="[Measures].[Total Sales]" caption="Total Sales" numFmtId="0" hierarchy="23" level="32767"/>
    <cacheField name="[_04_Stores].[Channel].[Channel]" caption="Channel" numFmtId="0" hierarchy="17" level="1">
      <sharedItems containsSemiMixedTypes="0" containsNonDate="0" containsString="0"/>
    </cacheField>
  </cacheFields>
  <cacheHierarchies count="36">
    <cacheHierarchy uniqueName="[_01_Sales].[OrderID]" caption="OrderID" attribute="1" defaultMemberUniqueName="[_01_Sales].[OrderID].[All]" allUniqueName="[_01_Sales].[OrderID].[All]" dimensionUniqueName="[_01_Sales]" displayFolder="" count="0" memberValueDatatype="130" unbalanced="0"/>
    <cacheHierarchy uniqueName="[_01_Sales].[OrderDate]" caption="OrderDate" attribute="1" time="1" defaultMemberUniqueName="[_01_Sales].[OrderDate].[All]" allUniqueName="[_01_Sales].[OrderDate].[All]" dimensionUniqueName="[_01_Sales]" displayFolder="" count="0" memberValueDatatype="7" unbalanced="0"/>
    <cacheHierarchy uniqueName="[_01_Sales].[CustomerID]" caption="CustomerID" attribute="1" defaultMemberUniqueName="[_01_Sales].[CustomerID].[All]" allUniqueName="[_01_Sales].[CustomerID].[All]" dimensionUniqueName="[_01_Sales]" displayFolder="" count="0" memberValueDatatype="130" unbalanced="0"/>
    <cacheHierarchy uniqueName="[_01_Sales].[ProductID]" caption="ProductID" attribute="1" defaultMemberUniqueName="[_01_Sales].[ProductID].[All]" allUniqueName="[_01_Sales].[ProductID].[All]" dimensionUniqueName="[_01_Sales]" displayFolder="" count="0" memberValueDatatype="130" unbalanced="0"/>
    <cacheHierarchy uniqueName="[_01_Sales].[StoreID]" caption="StoreID" attribute="1" defaultMemberUniqueName="[_01_Sales].[StoreID].[All]" allUniqueName="[_01_Sales].[StoreID].[All]" dimensionUniqueName="[_01_Sales]" displayFolder="" count="0" memberValueDatatype="130" unbalanced="0"/>
    <cacheHierarchy uniqueName="[_01_Sales].[Quantity]" caption="Quantity" attribute="1" defaultMemberUniqueName="[_01_Sales].[Quantity].[All]" allUniqueName="[_01_Sales].[Quantity].[All]" dimensionUniqueName="[_01_Sales]" displayFolder="" count="0" memberValueDatatype="20" unbalanced="0"/>
    <cacheHierarchy uniqueName="[_01_Sales].[UnitPrice]" caption="UnitPrice" attribute="1" defaultMemberUniqueName="[_01_Sales].[UnitPrice].[All]" allUniqueName="[_01_Sales].[UnitPrice].[All]" dimensionUniqueName="[_01_Sales]" displayFolder="" count="0" memberValueDatatype="20" unbalanced="0"/>
    <cacheHierarchy uniqueName="[_01_Sales].[DiscountPct]" caption="DiscountPct" attribute="1" defaultMemberUniqueName="[_01_Sales].[DiscountPct].[All]" allUniqueName="[_01_Sales].[DiscountPct].[All]" dimensionUniqueName="[_01_Sales]" displayFolder="" count="0" memberValueDatatype="5" unbalanced="0"/>
    <cacheHierarchy uniqueName="[_01_Sales].[SalesAmount]" caption="SalesAmount" attribute="1" defaultMemberUniqueName="[_01_Sales].[SalesAmount].[All]" allUniqueName="[_01_Sales].[SalesAmount].[All]" dimensionUniqueName="[_01_Sales]" displayFolder="" count="0" memberValueDatatype="5" unbalanced="0"/>
    <cacheHierarchy uniqueName="[_01_Sales].[CostAmount]" caption="CostAmount" attribute="1" defaultMemberUniqueName="[_01_Sales].[CostAmount].[All]" allUniqueName="[_01_Sales].[CostAmount].[All]" dimensionUniqueName="[_01_Sales]" displayFolder="" count="0" memberValueDatatype="5" unbalanced="0"/>
    <cacheHierarchy uniqueName="[_02_Customers].[CustomerID]" caption="CustomerID" attribute="1" defaultMemberUniqueName="[_02_Customers].[CustomerID].[All]" allUniqueName="[_02_Customers].[CustomerID].[All]" dimensionUniqueName="[_02_Customers]" displayFolder="" count="0" memberValueDatatype="130" unbalanced="0"/>
    <cacheHierarchy uniqueName="[_02_Customers].[CustomerName]" caption="CustomerName" attribute="1" defaultMemberUniqueName="[_02_Customers].[CustomerName].[All]" allUniqueName="[_02_Customers].[CustomerName].[All]" dimensionUniqueName="[_02_Customers]" displayFolder="" count="0" memberValueDatatype="130" unbalanced="0"/>
    <cacheHierarchy uniqueName="[_02_Customers].[City]" caption="City" attribute="1" defaultMemberUniqueName="[_02_Customers].[City].[All]" allUniqueName="[_02_Customers].[City].[All]" dimensionUniqueName="[_02_Customers]" displayFolder="" count="0" memberValueDatatype="130" unbalanced="0"/>
    <cacheHierarchy uniqueName="[_02_Customers].[Segment]" caption="Segment" attribute="1" defaultMemberUniqueName="[_02_Customers].[Segment].[All]" allUniqueName="[_02_Customers].[Segment].[All]" dimensionUniqueName="[_02_Customers]" displayFolder="" count="2" memberValueDatatype="130" unbalanced="0"/>
    <cacheHierarchy uniqueName="[_04_Stores].[StoreID]" caption="StoreID" attribute="1" defaultMemberUniqueName="[_04_Stores].[StoreID].[All]" allUniqueName="[_04_Stores].[StoreID].[All]" dimensionUniqueName="[_04_Stores]" displayFolder="" count="0" memberValueDatatype="130" unbalanced="0"/>
    <cacheHierarchy uniqueName="[_04_Stores].[StoreName]" caption="StoreName" attribute="1" defaultMemberUniqueName="[_04_Stores].[StoreName].[All]" allUniqueName="[_04_Stores].[StoreName].[All]" dimensionUniqueName="[_04_Stores]" displayFolder="" count="0" memberValueDatatype="130" unbalanced="0"/>
    <cacheHierarchy uniqueName="[_04_Stores].[Region]" caption="Region" attribute="1" defaultMemberUniqueName="[_04_Stores].[Region].[All]" allUniqueName="[_04_Stores].[Region].[All]" dimensionUniqueName="[_04_Stores]" displayFolder="" count="2" memberValueDatatype="130" unbalanced="0">
      <fieldsUsage count="2">
        <fieldUsage x="-1"/>
        <fieldUsage x="0"/>
      </fieldsUsage>
    </cacheHierarchy>
    <cacheHierarchy uniqueName="[_04_Stores].[Channel]" caption="Channel" attribute="1" defaultMemberUniqueName="[_04_Stores].[Channel].[All]" allUniqueName="[_04_Stores].[Channel].[All]" dimensionUniqueName="[_04_Store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Measures].[Total Sales]" caption="Total Sales" measure="1" displayFolder="" measureGroup="_01_Sales" count="0" oneField="1">
      <fieldsUsage count="1">
        <fieldUsage x="1"/>
      </fieldsUsage>
    </cacheHierarchy>
    <cacheHierarchy uniqueName="[Measures].[Total Cost]" caption="Total Cost" measure="1" displayFolder="" measureGroup="_01_Sales" count="0"/>
    <cacheHierarchy uniqueName="[Measures].[Gross Profit]" caption="Gross Profit" measure="1" displayFolder="" measureGroup="_01_Sales" count="0"/>
    <cacheHierarchy uniqueName="[Measures].[Profit %]" caption="Profit %" measure="1" displayFolder="" measureGroup="_01_Sales" count="0"/>
    <cacheHierarchy uniqueName="[Measures].[Orders]" caption="Orders" measure="1" displayFolder="" measureGroup="_01_Sales" count="0"/>
    <cacheHierarchy uniqueName="[Measures].[Average Order Value]" caption="Average Order Value" measure="1" displayFolder="" measureGroup="_01_Sales" count="0"/>
    <cacheHierarchy uniqueName="[Measures].[__XL_Count _01_Sales]" caption="__XL_Count _01_Sales" measure="1" displayFolder="" measureGroup="_01_Sales" count="0" hidden="1"/>
    <cacheHierarchy uniqueName="[Measures].[__XL_Count _02_Customers]" caption="__XL_Count _02_Customers" measure="1" displayFolder="" measureGroup="_02_Customers" count="0" hidden="1"/>
    <cacheHierarchy uniqueName="[Measures].[__XL_Count Products]" caption="__XL_Count Products" measure="1" displayFolder="" measureGroup="Products" count="0" hidden="1"/>
    <cacheHierarchy uniqueName="[Measures].[__XL_Count _04_Stores]" caption="__XL_Count _04_Stores" measure="1" displayFolder="" measureGroup="_04_Stores" count="0" hidden="1"/>
    <cacheHierarchy uniqueName="[Measures].[__No measures defined]" caption="__No measures defined" measure="1" displayFolder="" count="0" hidden="1"/>
    <cacheHierarchy uniqueName="[Measures].[Sum of SalesAmount]" caption="Sum of SalesAmount" measure="1" displayFolder="" measureGroup="_01_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_01_Sales" count="0" hidden="1">
      <extLst>
        <ext xmlns:x15="http://schemas.microsoft.com/office/spreadsheetml/2010/11/main" uri="{B97F6D7D-B522-45F9-BDA1-12C45D357490}">
          <x15:cacheHierarchy aggregatedColumn="5"/>
        </ext>
      </extLst>
    </cacheHierarchy>
  </cacheHierarchies>
  <kpis count="0"/>
  <dimensions count="5">
    <dimension name="_01_Sales" uniqueName="[_01_Sales]" caption="_01_Sales"/>
    <dimension name="_02_Customers" uniqueName="[_02_Customers]" caption="_02_Customers"/>
    <dimension name="_04_Stores" uniqueName="[_04_Stores]" caption="_04_Stores"/>
    <dimension measure="1" name="Measures" uniqueName="[Measures]" caption="Measures"/>
    <dimension name="Products" uniqueName="[Products]" caption="Products"/>
  </dimensions>
  <measureGroups count="4">
    <measureGroup name="_01_Sales" caption="_01_Sales"/>
    <measureGroup name="_02_Customers" caption="_02_Customers"/>
    <measureGroup name="_04_Stores" caption="_04_Stores"/>
    <measureGroup name="Products" caption="Products"/>
  </measureGroups>
  <maps count="7">
    <map measureGroup="0" dimension="0"/>
    <map measureGroup="0" dimension="1"/>
    <map measureGroup="0" dimension="2"/>
    <map measureGroup="0" dimension="4"/>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UD" refreshedDate="46257.948309027779" createdVersion="5" refreshedVersion="8" minRefreshableVersion="3" recordCount="0" supportSubquery="1" supportAdvancedDrill="1" xr:uid="{B1D0C241-957A-40AF-80AE-79F91464BD8D}">
  <cacheSource type="external" connectionId="5"/>
  <cacheFields count="3">
    <cacheField name="[Measures].[Total Sales]" caption="Total Sales" numFmtId="0" hierarchy="23" level="32767"/>
    <cacheField name="[Products].[SubCategory].[SubCategory]" caption="SubCategory" numFmtId="0" hierarchy="21" level="1">
      <sharedItems count="3">
        <s v="Cylinder"/>
        <s v="Equipment"/>
        <s v="Refill"/>
      </sharedItems>
    </cacheField>
    <cacheField name="[_04_Stores].[Channel].[Channel]" caption="Channel" numFmtId="0" hierarchy="17" level="1">
      <sharedItems containsSemiMixedTypes="0" containsNonDate="0" containsString="0"/>
    </cacheField>
  </cacheFields>
  <cacheHierarchies count="36">
    <cacheHierarchy uniqueName="[_01_Sales].[OrderID]" caption="OrderID" attribute="1" defaultMemberUniqueName="[_01_Sales].[OrderID].[All]" allUniqueName="[_01_Sales].[OrderID].[All]" dimensionUniqueName="[_01_Sales]" displayFolder="" count="0" memberValueDatatype="130" unbalanced="0"/>
    <cacheHierarchy uniqueName="[_01_Sales].[OrderDate]" caption="OrderDate" attribute="1" time="1" defaultMemberUniqueName="[_01_Sales].[OrderDate].[All]" allUniqueName="[_01_Sales].[OrderDate].[All]" dimensionUniqueName="[_01_Sales]" displayFolder="" count="0" memberValueDatatype="7" unbalanced="0"/>
    <cacheHierarchy uniqueName="[_01_Sales].[CustomerID]" caption="CustomerID" attribute="1" defaultMemberUniqueName="[_01_Sales].[CustomerID].[All]" allUniqueName="[_01_Sales].[CustomerID].[All]" dimensionUniqueName="[_01_Sales]" displayFolder="" count="0" memberValueDatatype="130" unbalanced="0"/>
    <cacheHierarchy uniqueName="[_01_Sales].[ProductID]" caption="ProductID" attribute="1" defaultMemberUniqueName="[_01_Sales].[ProductID].[All]" allUniqueName="[_01_Sales].[ProductID].[All]" dimensionUniqueName="[_01_Sales]" displayFolder="" count="0" memberValueDatatype="130" unbalanced="0"/>
    <cacheHierarchy uniqueName="[_01_Sales].[StoreID]" caption="StoreID" attribute="1" defaultMemberUniqueName="[_01_Sales].[StoreID].[All]" allUniqueName="[_01_Sales].[StoreID].[All]" dimensionUniqueName="[_01_Sales]" displayFolder="" count="0" memberValueDatatype="130" unbalanced="0"/>
    <cacheHierarchy uniqueName="[_01_Sales].[Quantity]" caption="Quantity" attribute="1" defaultMemberUniqueName="[_01_Sales].[Quantity].[All]" allUniqueName="[_01_Sales].[Quantity].[All]" dimensionUniqueName="[_01_Sales]" displayFolder="" count="0" memberValueDatatype="20" unbalanced="0"/>
    <cacheHierarchy uniqueName="[_01_Sales].[UnitPrice]" caption="UnitPrice" attribute="1" defaultMemberUniqueName="[_01_Sales].[UnitPrice].[All]" allUniqueName="[_01_Sales].[UnitPrice].[All]" dimensionUniqueName="[_01_Sales]" displayFolder="" count="0" memberValueDatatype="20" unbalanced="0"/>
    <cacheHierarchy uniqueName="[_01_Sales].[DiscountPct]" caption="DiscountPct" attribute="1" defaultMemberUniqueName="[_01_Sales].[DiscountPct].[All]" allUniqueName="[_01_Sales].[DiscountPct].[All]" dimensionUniqueName="[_01_Sales]" displayFolder="" count="0" memberValueDatatype="5" unbalanced="0"/>
    <cacheHierarchy uniqueName="[_01_Sales].[SalesAmount]" caption="SalesAmount" attribute="1" defaultMemberUniqueName="[_01_Sales].[SalesAmount].[All]" allUniqueName="[_01_Sales].[SalesAmount].[All]" dimensionUniqueName="[_01_Sales]" displayFolder="" count="0" memberValueDatatype="5" unbalanced="0"/>
    <cacheHierarchy uniqueName="[_01_Sales].[CostAmount]" caption="CostAmount" attribute="1" defaultMemberUniqueName="[_01_Sales].[CostAmount].[All]" allUniqueName="[_01_Sales].[CostAmount].[All]" dimensionUniqueName="[_01_Sales]" displayFolder="" count="0" memberValueDatatype="5" unbalanced="0"/>
    <cacheHierarchy uniqueName="[_02_Customers].[CustomerID]" caption="CustomerID" attribute="1" defaultMemberUniqueName="[_02_Customers].[CustomerID].[All]" allUniqueName="[_02_Customers].[CustomerID].[All]" dimensionUniqueName="[_02_Customers]" displayFolder="" count="0" memberValueDatatype="130" unbalanced="0"/>
    <cacheHierarchy uniqueName="[_02_Customers].[CustomerName]" caption="CustomerName" attribute="1" defaultMemberUniqueName="[_02_Customers].[CustomerName].[All]" allUniqueName="[_02_Customers].[CustomerName].[All]" dimensionUniqueName="[_02_Customers]" displayFolder="" count="0" memberValueDatatype="130" unbalanced="0"/>
    <cacheHierarchy uniqueName="[_02_Customers].[City]" caption="City" attribute="1" defaultMemberUniqueName="[_02_Customers].[City].[All]" allUniqueName="[_02_Customers].[City].[All]" dimensionUniqueName="[_02_Customers]" displayFolder="" count="0" memberValueDatatype="130" unbalanced="0"/>
    <cacheHierarchy uniqueName="[_02_Customers].[Segment]" caption="Segment" attribute="1" defaultMemberUniqueName="[_02_Customers].[Segment].[All]" allUniqueName="[_02_Customers].[Segment].[All]" dimensionUniqueName="[_02_Customers]" displayFolder="" count="2" memberValueDatatype="130" unbalanced="0"/>
    <cacheHierarchy uniqueName="[_04_Stores].[StoreID]" caption="StoreID" attribute="1" defaultMemberUniqueName="[_04_Stores].[StoreID].[All]" allUniqueName="[_04_Stores].[StoreID].[All]" dimensionUniqueName="[_04_Stores]" displayFolder="" count="0" memberValueDatatype="130" unbalanced="0"/>
    <cacheHierarchy uniqueName="[_04_Stores].[StoreName]" caption="StoreName" attribute="1" defaultMemberUniqueName="[_04_Stores].[StoreName].[All]" allUniqueName="[_04_Stores].[StoreName].[All]" dimensionUniqueName="[_04_Stores]" displayFolder="" count="0" memberValueDatatype="130" unbalanced="0"/>
    <cacheHierarchy uniqueName="[_04_Stores].[Region]" caption="Region" attribute="1" defaultMemberUniqueName="[_04_Stores].[Region].[All]" allUniqueName="[_04_Stores].[Region].[All]" dimensionUniqueName="[_04_Stores]" displayFolder="" count="2" memberValueDatatype="130" unbalanced="0"/>
    <cacheHierarchy uniqueName="[_04_Stores].[Channel]" caption="Channel" attribute="1" defaultMemberUniqueName="[_04_Stores].[Channel].[All]" allUniqueName="[_04_Stores].[Channel].[All]" dimensionUniqueName="[_04_Store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1"/>
      </fieldsUsage>
    </cacheHierarchy>
    <cacheHierarchy uniqueName="[Products].[UnitPrice]" caption="UnitPrice" attribute="1" defaultMemberUniqueName="[Products].[UnitPrice].[All]" allUniqueName="[Products].[UnitPrice].[All]" dimensionUniqueName="[Products]" displayFolder="" count="0" memberValueDatatype="20" unbalanced="0"/>
    <cacheHierarchy uniqueName="[Measures].[Total Sales]" caption="Total Sales" measure="1" displayFolder="" measureGroup="_01_Sales" count="0" oneField="1">
      <fieldsUsage count="1">
        <fieldUsage x="0"/>
      </fieldsUsage>
    </cacheHierarchy>
    <cacheHierarchy uniqueName="[Measures].[Total Cost]" caption="Total Cost" measure="1" displayFolder="" measureGroup="_01_Sales" count="0"/>
    <cacheHierarchy uniqueName="[Measures].[Gross Profit]" caption="Gross Profit" measure="1" displayFolder="" measureGroup="_01_Sales" count="0"/>
    <cacheHierarchy uniqueName="[Measures].[Profit %]" caption="Profit %" measure="1" displayFolder="" measureGroup="_01_Sales" count="0"/>
    <cacheHierarchy uniqueName="[Measures].[Orders]" caption="Orders" measure="1" displayFolder="" measureGroup="_01_Sales" count="0"/>
    <cacheHierarchy uniqueName="[Measures].[Average Order Value]" caption="Average Order Value" measure="1" displayFolder="" measureGroup="_01_Sales" count="0"/>
    <cacheHierarchy uniqueName="[Measures].[__XL_Count _01_Sales]" caption="__XL_Count _01_Sales" measure="1" displayFolder="" measureGroup="_01_Sales" count="0" hidden="1"/>
    <cacheHierarchy uniqueName="[Measures].[__XL_Count _02_Customers]" caption="__XL_Count _02_Customers" measure="1" displayFolder="" measureGroup="_02_Customers" count="0" hidden="1"/>
    <cacheHierarchy uniqueName="[Measures].[__XL_Count Products]" caption="__XL_Count Products" measure="1" displayFolder="" measureGroup="Products" count="0" hidden="1"/>
    <cacheHierarchy uniqueName="[Measures].[__XL_Count _04_Stores]" caption="__XL_Count _04_Stores" measure="1" displayFolder="" measureGroup="_04_Stores" count="0" hidden="1"/>
    <cacheHierarchy uniqueName="[Measures].[__No measures defined]" caption="__No measures defined" measure="1" displayFolder="" count="0" hidden="1"/>
    <cacheHierarchy uniqueName="[Measures].[Sum of SalesAmount]" caption="Sum of SalesAmount" measure="1" displayFolder="" measureGroup="_01_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_01_Sales" count="0" hidden="1">
      <extLst>
        <ext xmlns:x15="http://schemas.microsoft.com/office/spreadsheetml/2010/11/main" uri="{B97F6D7D-B522-45F9-BDA1-12C45D357490}">
          <x15:cacheHierarchy aggregatedColumn="5"/>
        </ext>
      </extLst>
    </cacheHierarchy>
  </cacheHierarchies>
  <kpis count="0"/>
  <dimensions count="5">
    <dimension name="_01_Sales" uniqueName="[_01_Sales]" caption="_01_Sales"/>
    <dimension name="_02_Customers" uniqueName="[_02_Customers]" caption="_02_Customers"/>
    <dimension name="_04_Stores" uniqueName="[_04_Stores]" caption="_04_Stores"/>
    <dimension measure="1" name="Measures" uniqueName="[Measures]" caption="Measures"/>
    <dimension name="Products" uniqueName="[Products]" caption="Products"/>
  </dimensions>
  <measureGroups count="4">
    <measureGroup name="_01_Sales" caption="_01_Sales"/>
    <measureGroup name="_02_Customers" caption="_02_Customers"/>
    <measureGroup name="_04_Stores" caption="_04_Stores"/>
    <measureGroup name="Products" caption="Products"/>
  </measureGroups>
  <maps count="7">
    <map measureGroup="0" dimension="0"/>
    <map measureGroup="0" dimension="1"/>
    <map measureGroup="0" dimension="2"/>
    <map measureGroup="0" dimension="4"/>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UD" refreshedDate="46257.948309837964" createdVersion="5" refreshedVersion="8" minRefreshableVersion="3" recordCount="0" supportSubquery="1" supportAdvancedDrill="1" xr:uid="{8F336721-0F59-401A-86A9-80294D28086C}">
  <cacheSource type="external" connectionId="5"/>
  <cacheFields count="3">
    <cacheField name="[Measures].[Profit %]" caption="Profit %" numFmtId="0" hierarchy="26" level="32767"/>
    <cacheField name="[_02_Customers].[City].[City]" caption="City" numFmtId="0" hierarchy="12" level="1">
      <sharedItems count="8">
        <s v="Chattogram"/>
        <s v="Cumilla"/>
        <s v="Dhaka"/>
        <s v="Gazipur"/>
        <s v="Khulna"/>
        <s v="Narayanganj"/>
        <s v="Rajshahi"/>
        <s v="Sylhet"/>
      </sharedItems>
    </cacheField>
    <cacheField name="[_04_Stores].[Channel].[Channel]" caption="Channel" numFmtId="0" hierarchy="17" level="1">
      <sharedItems containsSemiMixedTypes="0" containsNonDate="0" containsString="0"/>
    </cacheField>
  </cacheFields>
  <cacheHierarchies count="36">
    <cacheHierarchy uniqueName="[_01_Sales].[OrderID]" caption="OrderID" attribute="1" defaultMemberUniqueName="[_01_Sales].[OrderID].[All]" allUniqueName="[_01_Sales].[OrderID].[All]" dimensionUniqueName="[_01_Sales]" displayFolder="" count="0" memberValueDatatype="130" unbalanced="0"/>
    <cacheHierarchy uniqueName="[_01_Sales].[OrderDate]" caption="OrderDate" attribute="1" time="1" defaultMemberUniqueName="[_01_Sales].[OrderDate].[All]" allUniqueName="[_01_Sales].[OrderDate].[All]" dimensionUniqueName="[_01_Sales]" displayFolder="" count="0" memberValueDatatype="7" unbalanced="0"/>
    <cacheHierarchy uniqueName="[_01_Sales].[CustomerID]" caption="CustomerID" attribute="1" defaultMemberUniqueName="[_01_Sales].[CustomerID].[All]" allUniqueName="[_01_Sales].[CustomerID].[All]" dimensionUniqueName="[_01_Sales]" displayFolder="" count="0" memberValueDatatype="130" unbalanced="0"/>
    <cacheHierarchy uniqueName="[_01_Sales].[ProductID]" caption="ProductID" attribute="1" defaultMemberUniqueName="[_01_Sales].[ProductID].[All]" allUniqueName="[_01_Sales].[ProductID].[All]" dimensionUniqueName="[_01_Sales]" displayFolder="" count="0" memberValueDatatype="130" unbalanced="0"/>
    <cacheHierarchy uniqueName="[_01_Sales].[StoreID]" caption="StoreID" attribute="1" defaultMemberUniqueName="[_01_Sales].[StoreID].[All]" allUniqueName="[_01_Sales].[StoreID].[All]" dimensionUniqueName="[_01_Sales]" displayFolder="" count="0" memberValueDatatype="130" unbalanced="0"/>
    <cacheHierarchy uniqueName="[_01_Sales].[Quantity]" caption="Quantity" attribute="1" defaultMemberUniqueName="[_01_Sales].[Quantity].[All]" allUniqueName="[_01_Sales].[Quantity].[All]" dimensionUniqueName="[_01_Sales]" displayFolder="" count="0" memberValueDatatype="20" unbalanced="0"/>
    <cacheHierarchy uniqueName="[_01_Sales].[UnitPrice]" caption="UnitPrice" attribute="1" defaultMemberUniqueName="[_01_Sales].[UnitPrice].[All]" allUniqueName="[_01_Sales].[UnitPrice].[All]" dimensionUniqueName="[_01_Sales]" displayFolder="" count="0" memberValueDatatype="20" unbalanced="0"/>
    <cacheHierarchy uniqueName="[_01_Sales].[DiscountPct]" caption="DiscountPct" attribute="1" defaultMemberUniqueName="[_01_Sales].[DiscountPct].[All]" allUniqueName="[_01_Sales].[DiscountPct].[All]" dimensionUniqueName="[_01_Sales]" displayFolder="" count="0" memberValueDatatype="5" unbalanced="0"/>
    <cacheHierarchy uniqueName="[_01_Sales].[SalesAmount]" caption="SalesAmount" attribute="1" defaultMemberUniqueName="[_01_Sales].[SalesAmount].[All]" allUniqueName="[_01_Sales].[SalesAmount].[All]" dimensionUniqueName="[_01_Sales]" displayFolder="" count="0" memberValueDatatype="5" unbalanced="0"/>
    <cacheHierarchy uniqueName="[_01_Sales].[CostAmount]" caption="CostAmount" attribute="1" defaultMemberUniqueName="[_01_Sales].[CostAmount].[All]" allUniqueName="[_01_Sales].[CostAmount].[All]" dimensionUniqueName="[_01_Sales]" displayFolder="" count="0" memberValueDatatype="5" unbalanced="0"/>
    <cacheHierarchy uniqueName="[_02_Customers].[CustomerID]" caption="CustomerID" attribute="1" defaultMemberUniqueName="[_02_Customers].[CustomerID].[All]" allUniqueName="[_02_Customers].[CustomerID].[All]" dimensionUniqueName="[_02_Customers]" displayFolder="" count="0" memberValueDatatype="130" unbalanced="0"/>
    <cacheHierarchy uniqueName="[_02_Customers].[CustomerName]" caption="CustomerName" attribute="1" defaultMemberUniqueName="[_02_Customers].[CustomerName].[All]" allUniqueName="[_02_Customers].[CustomerName].[All]" dimensionUniqueName="[_02_Customers]" displayFolder="" count="0" memberValueDatatype="130" unbalanced="0"/>
    <cacheHierarchy uniqueName="[_02_Customers].[City]" caption="City" attribute="1" defaultMemberUniqueName="[_02_Customers].[City].[All]" allUniqueName="[_02_Customers].[City].[All]" dimensionUniqueName="[_02_Customers]" displayFolder="" count="2" memberValueDatatype="130" unbalanced="0">
      <fieldsUsage count="2">
        <fieldUsage x="-1"/>
        <fieldUsage x="1"/>
      </fieldsUsage>
    </cacheHierarchy>
    <cacheHierarchy uniqueName="[_02_Customers].[Segment]" caption="Segment" attribute="1" defaultMemberUniqueName="[_02_Customers].[Segment].[All]" allUniqueName="[_02_Customers].[Segment].[All]" dimensionUniqueName="[_02_Customers]" displayFolder="" count="2" memberValueDatatype="130" unbalanced="0"/>
    <cacheHierarchy uniqueName="[_04_Stores].[StoreID]" caption="StoreID" attribute="1" defaultMemberUniqueName="[_04_Stores].[StoreID].[All]" allUniqueName="[_04_Stores].[StoreID].[All]" dimensionUniqueName="[_04_Stores]" displayFolder="" count="0" memberValueDatatype="130" unbalanced="0"/>
    <cacheHierarchy uniqueName="[_04_Stores].[StoreName]" caption="StoreName" attribute="1" defaultMemberUniqueName="[_04_Stores].[StoreName].[All]" allUniqueName="[_04_Stores].[StoreName].[All]" dimensionUniqueName="[_04_Stores]" displayFolder="" count="0" memberValueDatatype="130" unbalanced="0"/>
    <cacheHierarchy uniqueName="[_04_Stores].[Region]" caption="Region" attribute="1" defaultMemberUniqueName="[_04_Stores].[Region].[All]" allUniqueName="[_04_Stores].[Region].[All]" dimensionUniqueName="[_04_Stores]" displayFolder="" count="2" memberValueDatatype="130" unbalanced="0"/>
    <cacheHierarchy uniqueName="[_04_Stores].[Channel]" caption="Channel" attribute="1" defaultMemberUniqueName="[_04_Stores].[Channel].[All]" allUniqueName="[_04_Stores].[Channel].[All]" dimensionUniqueName="[_04_Store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Measures].[Total Sales]" caption="Total Sales" measure="1" displayFolder="" measureGroup="_01_Sales" count="0"/>
    <cacheHierarchy uniqueName="[Measures].[Total Cost]" caption="Total Cost" measure="1" displayFolder="" measureGroup="_01_Sales" count="0"/>
    <cacheHierarchy uniqueName="[Measures].[Gross Profit]" caption="Gross Profit" measure="1" displayFolder="" measureGroup="_01_Sales" count="0"/>
    <cacheHierarchy uniqueName="[Measures].[Profit %]" caption="Profit %" measure="1" displayFolder="" measureGroup="_01_Sales" count="0" oneField="1">
      <fieldsUsage count="1">
        <fieldUsage x="0"/>
      </fieldsUsage>
    </cacheHierarchy>
    <cacheHierarchy uniqueName="[Measures].[Orders]" caption="Orders" measure="1" displayFolder="" measureGroup="_01_Sales" count="0"/>
    <cacheHierarchy uniqueName="[Measures].[Average Order Value]" caption="Average Order Value" measure="1" displayFolder="" measureGroup="_01_Sales" count="0"/>
    <cacheHierarchy uniqueName="[Measures].[__XL_Count _01_Sales]" caption="__XL_Count _01_Sales" measure="1" displayFolder="" measureGroup="_01_Sales" count="0" hidden="1"/>
    <cacheHierarchy uniqueName="[Measures].[__XL_Count _02_Customers]" caption="__XL_Count _02_Customers" measure="1" displayFolder="" measureGroup="_02_Customers" count="0" hidden="1"/>
    <cacheHierarchy uniqueName="[Measures].[__XL_Count Products]" caption="__XL_Count Products" measure="1" displayFolder="" measureGroup="Products" count="0" hidden="1"/>
    <cacheHierarchy uniqueName="[Measures].[__XL_Count _04_Stores]" caption="__XL_Count _04_Stores" measure="1" displayFolder="" measureGroup="_04_Stores" count="0" hidden="1"/>
    <cacheHierarchy uniqueName="[Measures].[__No measures defined]" caption="__No measures defined" measure="1" displayFolder="" count="0" hidden="1"/>
    <cacheHierarchy uniqueName="[Measures].[Sum of SalesAmount]" caption="Sum of SalesAmount" measure="1" displayFolder="" measureGroup="_01_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_01_Sales" count="0" hidden="1">
      <extLst>
        <ext xmlns:x15="http://schemas.microsoft.com/office/spreadsheetml/2010/11/main" uri="{B97F6D7D-B522-45F9-BDA1-12C45D357490}">
          <x15:cacheHierarchy aggregatedColumn="5"/>
        </ext>
      </extLst>
    </cacheHierarchy>
  </cacheHierarchies>
  <kpis count="0"/>
  <dimensions count="5">
    <dimension name="_01_Sales" uniqueName="[_01_Sales]" caption="_01_Sales"/>
    <dimension name="_02_Customers" uniqueName="[_02_Customers]" caption="_02_Customers"/>
    <dimension name="_04_Stores" uniqueName="[_04_Stores]" caption="_04_Stores"/>
    <dimension measure="1" name="Measures" uniqueName="[Measures]" caption="Measures"/>
    <dimension name="Products" uniqueName="[Products]" caption="Products"/>
  </dimensions>
  <measureGroups count="4">
    <measureGroup name="_01_Sales" caption="_01_Sales"/>
    <measureGroup name="_02_Customers" caption="_02_Customers"/>
    <measureGroup name="_04_Stores" caption="_04_Stores"/>
    <measureGroup name="Products" caption="Products"/>
  </measureGroups>
  <maps count="7">
    <map measureGroup="0" dimension="0"/>
    <map measureGroup="0" dimension="1"/>
    <map measureGroup="0" dimension="2"/>
    <map measureGroup="0" dimension="4"/>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UD" refreshedDate="46257.938437962963" createdVersion="3" refreshedVersion="8" minRefreshableVersion="3" recordCount="0" supportSubquery="1" supportAdvancedDrill="1" xr:uid="{FAFFF2DD-CE2C-4000-9B73-1CC07D3B8B66}">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_01_Sales].[OrderID]" caption="OrderID" attribute="1" defaultMemberUniqueName="[_01_Sales].[OrderID].[All]" allUniqueName="[_01_Sales].[OrderID].[All]" dimensionUniqueName="[_01_Sales]" displayFolder="" count="0" memberValueDatatype="130" unbalanced="0"/>
    <cacheHierarchy uniqueName="[_01_Sales].[OrderDate]" caption="OrderDate" attribute="1" time="1" defaultMemberUniqueName="[_01_Sales].[OrderDate].[All]" allUniqueName="[_01_Sales].[OrderDate].[All]" dimensionUniqueName="[_01_Sales]" displayFolder="" count="0" memberValueDatatype="7" unbalanced="0"/>
    <cacheHierarchy uniqueName="[_01_Sales].[CustomerID]" caption="CustomerID" attribute="1" defaultMemberUniqueName="[_01_Sales].[CustomerID].[All]" allUniqueName="[_01_Sales].[CustomerID].[All]" dimensionUniqueName="[_01_Sales]" displayFolder="" count="0" memberValueDatatype="130" unbalanced="0"/>
    <cacheHierarchy uniqueName="[_01_Sales].[ProductID]" caption="ProductID" attribute="1" defaultMemberUniqueName="[_01_Sales].[ProductID].[All]" allUniqueName="[_01_Sales].[ProductID].[All]" dimensionUniqueName="[_01_Sales]" displayFolder="" count="0" memberValueDatatype="130" unbalanced="0"/>
    <cacheHierarchy uniqueName="[_01_Sales].[StoreID]" caption="StoreID" attribute="1" defaultMemberUniqueName="[_01_Sales].[StoreID].[All]" allUniqueName="[_01_Sales].[StoreID].[All]" dimensionUniqueName="[_01_Sales]" displayFolder="" count="0" memberValueDatatype="130" unbalanced="0"/>
    <cacheHierarchy uniqueName="[_01_Sales].[Quantity]" caption="Quantity" attribute="1" defaultMemberUniqueName="[_01_Sales].[Quantity].[All]" allUniqueName="[_01_Sales].[Quantity].[All]" dimensionUniqueName="[_01_Sales]" displayFolder="" count="0" memberValueDatatype="20" unbalanced="0"/>
    <cacheHierarchy uniqueName="[_01_Sales].[UnitPrice]" caption="UnitPrice" attribute="1" defaultMemberUniqueName="[_01_Sales].[UnitPrice].[All]" allUniqueName="[_01_Sales].[UnitPrice].[All]" dimensionUniqueName="[_01_Sales]" displayFolder="" count="0" memberValueDatatype="20" unbalanced="0"/>
    <cacheHierarchy uniqueName="[_01_Sales].[DiscountPct]" caption="DiscountPct" attribute="1" defaultMemberUniqueName="[_01_Sales].[DiscountPct].[All]" allUniqueName="[_01_Sales].[DiscountPct].[All]" dimensionUniqueName="[_01_Sales]" displayFolder="" count="0" memberValueDatatype="5" unbalanced="0"/>
    <cacheHierarchy uniqueName="[_01_Sales].[SalesAmount]" caption="SalesAmount" attribute="1" defaultMemberUniqueName="[_01_Sales].[SalesAmount].[All]" allUniqueName="[_01_Sales].[SalesAmount].[All]" dimensionUniqueName="[_01_Sales]" displayFolder="" count="0" memberValueDatatype="5" unbalanced="0"/>
    <cacheHierarchy uniqueName="[_01_Sales].[CostAmount]" caption="CostAmount" attribute="1" defaultMemberUniqueName="[_01_Sales].[CostAmount].[All]" allUniqueName="[_01_Sales].[CostAmount].[All]" dimensionUniqueName="[_01_Sales]" displayFolder="" count="0" memberValueDatatype="5" unbalanced="0"/>
    <cacheHierarchy uniqueName="[_02_Customers].[CustomerID]" caption="CustomerID" attribute="1" defaultMemberUniqueName="[_02_Customers].[CustomerID].[All]" allUniqueName="[_02_Customers].[CustomerID].[All]" dimensionUniqueName="[_02_Customers]" displayFolder="" count="0" memberValueDatatype="130" unbalanced="0"/>
    <cacheHierarchy uniqueName="[_02_Customers].[CustomerName]" caption="CustomerName" attribute="1" defaultMemberUniqueName="[_02_Customers].[CustomerName].[All]" allUniqueName="[_02_Customers].[CustomerName].[All]" dimensionUniqueName="[_02_Customers]" displayFolder="" count="0" memberValueDatatype="130" unbalanced="0"/>
    <cacheHierarchy uniqueName="[_02_Customers].[City]" caption="City" attribute="1" defaultMemberUniqueName="[_02_Customers].[City].[All]" allUniqueName="[_02_Customers].[City].[All]" dimensionUniqueName="[_02_Customers]" displayFolder="" count="0" memberValueDatatype="130" unbalanced="0"/>
    <cacheHierarchy uniqueName="[_02_Customers].[Segment]" caption="Segment" attribute="1" defaultMemberUniqueName="[_02_Customers].[Segment].[All]" allUniqueName="[_02_Customers].[Segment].[All]" dimensionUniqueName="[_02_Customers]" displayFolder="" count="2" memberValueDatatype="130" unbalanced="0"/>
    <cacheHierarchy uniqueName="[_04_Stores].[StoreID]" caption="StoreID" attribute="1" defaultMemberUniqueName="[_04_Stores].[StoreID].[All]" allUniqueName="[_04_Stores].[StoreID].[All]" dimensionUniqueName="[_04_Stores]" displayFolder="" count="0" memberValueDatatype="130" unbalanced="0"/>
    <cacheHierarchy uniqueName="[_04_Stores].[StoreName]" caption="StoreName" attribute="1" defaultMemberUniqueName="[_04_Stores].[StoreName].[All]" allUniqueName="[_04_Stores].[StoreName].[All]" dimensionUniqueName="[_04_Stores]" displayFolder="" count="0" memberValueDatatype="130" unbalanced="0"/>
    <cacheHierarchy uniqueName="[_04_Stores].[Region]" caption="Region" attribute="1" defaultMemberUniqueName="[_04_Stores].[Region].[All]" allUniqueName="[_04_Stores].[Region].[All]" dimensionUniqueName="[_04_Stores]" displayFolder="" count="2" memberValueDatatype="130" unbalanced="0"/>
    <cacheHierarchy uniqueName="[_04_Stores].[Channel]" caption="Channel" attribute="1" defaultMemberUniqueName="[_04_Stores].[Channel].[All]" allUniqueName="[_04_Stores].[Channel].[All]" dimensionUniqueName="[_04_Store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Measures].[Sum of SalesAmount]" caption="Sum of SalesAmount" measure="1" displayFolder="" measureGroup="_01_Sales" count="0">
      <extLst>
        <ext xmlns:x15="http://schemas.microsoft.com/office/spreadsheetml/2010/11/main" uri="{B97F6D7D-B522-45F9-BDA1-12C45D357490}">
          <x15:cacheHierarchy aggregatedColumn="8"/>
        </ext>
      </extLst>
    </cacheHierarchy>
    <cacheHierarchy uniqueName="[Measures].[Total Sales]" caption="Total Sales" measure="1" displayFolder="" measureGroup="_01_Sales" count="0"/>
    <cacheHierarchy uniqueName="[Measures].[Total Cost]" caption="Total Cost" measure="1" displayFolder="" measureGroup="_01_Sales" count="0"/>
    <cacheHierarchy uniqueName="[Measures].[Gross Profit]" caption="Gross Profit" measure="1" displayFolder="" measureGroup="_01_Sales" count="0"/>
    <cacheHierarchy uniqueName="[Measures].[Profit %]" caption="Profit %" measure="1" displayFolder="" measureGroup="_01_Sales" count="0"/>
    <cacheHierarchy uniqueName="[Measures].[Orders]" caption="Orders" measure="1" displayFolder="" measureGroup="_01_Sales" count="0"/>
    <cacheHierarchy uniqueName="[Measures].[Average Order Value]" caption="Average Order Value" measure="1" displayFolder="" measureGroup="_01_Sales" count="0"/>
    <cacheHierarchy uniqueName="[Measures].[__XL_Count _01_Sales]" caption="__XL_Count _01_Sales" measure="1" displayFolder="" measureGroup="_01_Sales" count="0" hidden="1"/>
    <cacheHierarchy uniqueName="[Measures].[__XL_Count _02_Customers]" caption="__XL_Count _02_Customers" measure="1" displayFolder="" measureGroup="_02_Customers" count="0" hidden="1"/>
    <cacheHierarchy uniqueName="[Measures].[__XL_Count Products]" caption="__XL_Count Products" measure="1" displayFolder="" measureGroup="Products" count="0" hidden="1"/>
    <cacheHierarchy uniqueName="[Measures].[__XL_Count _04_Stores]" caption="__XL_Count _04_Stores" measure="1" displayFolder="" measureGroup="_04_Sto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53300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556C1-7976-420A-861A-E985E86619CB}" name="PivotTable5" cacheId="484" applyNumberFormats="0" applyBorderFormats="0" applyFontFormats="0" applyPatternFormats="0" applyAlignmentFormats="0" applyWidthHeightFormats="1" dataCaption="Values" tag="a544a45a-8744-41f0-9faf-582500093377" updatedVersion="8" minRefreshableVersion="3" useAutoFormatting="1" itemPrintTitles="1" createdVersion="5" indent="0" outline="1" outlineData="1" multipleFieldFilters="0" chartFormat="5">
  <location ref="B22:C2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5"/>
  </dataFields>
  <formats count="1">
    <format dxfId="17">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01_Sales]"/>
        <x15:activeTabTopLevelEntity name="[_02_Customers]"/>
        <x15:activeTabTopLevelEntity name="[Products]"/>
        <x15:activeTabTopLevelEntity name="[_04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DD351C-0F60-49F7-ADBB-7F88AFCAAB51}" name="PivotTable4" cacheId="481" applyNumberFormats="0" applyBorderFormats="0" applyFontFormats="0" applyPatternFormats="0" applyAlignmentFormats="0" applyWidthHeightFormats="1" dataCaption="Values" tag="e96f1eed-c816-4e74-b40e-e0d3ac41a0c3" updatedVersion="8" minRefreshableVersion="3" useAutoFormatting="1" itemPrintTitles="1" createdVersion="5" indent="0" outline="1" outlineData="1" multipleFieldFilters="0" chartFormat="6">
  <location ref="B14:C20"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v="3"/>
    </i>
    <i>
      <x v="1"/>
    </i>
    <i>
      <x/>
    </i>
    <i t="grand">
      <x/>
    </i>
  </rowItems>
  <colItems count="1">
    <i/>
  </colItems>
  <dataFields count="1">
    <dataField fld="1" subtotal="count" baseField="0" baseItem="0" numFmtId="165"/>
  </dataFields>
  <formats count="1">
    <format dxfId="18">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01_Sales]"/>
        <x15:activeTabTopLevelEntity name="[_02_Customers]"/>
        <x15:activeTabTopLevelEntity name="[Products]"/>
        <x15:activeTabTopLevelEntity name="[_04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57CF53-8E14-4E2C-8CA7-456D7B3E6D99}" name="PivotTable3" cacheId="478" applyNumberFormats="0" applyBorderFormats="0" applyFontFormats="0" applyPatternFormats="0" applyAlignmentFormats="0" applyWidthHeightFormats="1" dataCaption="Values" tag="959e6031-ecb5-48bc-baf4-1105bf3a7fb2" updatedVersion="8" minRefreshableVersion="3" useAutoFormatting="1" itemPrintTitles="1" createdVersion="5" indent="0" outline="1" outlineData="1" multipleFieldFilters="0">
  <location ref="E8:F17"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numFmtId="9"/>
  </dataFields>
  <formats count="1">
    <format dxfId="19">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01_Sales]"/>
        <x15:activeTabTopLevelEntity name="[_02_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A1FAB0-5BBE-46FB-94F6-45BF1BCF54B5}" name="PivotTable2" cacheId="475" applyNumberFormats="0" applyBorderFormats="0" applyFontFormats="0" applyPatternFormats="0" applyAlignmentFormats="0" applyWidthHeightFormats="1" dataCaption="Values" tag="c50d9cca-f77c-4ed3-b582-ba2b99db885e" updatedVersion="8" minRefreshableVersion="3" useAutoFormatting="1" itemPrintTitles="1" createdVersion="5" indent="0" outline="1" outlineData="1" multipleFieldFilters="0" chartFormat="5">
  <location ref="B8:C1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01_Sales]"/>
        <x15:activeTabTopLevelEntity name="[_02_Customers]"/>
        <x15:activeTabTopLevelEntity name="[Products]"/>
        <x15:activeTabTopLevelEntity name="[_04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0C1713-81CC-42E8-81CE-3F0200654B71}" name="PivotTable1" cacheId="472" applyNumberFormats="0" applyBorderFormats="0" applyFontFormats="0" applyPatternFormats="0" applyAlignmentFormats="0" applyWidthHeightFormats="1" dataCaption="Values" tag="34ed0e7d-e364-4df1-8cdc-b0a1dae3587b" updatedVersion="8" minRefreshableVersion="3" useAutoFormatting="1" subtotalHiddenItems="1" itemPrintTitles="1" createdVersion="5" indent="0" outline="1" outlineData="1" multipleFieldFilters="0">
  <location ref="B3:H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name="Sum of Quantity" fld="6"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01_Sales]"/>
        <x15:activeTabTopLevelEntity name="[_02_Customers]"/>
        <x15:activeTabTopLevelEntity name="[_04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258F00-7A6E-41BA-B71A-6A9F8F8032CB}" name="PivotTable6" cacheId="487" applyNumberFormats="0" applyBorderFormats="0" applyFontFormats="0" applyPatternFormats="0" applyAlignmentFormats="0" applyWidthHeightFormats="1" dataCaption="Values" tag="8e592058-9512-40d1-b628-ad27162552d1" updatedVersion="8" minRefreshableVersion="3" useAutoFormatting="1" itemPrintTitles="1" createdVersion="5" indent="0" outline="1" outlineData="1" multipleFieldFilters="0" rowHeaderCaption="City">
  <location ref="S13:T2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numFmtId="9"/>
  </dataFields>
  <formats count="7">
    <format dxfId="16">
      <pivotArea outline="0" collapsedLevelsAreSubtotals="1" fieldPosition="0"/>
    </format>
    <format dxfId="15">
      <pivotArea type="all" dataOnly="0" outline="0" fieldPosition="0"/>
    </format>
    <format dxfId="14">
      <pivotArea outline="0" collapsedLevelsAreSubtotals="1" fieldPosition="0"/>
    </format>
    <format dxfId="13">
      <pivotArea dataOnly="0" labelOnly="1" fieldPosition="0">
        <references count="1">
          <reference field="1" count="0"/>
        </references>
      </pivotArea>
    </format>
    <format dxfId="12">
      <pivotArea dataOnly="0" labelOnly="1" grandRow="1" outline="0" fieldPosition="0"/>
    </format>
    <format dxfId="4">
      <pivotArea field="1" type="button" dataOnly="0" labelOnly="1" outline="0" axis="axisRow" fieldPosition="0"/>
    </format>
    <format dxfId="1">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01_Sales]"/>
        <x15:activeTabTopLevelEntity name="[_02_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2D795489-8C6E-4816-AB33-DB506BF6690E}" autoFormatId="16" applyNumberFormats="0" applyBorderFormats="0" applyFontFormats="0" applyPatternFormats="0" applyAlignmentFormats="0" applyWidthHeightFormats="0">
  <queryTableRefresh nextId="5">
    <queryTableFields count="4">
      <queryTableField id="1" name="StoreID" tableColumnId="1"/>
      <queryTableField id="2" name="StoreName" tableColumnId="2"/>
      <queryTableField id="3" name="Region" tableColumnId="3"/>
      <queryTableField id="4" name="Channe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70F41FDC-3A09-4FE7-8C4B-08EB4C9D37F4}" autoFormatId="16" applyNumberFormats="0" applyBorderFormats="0" applyFontFormats="0" applyPatternFormats="0" applyAlignmentFormats="0" applyWidthHeightFormats="0">
  <queryTableRefresh nextId="6">
    <queryTableFields count="5">
      <queryTableField id="1" name="ProductID" tableColumnId="1"/>
      <queryTableField id="2" name="ProductName" tableColumnId="2"/>
      <queryTableField id="3" name="Category" tableColumnId="3"/>
      <queryTableField id="4" name="SubCategory" tableColumnId="4"/>
      <queryTableField id="5" name="UnitPric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8E7938FB-D74E-4253-BAB2-4B240F4E72F9}" autoFormatId="16" applyNumberFormats="0" applyBorderFormats="0" applyFontFormats="0" applyPatternFormats="0" applyAlignmentFormats="0" applyWidthHeightFormats="0">
  <queryTableRefresh nextId="5">
    <queryTableFields count="4">
      <queryTableField id="1" name="CustomerID" tableColumnId="1"/>
      <queryTableField id="2" name="CustomerName" tableColumnId="2"/>
      <queryTableField id="3" name="City" tableColumnId="3"/>
      <queryTableField id="4" name="Segment"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6F6EBB04-1473-456F-8B3B-F0F5BD68E923}" autoFormatId="16" applyNumberFormats="0" applyBorderFormats="0" applyFontFormats="0" applyPatternFormats="0" applyAlignmentFormats="0" applyWidthHeightFormats="0">
  <queryTableRefresh nextId="11">
    <queryTableFields count="10">
      <queryTableField id="1" name="OrderID" tableColumnId="1"/>
      <queryTableField id="2" name="OrderDate" tableColumnId="2"/>
      <queryTableField id="3" name="CustomerID" tableColumnId="3"/>
      <queryTableField id="4" name="ProductID" tableColumnId="4"/>
      <queryTableField id="5" name="StoreID" tableColumnId="5"/>
      <queryTableField id="6" name="Quantity" tableColumnId="6"/>
      <queryTableField id="7" name="UnitPrice" tableColumnId="7"/>
      <queryTableField id="8" name="DiscountPct" tableColumnId="8"/>
      <queryTableField id="9" name="SalesAmount" tableColumnId="9"/>
      <queryTableField id="10" name="Cost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267426F-018C-4F2F-9714-71CBD50D4007}" sourceName="[_02_Customers].[Segment]">
  <pivotTables>
    <pivotTable tabId="6" name="PivotTable1"/>
    <pivotTable tabId="6" name="PivotTable2"/>
    <pivotTable tabId="6" name="PivotTable3"/>
    <pivotTable tabId="6" name="PivotTable4"/>
    <pivotTable tabId="6" name="PivotTable5"/>
    <pivotTable tabId="7" name="PivotTable6"/>
  </pivotTables>
  <data>
    <olap pivotCacheId="305330073">
      <levels count="2">
        <level uniqueName="[_02_Customers].[Segment].[(All)]" sourceCaption="(All)" count="0"/>
        <level uniqueName="[_02_Customers].[Segment].[Segment]" sourceCaption="Segment" count="3">
          <ranges>
            <range startItem="0">
              <i n="[_02_Customers].[Segment].&amp;[Corporate]" c="Corporate"/>
              <i n="[_02_Customers].[Segment].&amp;[Distributor]" c="Distributor"/>
              <i n="[_02_Customers].[Segment].&amp;[Retail]" c="Retail"/>
            </range>
          </ranges>
        </level>
      </levels>
      <selections count="1">
        <selection n="[_02_Customer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301A933-2EC5-4A4C-B564-93DA912058CE}" sourceName="[_04_Stores].[Channel]">
  <pivotTables>
    <pivotTable tabId="6" name="PivotTable1"/>
    <pivotTable tabId="6" name="PivotTable2"/>
    <pivotTable tabId="6" name="PivotTable3"/>
    <pivotTable tabId="6" name="PivotTable4"/>
    <pivotTable tabId="6" name="PivotTable5"/>
    <pivotTable tabId="7" name="PivotTable6"/>
  </pivotTables>
  <data>
    <olap pivotCacheId="305330073">
      <levels count="2">
        <level uniqueName="[_04_Stores].[Channel].[(All)]" sourceCaption="(All)" count="0"/>
        <level uniqueName="[_04_Stores].[Channel].[Channel]" sourceCaption="Channel" count="3">
          <ranges>
            <range startItem="0">
              <i n="[_04_Stores].[Channel].&amp;[Corporate]" c="Corporate"/>
              <i n="[_04_Stores].[Channel].&amp;[Dealer]" c="Dealer"/>
              <i n="[_04_Stores].[Channel].&amp;[Direct]" c="Direct"/>
            </range>
          </ranges>
        </level>
      </levels>
      <selections count="1">
        <selection n="[_04_Stores].[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2EE885-01B3-480D-B5AE-7CD1C14B1CF6}" sourceName="[_04_Stores].[Region]">
  <pivotTables>
    <pivotTable tabId="6" name="PivotTable1"/>
    <pivotTable tabId="6" name="PivotTable2"/>
    <pivotTable tabId="6" name="PivotTable3"/>
    <pivotTable tabId="6" name="PivotTable4"/>
    <pivotTable tabId="6" name="PivotTable5"/>
    <pivotTable tabId="7" name="PivotTable6"/>
  </pivotTables>
  <data>
    <olap pivotCacheId="305330073">
      <levels count="2">
        <level uniqueName="[_04_Stores].[Region].[(All)]" sourceCaption="(All)" count="0"/>
        <level uniqueName="[_04_Stores].[Region].[Region]" sourceCaption="Region" count="5">
          <ranges>
            <range startItem="0">
              <i n="[_04_Stores].[Region].&amp;[Central]" c="Central"/>
              <i n="[_04_Stores].[Region].&amp;[East]" c="East"/>
              <i n="[_04_Stores].[Region].&amp;[North]" c="North"/>
              <i n="[_04_Stores].[Region].&amp;[South]" c="South"/>
              <i n="[_04_Stores].[Region].&amp;[West]" c="West"/>
            </range>
          </ranges>
        </level>
      </levels>
      <selections count="1">
        <selection n="[_04_Stor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4C5DC54-ACA5-4639-99C0-F84A660CB407}" cache="Slicer_Segment" caption="Segment" level="1" rowHeight="247650"/>
  <slicer name="Channel" xr10:uid="{D86A948B-5DE6-4D4D-A07E-A7DD40B40AB1}" cache="Slicer_Channel" caption="Channel" level="1" rowHeight="247650"/>
  <slicer name="Region" xr10:uid="{D53C01F2-53ED-469D-92CC-FB3E9DCB2A9E}" cache="Slicer_Region" caption="Region" columnCount="3"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D9B31407-2C82-428D-BB49-E48D42665EDC}" cache="Slicer_Segment" caption="Segment" level="1" rowHeight="247650"/>
  <slicer name="Channel 1" xr10:uid="{6EA9A76C-D1A8-4066-9E61-707C382122D4}" cache="Slicer_Channel" caption="Channel" level="1" rowHeight="247650"/>
  <slicer name="Region 1" xr10:uid="{96AC4D21-75BF-4E94-9375-557B0B113340}" cache="Slicer_Region" caption="Region" columnCount="3"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B3D084-2192-41C7-9B51-06AD82E57FF4}" name="_04_Stores" displayName="_04_Stores" ref="A1:D11" tableType="queryTable" totalsRowShown="0">
  <autoFilter ref="A1:D11" xr:uid="{20B3D084-2192-41C7-9B51-06AD82E57FF4}"/>
  <tableColumns count="4">
    <tableColumn id="1" xr3:uid="{B8280310-9AF8-4997-A193-D65F5BCB779D}" uniqueName="1" name="StoreID" queryTableFieldId="1"/>
    <tableColumn id="2" xr3:uid="{BCF40B3D-42D3-4E3D-A331-EAAC90C694B3}" uniqueName="2" name="StoreName" queryTableFieldId="2"/>
    <tableColumn id="3" xr3:uid="{15722D99-A97B-4D4C-B03B-367BEC96D7A6}" uniqueName="3" name="Region" queryTableFieldId="3"/>
    <tableColumn id="4" xr3:uid="{00081112-592B-4C35-BB30-D8C72347EA8B}" uniqueName="4" name="Channel"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C7FB1B-84CF-4617-B9D3-01B54C3EC475}" name="Products" displayName="Products" ref="A1:E16" tableType="queryTable" totalsRowShown="0">
  <autoFilter ref="A1:E16" xr:uid="{97C7FB1B-84CF-4617-B9D3-01B54C3EC475}"/>
  <tableColumns count="5">
    <tableColumn id="1" xr3:uid="{24F26862-9CE7-4123-A311-FBE071608D59}" uniqueName="1" name="ProductID" queryTableFieldId="1" dataDxfId="23"/>
    <tableColumn id="2" xr3:uid="{575BBC6F-866A-4A45-B88D-976E49F83035}" uniqueName="2" name="ProductName" queryTableFieldId="2" dataDxfId="22"/>
    <tableColumn id="3" xr3:uid="{E23DB341-348C-4998-A79E-BB02417450C2}" uniqueName="3" name="Category" queryTableFieldId="3" dataDxfId="21"/>
    <tableColumn id="4" xr3:uid="{35B0CE15-1E44-40B2-8719-555AF7B217EA}" uniqueName="4" name="SubCategory" queryTableFieldId="4" dataDxfId="20"/>
    <tableColumn id="5" xr3:uid="{380CFD6C-49F4-4C40-B459-6445CB3AC315}" uniqueName="5" name="UnitPric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4C4721-5513-4C65-A12C-B8355F0FFDD6}" name="_02_Customers" displayName="_02_Customers" ref="A1:D21" tableType="queryTable" totalsRowShown="0">
  <autoFilter ref="A1:D21" xr:uid="{C14C4721-5513-4C65-A12C-B8355F0FFDD6}"/>
  <tableColumns count="4">
    <tableColumn id="1" xr3:uid="{1B91B76D-C0EE-4516-82DD-9DDCFEA7E55F}" uniqueName="1" name="CustomerID" queryTableFieldId="1" dataDxfId="27"/>
    <tableColumn id="2" xr3:uid="{83B6B6F2-7FA3-4BD0-9CF6-68AB84AF528E}" uniqueName="2" name="CustomerName" queryTableFieldId="2" dataDxfId="26"/>
    <tableColumn id="3" xr3:uid="{9231A2B9-9DAD-4730-9EF8-E3F92D2EFEAE}" uniqueName="3" name="City" queryTableFieldId="3" dataDxfId="25"/>
    <tableColumn id="4" xr3:uid="{7D7F0667-8AB2-437F-A168-AA2C25BBC6F2}" uniqueName="4" name="Segment" queryTableFieldId="4"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7F6924-1AF3-4EA4-85DF-3771E52FA2E5}" name="_01_Sales" displayName="_01_Sales" ref="A1:J251" tableType="queryTable" totalsRowShown="0">
  <autoFilter ref="A1:J251" xr:uid="{837F6924-1AF3-4EA4-85DF-3771E52FA2E5}"/>
  <tableColumns count="10">
    <tableColumn id="1" xr3:uid="{5AD6E462-C603-43B4-87EA-30E1C9FC2835}" uniqueName="1" name="OrderID" queryTableFieldId="1" dataDxfId="32"/>
    <tableColumn id="2" xr3:uid="{059EFAB2-1132-4910-B4E0-8B232BCC17D6}" uniqueName="2" name="OrderDate" queryTableFieldId="2" dataDxfId="31"/>
    <tableColumn id="3" xr3:uid="{29CD4328-A074-46B9-9F9E-9AE04FD31A74}" uniqueName="3" name="CustomerID" queryTableFieldId="3" dataDxfId="30"/>
    <tableColumn id="4" xr3:uid="{DE439D7B-03DA-4C74-A873-D96C833819BF}" uniqueName="4" name="ProductID" queryTableFieldId="4" dataDxfId="29"/>
    <tableColumn id="5" xr3:uid="{31D35E79-D7E2-4783-8704-36CFC5804422}" uniqueName="5" name="StoreID" queryTableFieldId="5" dataDxfId="28"/>
    <tableColumn id="6" xr3:uid="{CF59B8DC-63DE-4902-92D4-31296CC498AB}" uniqueName="6" name="Quantity" queryTableFieldId="6"/>
    <tableColumn id="7" xr3:uid="{01776A93-FB13-449E-8DB3-433CF82B5620}" uniqueName="7" name="UnitPrice" queryTableFieldId="7"/>
    <tableColumn id="8" xr3:uid="{AC2F1A3B-5974-4D5D-8C54-0A3BA2BA5D5E}" uniqueName="8" name="DiscountPct" queryTableFieldId="8"/>
    <tableColumn id="9" xr3:uid="{EEAC14B3-3504-46A5-B48A-09094EB45BE9}" uniqueName="9" name="SalesAmount" queryTableFieldId="9"/>
    <tableColumn id="10" xr3:uid="{9D02EEEC-16C6-4CC6-8431-B191D46D9012}" uniqueName="10" name="CostAmoun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773E-F98D-4401-8D03-C8EF5F61DB59}">
  <dimension ref="A3:H26"/>
  <sheetViews>
    <sheetView zoomScale="145" zoomScaleNormal="145" workbookViewId="0">
      <selection activeCell="E1" sqref="E1:E1048576"/>
    </sheetView>
  </sheetViews>
  <sheetFormatPr defaultRowHeight="14.4" x14ac:dyDescent="0.3"/>
  <cols>
    <col min="1" max="1" width="11.33203125" bestFit="1" customWidth="1"/>
    <col min="2" max="3" width="13.33203125" bestFit="1" customWidth="1"/>
    <col min="4" max="4" width="11.5546875" bestFit="1" customWidth="1"/>
    <col min="5" max="5" width="12.44140625" bestFit="1" customWidth="1"/>
    <col min="6" max="6" width="7.5546875" bestFit="1" customWidth="1"/>
    <col min="7" max="7" width="18.33203125" bestFit="1" customWidth="1"/>
    <col min="8" max="8" width="14.6640625" bestFit="1" customWidth="1"/>
  </cols>
  <sheetData>
    <row r="3" spans="1:8" x14ac:dyDescent="0.3">
      <c r="B3" t="s">
        <v>387</v>
      </c>
      <c r="C3" t="s">
        <v>389</v>
      </c>
      <c r="D3" t="s">
        <v>388</v>
      </c>
      <c r="E3" t="s">
        <v>390</v>
      </c>
      <c r="F3" t="s">
        <v>391</v>
      </c>
      <c r="G3" t="s">
        <v>392</v>
      </c>
      <c r="H3" t="s">
        <v>394</v>
      </c>
    </row>
    <row r="4" spans="1:8" x14ac:dyDescent="0.3">
      <c r="B4" s="1">
        <v>5682118.5999999996</v>
      </c>
      <c r="C4" s="1">
        <v>4440693.92</v>
      </c>
      <c r="D4" s="1">
        <v>1241424.6799999997</v>
      </c>
      <c r="E4" s="1">
        <v>0.21847919189859918</v>
      </c>
      <c r="F4" s="1">
        <v>250</v>
      </c>
      <c r="G4" s="1">
        <v>22728.474399999999</v>
      </c>
      <c r="H4" s="1">
        <v>2184</v>
      </c>
    </row>
    <row r="6" spans="1:8" x14ac:dyDescent="0.3">
      <c r="A6" t="s">
        <v>395</v>
      </c>
      <c r="B6" s="8">
        <f>B4</f>
        <v>5682118.5999999996</v>
      </c>
      <c r="C6" s="8">
        <f t="shared" ref="C6:G6" si="0">C4</f>
        <v>4440693.92</v>
      </c>
      <c r="D6" s="8">
        <f t="shared" si="0"/>
        <v>1241424.6799999997</v>
      </c>
      <c r="E6" s="9">
        <f t="shared" si="0"/>
        <v>0.21847919189859918</v>
      </c>
      <c r="F6" s="8">
        <f t="shared" si="0"/>
        <v>250</v>
      </c>
      <c r="G6" s="8">
        <f t="shared" si="0"/>
        <v>22728.474399999999</v>
      </c>
      <c r="H6" s="8">
        <f>H4</f>
        <v>2184</v>
      </c>
    </row>
    <row r="8" spans="1:8" x14ac:dyDescent="0.3">
      <c r="B8" s="3" t="s">
        <v>385</v>
      </c>
      <c r="C8" t="s">
        <v>387</v>
      </c>
      <c r="E8" s="3" t="s">
        <v>385</v>
      </c>
      <c r="F8" t="s">
        <v>390</v>
      </c>
    </row>
    <row r="9" spans="1:8" x14ac:dyDescent="0.3">
      <c r="B9" s="4" t="s">
        <v>346</v>
      </c>
      <c r="C9" s="1">
        <v>908068</v>
      </c>
      <c r="E9" s="4" t="s">
        <v>300</v>
      </c>
      <c r="F9" s="5">
        <v>0.20385724702121397</v>
      </c>
    </row>
    <row r="10" spans="1:8" x14ac:dyDescent="0.3">
      <c r="B10" s="4" t="s">
        <v>332</v>
      </c>
      <c r="C10" s="1">
        <v>4774050.5999999996</v>
      </c>
      <c r="E10" s="4" t="s">
        <v>314</v>
      </c>
      <c r="F10" s="5">
        <v>0.21501326568030535</v>
      </c>
    </row>
    <row r="11" spans="1:8" x14ac:dyDescent="0.3">
      <c r="B11" s="4" t="s">
        <v>386</v>
      </c>
      <c r="C11" s="1">
        <v>5682118.5999999996</v>
      </c>
      <c r="E11" s="4" t="s">
        <v>297</v>
      </c>
      <c r="F11" s="5">
        <v>0.22383591345883969</v>
      </c>
    </row>
    <row r="12" spans="1:8" x14ac:dyDescent="0.3">
      <c r="E12" s="4" t="s">
        <v>310</v>
      </c>
      <c r="F12" s="5">
        <v>0.22295220804023147</v>
      </c>
    </row>
    <row r="13" spans="1:8" x14ac:dyDescent="0.3">
      <c r="E13" s="4" t="s">
        <v>306</v>
      </c>
      <c r="F13" s="5">
        <v>0.22391681319730633</v>
      </c>
    </row>
    <row r="14" spans="1:8" x14ac:dyDescent="0.3">
      <c r="B14" s="3" t="s">
        <v>385</v>
      </c>
      <c r="C14" t="s">
        <v>387</v>
      </c>
      <c r="E14" s="4" t="s">
        <v>312</v>
      </c>
      <c r="F14" s="5">
        <v>0.20808972631649514</v>
      </c>
    </row>
    <row r="15" spans="1:8" x14ac:dyDescent="0.3">
      <c r="B15" s="4" t="s">
        <v>379</v>
      </c>
      <c r="C15" s="6">
        <v>1066675</v>
      </c>
      <c r="E15" s="4" t="s">
        <v>308</v>
      </c>
      <c r="F15" s="5">
        <v>0.2307322592569814</v>
      </c>
    </row>
    <row r="16" spans="1:8" x14ac:dyDescent="0.3">
      <c r="B16" s="4" t="s">
        <v>374</v>
      </c>
      <c r="C16" s="6">
        <v>1079335.3</v>
      </c>
      <c r="E16" s="4" t="s">
        <v>303</v>
      </c>
      <c r="F16" s="5">
        <v>0.21947008346972602</v>
      </c>
    </row>
    <row r="17" spans="2:6" x14ac:dyDescent="0.3">
      <c r="B17" s="4" t="s">
        <v>377</v>
      </c>
      <c r="C17" s="6">
        <v>1140158.1000000001</v>
      </c>
      <c r="E17" s="4" t="s">
        <v>386</v>
      </c>
      <c r="F17" s="5">
        <v>0.21847919189859918</v>
      </c>
    </row>
    <row r="18" spans="2:6" x14ac:dyDescent="0.3">
      <c r="B18" s="4" t="s">
        <v>372</v>
      </c>
      <c r="C18" s="6">
        <v>1172965.7</v>
      </c>
    </row>
    <row r="19" spans="2:6" x14ac:dyDescent="0.3">
      <c r="B19" s="4" t="s">
        <v>369</v>
      </c>
      <c r="C19" s="6">
        <v>1222984.5</v>
      </c>
    </row>
    <row r="20" spans="2:6" x14ac:dyDescent="0.3">
      <c r="B20" s="4" t="s">
        <v>386</v>
      </c>
      <c r="C20" s="6">
        <v>5682118.5999999996</v>
      </c>
      <c r="E20" s="4" t="s">
        <v>393</v>
      </c>
    </row>
    <row r="21" spans="2:6" x14ac:dyDescent="0.3">
      <c r="E21" s="2">
        <v>46257</v>
      </c>
    </row>
    <row r="22" spans="2:6" x14ac:dyDescent="0.3">
      <c r="B22" s="3" t="s">
        <v>385</v>
      </c>
      <c r="C22" t="s">
        <v>387</v>
      </c>
    </row>
    <row r="23" spans="2:6" x14ac:dyDescent="0.3">
      <c r="B23" s="4" t="s">
        <v>333</v>
      </c>
      <c r="C23" s="6">
        <v>2503611</v>
      </c>
    </row>
    <row r="24" spans="2:6" x14ac:dyDescent="0.3">
      <c r="B24" s="4" t="s">
        <v>342</v>
      </c>
      <c r="C24" s="6">
        <v>908068</v>
      </c>
    </row>
    <row r="25" spans="2:6" x14ac:dyDescent="0.3">
      <c r="B25" s="4" t="s">
        <v>355</v>
      </c>
      <c r="C25" s="6">
        <v>2270439.6</v>
      </c>
    </row>
    <row r="26" spans="2:6" x14ac:dyDescent="0.3">
      <c r="B26" s="4" t="s">
        <v>386</v>
      </c>
      <c r="C26" s="6">
        <v>5682118.5999999996</v>
      </c>
    </row>
  </sheetData>
  <sheetProtection algorithmName="SHA-512" hashValue="tL/bf86hErX7tWp119/9DeoLcepdIq7HXr1f0HBa5Tz8MJXAWBq1TbavcRZKn0oQcf33muFfUMMnNbp3Sa2TqQ==" saltValue="5toEc49C1ccdtPpG3OGOr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0975C-47C6-4BFD-83E3-0284E0E80662}">
  <dimension ref="A1:D11"/>
  <sheetViews>
    <sheetView workbookViewId="0">
      <selection activeCell="C5" sqref="C5"/>
    </sheetView>
  </sheetViews>
  <sheetFormatPr defaultRowHeight="14.4" x14ac:dyDescent="0.3"/>
  <cols>
    <col min="1" max="1" width="9.44140625" bestFit="1" customWidth="1"/>
    <col min="2" max="2" width="12.6640625" bestFit="1" customWidth="1"/>
    <col min="3" max="3" width="8.77734375" bestFit="1" customWidth="1"/>
    <col min="4" max="4" width="10" bestFit="1" customWidth="1"/>
  </cols>
  <sheetData>
    <row r="1" spans="1:4" x14ac:dyDescent="0.3">
      <c r="A1" t="s">
        <v>4</v>
      </c>
      <c r="B1" t="s">
        <v>365</v>
      </c>
      <c r="C1" t="s">
        <v>366</v>
      </c>
      <c r="D1" t="s">
        <v>367</v>
      </c>
    </row>
    <row r="2" spans="1:4" x14ac:dyDescent="0.3">
      <c r="A2" t="s">
        <v>30</v>
      </c>
      <c r="B2" t="s">
        <v>368</v>
      </c>
      <c r="C2" t="s">
        <v>369</v>
      </c>
      <c r="D2" t="s">
        <v>370</v>
      </c>
    </row>
    <row r="3" spans="1:4" x14ac:dyDescent="0.3">
      <c r="A3" t="s">
        <v>21</v>
      </c>
      <c r="B3" t="s">
        <v>371</v>
      </c>
      <c r="C3" t="s">
        <v>372</v>
      </c>
      <c r="D3" t="s">
        <v>298</v>
      </c>
    </row>
    <row r="4" spans="1:4" x14ac:dyDescent="0.3">
      <c r="A4" t="s">
        <v>42</v>
      </c>
      <c r="B4" t="s">
        <v>373</v>
      </c>
      <c r="C4" t="s">
        <v>374</v>
      </c>
      <c r="D4" t="s">
        <v>375</v>
      </c>
    </row>
    <row r="5" spans="1:4" x14ac:dyDescent="0.3">
      <c r="A5" t="s">
        <v>33</v>
      </c>
      <c r="B5" t="s">
        <v>376</v>
      </c>
      <c r="C5" t="s">
        <v>377</v>
      </c>
      <c r="D5" t="s">
        <v>370</v>
      </c>
    </row>
    <row r="6" spans="1:4" x14ac:dyDescent="0.3">
      <c r="A6" t="s">
        <v>24</v>
      </c>
      <c r="B6" t="s">
        <v>378</v>
      </c>
      <c r="C6" t="s">
        <v>379</v>
      </c>
      <c r="D6" t="s">
        <v>298</v>
      </c>
    </row>
    <row r="7" spans="1:4" x14ac:dyDescent="0.3">
      <c r="A7" t="s">
        <v>13</v>
      </c>
      <c r="B7" t="s">
        <v>380</v>
      </c>
      <c r="C7" t="s">
        <v>369</v>
      </c>
      <c r="D7" t="s">
        <v>375</v>
      </c>
    </row>
    <row r="8" spans="1:4" x14ac:dyDescent="0.3">
      <c r="A8" t="s">
        <v>36</v>
      </c>
      <c r="B8" t="s">
        <v>381</v>
      </c>
      <c r="C8" t="s">
        <v>372</v>
      </c>
      <c r="D8" t="s">
        <v>370</v>
      </c>
    </row>
    <row r="9" spans="1:4" x14ac:dyDescent="0.3">
      <c r="A9" t="s">
        <v>27</v>
      </c>
      <c r="B9" t="s">
        <v>382</v>
      </c>
      <c r="C9" t="s">
        <v>374</v>
      </c>
      <c r="D9" t="s">
        <v>298</v>
      </c>
    </row>
    <row r="10" spans="1:4" x14ac:dyDescent="0.3">
      <c r="A10" t="s">
        <v>17</v>
      </c>
      <c r="B10" t="s">
        <v>383</v>
      </c>
      <c r="C10" t="s">
        <v>377</v>
      </c>
      <c r="D10" t="s">
        <v>375</v>
      </c>
    </row>
    <row r="11" spans="1:4" x14ac:dyDescent="0.3">
      <c r="A11" t="s">
        <v>39</v>
      </c>
      <c r="B11" t="s">
        <v>384</v>
      </c>
      <c r="C11" t="s">
        <v>379</v>
      </c>
      <c r="D11" t="s">
        <v>370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DE23E-1BBB-433B-BD11-B5558E3BB06A}">
  <dimension ref="A1:E16"/>
  <sheetViews>
    <sheetView workbookViewId="0">
      <selection activeCell="C6" sqref="C6"/>
    </sheetView>
  </sheetViews>
  <sheetFormatPr defaultRowHeight="14.4" x14ac:dyDescent="0.3"/>
  <cols>
    <col min="1" max="1" width="11.5546875" bestFit="1" customWidth="1"/>
    <col min="2" max="2" width="18.88671875" bestFit="1" customWidth="1"/>
    <col min="3" max="3" width="10.5546875" bestFit="1" customWidth="1"/>
    <col min="4" max="4" width="13.77734375" bestFit="1" customWidth="1"/>
    <col min="5" max="5" width="11" bestFit="1" customWidth="1"/>
  </cols>
  <sheetData>
    <row r="1" spans="1:5" x14ac:dyDescent="0.3">
      <c r="A1" t="s">
        <v>3</v>
      </c>
      <c r="B1" t="s">
        <v>327</v>
      </c>
      <c r="C1" t="s">
        <v>328</v>
      </c>
      <c r="D1" t="s">
        <v>329</v>
      </c>
      <c r="E1" t="s">
        <v>6</v>
      </c>
    </row>
    <row r="2" spans="1:5" x14ac:dyDescent="0.3">
      <c r="A2" s="1" t="s">
        <v>330</v>
      </c>
      <c r="B2" s="1" t="s">
        <v>331</v>
      </c>
      <c r="C2" s="1" t="s">
        <v>332</v>
      </c>
      <c r="D2" s="1" t="s">
        <v>333</v>
      </c>
      <c r="E2">
        <v>1450</v>
      </c>
    </row>
    <row r="3" spans="1:5" x14ac:dyDescent="0.3">
      <c r="A3" s="1" t="s">
        <v>20</v>
      </c>
      <c r="B3" s="1" t="s">
        <v>334</v>
      </c>
      <c r="C3" s="1" t="s">
        <v>332</v>
      </c>
      <c r="D3" s="1" t="s">
        <v>333</v>
      </c>
      <c r="E3">
        <v>2850</v>
      </c>
    </row>
    <row r="4" spans="1:5" x14ac:dyDescent="0.3">
      <c r="A4" s="1" t="s">
        <v>335</v>
      </c>
      <c r="B4" s="1" t="s">
        <v>336</v>
      </c>
      <c r="C4" s="1" t="s">
        <v>332</v>
      </c>
      <c r="D4" s="1" t="s">
        <v>333</v>
      </c>
      <c r="E4">
        <v>4950</v>
      </c>
    </row>
    <row r="5" spans="1:5" x14ac:dyDescent="0.3">
      <c r="A5" s="1" t="s">
        <v>337</v>
      </c>
      <c r="B5" s="1" t="s">
        <v>338</v>
      </c>
      <c r="C5" s="1" t="s">
        <v>332</v>
      </c>
      <c r="D5" s="1" t="s">
        <v>333</v>
      </c>
      <c r="E5">
        <v>5400</v>
      </c>
    </row>
    <row r="6" spans="1:5" x14ac:dyDescent="0.3">
      <c r="A6" s="1" t="s">
        <v>339</v>
      </c>
      <c r="B6" s="1" t="s">
        <v>340</v>
      </c>
      <c r="C6" s="1" t="s">
        <v>341</v>
      </c>
      <c r="D6" s="1" t="s">
        <v>342</v>
      </c>
      <c r="E6">
        <v>850</v>
      </c>
    </row>
    <row r="7" spans="1:5" x14ac:dyDescent="0.3">
      <c r="A7" s="1" t="s">
        <v>343</v>
      </c>
      <c r="B7" s="1" t="s">
        <v>344</v>
      </c>
      <c r="C7" s="1" t="s">
        <v>341</v>
      </c>
      <c r="D7" s="1" t="s">
        <v>342</v>
      </c>
      <c r="E7">
        <v>420</v>
      </c>
    </row>
    <row r="8" spans="1:5" x14ac:dyDescent="0.3">
      <c r="A8" s="1" t="s">
        <v>12</v>
      </c>
      <c r="B8" s="1" t="s">
        <v>345</v>
      </c>
      <c r="C8" s="1" t="s">
        <v>346</v>
      </c>
      <c r="D8" s="1" t="s">
        <v>342</v>
      </c>
      <c r="E8">
        <v>2450</v>
      </c>
    </row>
    <row r="9" spans="1:5" x14ac:dyDescent="0.3">
      <c r="A9" s="1" t="s">
        <v>347</v>
      </c>
      <c r="B9" s="1" t="s">
        <v>348</v>
      </c>
      <c r="C9" s="1" t="s">
        <v>346</v>
      </c>
      <c r="D9" s="1" t="s">
        <v>342</v>
      </c>
      <c r="E9">
        <v>1250</v>
      </c>
    </row>
    <row r="10" spans="1:5" x14ac:dyDescent="0.3">
      <c r="A10" s="1" t="s">
        <v>349</v>
      </c>
      <c r="B10" s="1" t="s">
        <v>350</v>
      </c>
      <c r="C10" s="1" t="s">
        <v>341</v>
      </c>
      <c r="D10" s="1" t="s">
        <v>342</v>
      </c>
      <c r="E10">
        <v>650</v>
      </c>
    </row>
    <row r="11" spans="1:5" x14ac:dyDescent="0.3">
      <c r="A11" s="1" t="s">
        <v>351</v>
      </c>
      <c r="B11" s="1" t="s">
        <v>352</v>
      </c>
      <c r="C11" s="1" t="s">
        <v>341</v>
      </c>
      <c r="D11" s="1" t="s">
        <v>342</v>
      </c>
      <c r="E11">
        <v>1750</v>
      </c>
    </row>
    <row r="12" spans="1:5" x14ac:dyDescent="0.3">
      <c r="A12" s="1" t="s">
        <v>353</v>
      </c>
      <c r="B12" s="1" t="s">
        <v>354</v>
      </c>
      <c r="C12" s="1" t="s">
        <v>332</v>
      </c>
      <c r="D12" s="1" t="s">
        <v>355</v>
      </c>
      <c r="E12">
        <v>1320</v>
      </c>
    </row>
    <row r="13" spans="1:5" x14ac:dyDescent="0.3">
      <c r="A13" s="1" t="s">
        <v>16</v>
      </c>
      <c r="B13" s="1" t="s">
        <v>356</v>
      </c>
      <c r="C13" s="1" t="s">
        <v>332</v>
      </c>
      <c r="D13" s="1" t="s">
        <v>355</v>
      </c>
      <c r="E13">
        <v>2620</v>
      </c>
    </row>
    <row r="14" spans="1:5" x14ac:dyDescent="0.3">
      <c r="A14" s="1" t="s">
        <v>357</v>
      </c>
      <c r="B14" s="1" t="s">
        <v>358</v>
      </c>
      <c r="C14" s="1" t="s">
        <v>332</v>
      </c>
      <c r="D14" s="1" t="s">
        <v>355</v>
      </c>
      <c r="E14">
        <v>4680</v>
      </c>
    </row>
    <row r="15" spans="1:5" x14ac:dyDescent="0.3">
      <c r="A15" s="1" t="s">
        <v>359</v>
      </c>
      <c r="B15" s="1" t="s">
        <v>360</v>
      </c>
      <c r="C15" s="1" t="s">
        <v>332</v>
      </c>
      <c r="D15" s="1" t="s">
        <v>355</v>
      </c>
      <c r="E15">
        <v>5120</v>
      </c>
    </row>
    <row r="16" spans="1:5" x14ac:dyDescent="0.3">
      <c r="A16" s="1" t="s">
        <v>361</v>
      </c>
      <c r="B16" s="1" t="s">
        <v>362</v>
      </c>
      <c r="C16" s="1" t="s">
        <v>363</v>
      </c>
      <c r="D16" s="1" t="s">
        <v>364</v>
      </c>
      <c r="E16">
        <v>1000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A249-96A6-4C29-A4F5-81562660D72C}">
  <dimension ref="A1:D21"/>
  <sheetViews>
    <sheetView workbookViewId="0">
      <selection activeCell="C8" sqref="C8"/>
    </sheetView>
  </sheetViews>
  <sheetFormatPr defaultRowHeight="14.4" x14ac:dyDescent="0.3"/>
  <cols>
    <col min="1" max="1" width="13.109375" bestFit="1" customWidth="1"/>
    <col min="2" max="2" width="16.44140625" bestFit="1" customWidth="1"/>
    <col min="3" max="3" width="11.109375" bestFit="1" customWidth="1"/>
    <col min="4" max="4" width="10.5546875" bestFit="1" customWidth="1"/>
  </cols>
  <sheetData>
    <row r="1" spans="1:4" x14ac:dyDescent="0.3">
      <c r="A1" t="s">
        <v>2</v>
      </c>
      <c r="B1" t="s">
        <v>293</v>
      </c>
      <c r="C1" t="s">
        <v>294</v>
      </c>
      <c r="D1" t="s">
        <v>295</v>
      </c>
    </row>
    <row r="2" spans="1:4" x14ac:dyDescent="0.3">
      <c r="A2" s="1" t="s">
        <v>44</v>
      </c>
      <c r="B2" s="1" t="s">
        <v>296</v>
      </c>
      <c r="C2" s="1" t="s">
        <v>297</v>
      </c>
      <c r="D2" s="1" t="s">
        <v>298</v>
      </c>
    </row>
    <row r="3" spans="1:4" x14ac:dyDescent="0.3">
      <c r="A3" s="1" t="s">
        <v>50</v>
      </c>
      <c r="B3" s="1" t="s">
        <v>299</v>
      </c>
      <c r="C3" s="1" t="s">
        <v>300</v>
      </c>
      <c r="D3" s="1" t="s">
        <v>301</v>
      </c>
    </row>
    <row r="4" spans="1:4" x14ac:dyDescent="0.3">
      <c r="A4" s="1" t="s">
        <v>56</v>
      </c>
      <c r="B4" s="1" t="s">
        <v>302</v>
      </c>
      <c r="C4" s="1" t="s">
        <v>303</v>
      </c>
      <c r="D4" s="1" t="s">
        <v>304</v>
      </c>
    </row>
    <row r="5" spans="1:4" x14ac:dyDescent="0.3">
      <c r="A5" s="1" t="s">
        <v>62</v>
      </c>
      <c r="B5" s="1" t="s">
        <v>305</v>
      </c>
      <c r="C5" s="1" t="s">
        <v>306</v>
      </c>
      <c r="D5" s="1" t="s">
        <v>298</v>
      </c>
    </row>
    <row r="6" spans="1:4" x14ac:dyDescent="0.3">
      <c r="A6" s="1" t="s">
        <v>19</v>
      </c>
      <c r="B6" s="1" t="s">
        <v>307</v>
      </c>
      <c r="C6" s="1" t="s">
        <v>308</v>
      </c>
      <c r="D6" s="1" t="s">
        <v>301</v>
      </c>
    </row>
    <row r="7" spans="1:4" x14ac:dyDescent="0.3">
      <c r="A7" s="1" t="s">
        <v>29</v>
      </c>
      <c r="B7" s="1" t="s">
        <v>309</v>
      </c>
      <c r="C7" s="1" t="s">
        <v>310</v>
      </c>
      <c r="D7" s="1" t="s">
        <v>304</v>
      </c>
    </row>
    <row r="8" spans="1:4" x14ac:dyDescent="0.3">
      <c r="A8" s="1" t="s">
        <v>38</v>
      </c>
      <c r="B8" s="1" t="s">
        <v>311</v>
      </c>
      <c r="C8" s="1" t="s">
        <v>312</v>
      </c>
      <c r="D8" s="1" t="s">
        <v>298</v>
      </c>
    </row>
    <row r="9" spans="1:4" x14ac:dyDescent="0.3">
      <c r="A9" s="1" t="s">
        <v>46</v>
      </c>
      <c r="B9" s="1" t="s">
        <v>313</v>
      </c>
      <c r="C9" s="1" t="s">
        <v>314</v>
      </c>
      <c r="D9" s="1" t="s">
        <v>301</v>
      </c>
    </row>
    <row r="10" spans="1:4" x14ac:dyDescent="0.3">
      <c r="A10" s="1" t="s">
        <v>52</v>
      </c>
      <c r="B10" s="1" t="s">
        <v>315</v>
      </c>
      <c r="C10" s="1" t="s">
        <v>297</v>
      </c>
      <c r="D10" s="1" t="s">
        <v>304</v>
      </c>
    </row>
    <row r="11" spans="1:4" x14ac:dyDescent="0.3">
      <c r="A11" s="1" t="s">
        <v>58</v>
      </c>
      <c r="B11" s="1" t="s">
        <v>316</v>
      </c>
      <c r="C11" s="1" t="s">
        <v>300</v>
      </c>
      <c r="D11" s="1" t="s">
        <v>298</v>
      </c>
    </row>
    <row r="12" spans="1:4" x14ac:dyDescent="0.3">
      <c r="A12" s="1" t="s">
        <v>11</v>
      </c>
      <c r="B12" s="1" t="s">
        <v>317</v>
      </c>
      <c r="C12" s="1" t="s">
        <v>303</v>
      </c>
      <c r="D12" s="1" t="s">
        <v>301</v>
      </c>
    </row>
    <row r="13" spans="1:4" x14ac:dyDescent="0.3">
      <c r="A13" s="1" t="s">
        <v>23</v>
      </c>
      <c r="B13" s="1" t="s">
        <v>318</v>
      </c>
      <c r="C13" s="1" t="s">
        <v>306</v>
      </c>
      <c r="D13" s="1" t="s">
        <v>304</v>
      </c>
    </row>
    <row r="14" spans="1:4" x14ac:dyDescent="0.3">
      <c r="A14" s="1" t="s">
        <v>32</v>
      </c>
      <c r="B14" s="1" t="s">
        <v>319</v>
      </c>
      <c r="C14" s="1" t="s">
        <v>308</v>
      </c>
      <c r="D14" s="1" t="s">
        <v>298</v>
      </c>
    </row>
    <row r="15" spans="1:4" x14ac:dyDescent="0.3">
      <c r="A15" s="1" t="s">
        <v>41</v>
      </c>
      <c r="B15" s="1" t="s">
        <v>320</v>
      </c>
      <c r="C15" s="1" t="s">
        <v>310</v>
      </c>
      <c r="D15" s="1" t="s">
        <v>301</v>
      </c>
    </row>
    <row r="16" spans="1:4" x14ac:dyDescent="0.3">
      <c r="A16" s="1" t="s">
        <v>48</v>
      </c>
      <c r="B16" s="1" t="s">
        <v>321</v>
      </c>
      <c r="C16" s="1" t="s">
        <v>312</v>
      </c>
      <c r="D16" s="1" t="s">
        <v>304</v>
      </c>
    </row>
    <row r="17" spans="1:4" x14ac:dyDescent="0.3">
      <c r="A17" s="1" t="s">
        <v>54</v>
      </c>
      <c r="B17" s="1" t="s">
        <v>322</v>
      </c>
      <c r="C17" s="1" t="s">
        <v>314</v>
      </c>
      <c r="D17" s="1" t="s">
        <v>298</v>
      </c>
    </row>
    <row r="18" spans="1:4" x14ac:dyDescent="0.3">
      <c r="A18" s="1" t="s">
        <v>60</v>
      </c>
      <c r="B18" s="1" t="s">
        <v>323</v>
      </c>
      <c r="C18" s="1" t="s">
        <v>297</v>
      </c>
      <c r="D18" s="1" t="s">
        <v>301</v>
      </c>
    </row>
    <row r="19" spans="1:4" x14ac:dyDescent="0.3">
      <c r="A19" s="1" t="s">
        <v>15</v>
      </c>
      <c r="B19" s="1" t="s">
        <v>324</v>
      </c>
      <c r="C19" s="1" t="s">
        <v>300</v>
      </c>
      <c r="D19" s="1" t="s">
        <v>304</v>
      </c>
    </row>
    <row r="20" spans="1:4" x14ac:dyDescent="0.3">
      <c r="A20" s="1" t="s">
        <v>26</v>
      </c>
      <c r="B20" s="1" t="s">
        <v>325</v>
      </c>
      <c r="C20" s="1" t="s">
        <v>303</v>
      </c>
      <c r="D20" s="1" t="s">
        <v>298</v>
      </c>
    </row>
    <row r="21" spans="1:4" x14ac:dyDescent="0.3">
      <c r="A21" s="1" t="s">
        <v>35</v>
      </c>
      <c r="B21" s="1" t="s">
        <v>326</v>
      </c>
      <c r="C21" s="1" t="s">
        <v>306</v>
      </c>
      <c r="D21" s="1" t="s">
        <v>301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CEBA-C769-49BC-AC64-95CA4332F901}">
  <dimension ref="A1:J251"/>
  <sheetViews>
    <sheetView tabSelected="1" workbookViewId="0">
      <selection activeCell="G15" sqref="G15"/>
    </sheetView>
  </sheetViews>
  <sheetFormatPr defaultRowHeight="14.4" x14ac:dyDescent="0.3"/>
  <cols>
    <col min="1" max="1" width="9.77734375" bestFit="1" customWidth="1"/>
    <col min="2" max="2" width="11.88671875" bestFit="1" customWidth="1"/>
    <col min="3" max="3" width="13.109375" bestFit="1" customWidth="1"/>
    <col min="4" max="4" width="11.5546875" bestFit="1" customWidth="1"/>
    <col min="5" max="5" width="9.44140625" bestFit="1" customWidth="1"/>
    <col min="6" max="6" width="10.33203125" bestFit="1" customWidth="1"/>
    <col min="7" max="7" width="11" bestFit="1" customWidth="1"/>
    <col min="8" max="8" width="13.33203125" bestFit="1" customWidth="1"/>
    <col min="9" max="9" width="14.21875" bestFit="1" customWidth="1"/>
    <col min="10" max="10" width="13.44140625" bestFit="1" customWidth="1"/>
  </cols>
  <sheetData>
    <row r="1" spans="1:10" x14ac:dyDescent="0.3">
      <c r="A1" t="s">
        <v>0</v>
      </c>
      <c r="B1" t="s">
        <v>1</v>
      </c>
      <c r="C1" t="s">
        <v>2</v>
      </c>
      <c r="D1" t="s">
        <v>3</v>
      </c>
      <c r="E1" t="s">
        <v>4</v>
      </c>
      <c r="F1" t="s">
        <v>5</v>
      </c>
      <c r="G1" t="s">
        <v>6</v>
      </c>
      <c r="H1" t="s">
        <v>7</v>
      </c>
      <c r="I1" t="s">
        <v>8</v>
      </c>
      <c r="J1" t="s">
        <v>9</v>
      </c>
    </row>
    <row r="2" spans="1:10" x14ac:dyDescent="0.3">
      <c r="A2" s="1" t="s">
        <v>10</v>
      </c>
      <c r="B2" s="2">
        <v>46186</v>
      </c>
      <c r="C2" s="1" t="s">
        <v>11</v>
      </c>
      <c r="D2" s="1" t="s">
        <v>12</v>
      </c>
      <c r="E2" s="1" t="s">
        <v>13</v>
      </c>
      <c r="F2">
        <v>2</v>
      </c>
      <c r="G2">
        <v>2450</v>
      </c>
      <c r="H2">
        <v>0</v>
      </c>
      <c r="I2">
        <v>4900</v>
      </c>
      <c r="J2">
        <v>4011.38</v>
      </c>
    </row>
    <row r="3" spans="1:10" x14ac:dyDescent="0.3">
      <c r="A3" s="1" t="s">
        <v>14</v>
      </c>
      <c r="B3" s="2">
        <v>46085</v>
      </c>
      <c r="C3" s="1" t="s">
        <v>15</v>
      </c>
      <c r="D3" s="1" t="s">
        <v>16</v>
      </c>
      <c r="E3" s="1" t="s">
        <v>17</v>
      </c>
      <c r="F3">
        <v>8</v>
      </c>
      <c r="G3">
        <v>2620</v>
      </c>
      <c r="H3">
        <v>0</v>
      </c>
      <c r="I3">
        <v>20960</v>
      </c>
      <c r="J3">
        <v>17141.830000000002</v>
      </c>
    </row>
    <row r="4" spans="1:10" x14ac:dyDescent="0.3">
      <c r="A4" s="1" t="s">
        <v>18</v>
      </c>
      <c r="B4" s="2">
        <v>46196</v>
      </c>
      <c r="C4" s="1" t="s">
        <v>19</v>
      </c>
      <c r="D4" s="1" t="s">
        <v>20</v>
      </c>
      <c r="E4" s="1" t="s">
        <v>21</v>
      </c>
      <c r="F4">
        <v>18</v>
      </c>
      <c r="G4">
        <v>2850</v>
      </c>
      <c r="H4">
        <v>0</v>
      </c>
      <c r="I4">
        <v>51300</v>
      </c>
      <c r="J4">
        <v>40756.76</v>
      </c>
    </row>
    <row r="5" spans="1:10" x14ac:dyDescent="0.3">
      <c r="A5" s="1" t="s">
        <v>22</v>
      </c>
      <c r="B5" s="2">
        <v>46031</v>
      </c>
      <c r="C5" s="1" t="s">
        <v>23</v>
      </c>
      <c r="D5" s="1" t="s">
        <v>12</v>
      </c>
      <c r="E5" s="1" t="s">
        <v>24</v>
      </c>
      <c r="F5">
        <v>1</v>
      </c>
      <c r="G5">
        <v>2450</v>
      </c>
      <c r="H5">
        <v>0</v>
      </c>
      <c r="I5">
        <v>2450</v>
      </c>
      <c r="J5">
        <v>1800.71</v>
      </c>
    </row>
    <row r="6" spans="1:10" x14ac:dyDescent="0.3">
      <c r="A6" s="1" t="s">
        <v>25</v>
      </c>
      <c r="B6" s="2">
        <v>46152</v>
      </c>
      <c r="C6" s="1" t="s">
        <v>26</v>
      </c>
      <c r="D6" s="1" t="s">
        <v>16</v>
      </c>
      <c r="E6" s="1" t="s">
        <v>27</v>
      </c>
      <c r="F6">
        <v>20</v>
      </c>
      <c r="G6">
        <v>2620</v>
      </c>
      <c r="H6">
        <v>0</v>
      </c>
      <c r="I6">
        <v>52400</v>
      </c>
      <c r="J6">
        <v>41385.480000000003</v>
      </c>
    </row>
    <row r="7" spans="1:10" x14ac:dyDescent="0.3">
      <c r="A7" s="1" t="s">
        <v>28</v>
      </c>
      <c r="B7" s="2">
        <v>46206</v>
      </c>
      <c r="C7" s="1" t="s">
        <v>29</v>
      </c>
      <c r="D7" s="1" t="s">
        <v>20</v>
      </c>
      <c r="E7" s="1" t="s">
        <v>30</v>
      </c>
      <c r="F7">
        <v>18</v>
      </c>
      <c r="G7">
        <v>2850</v>
      </c>
      <c r="H7">
        <v>0.03</v>
      </c>
      <c r="I7">
        <v>49761</v>
      </c>
      <c r="J7">
        <v>36587.800000000003</v>
      </c>
    </row>
    <row r="8" spans="1:10" x14ac:dyDescent="0.3">
      <c r="A8" s="1" t="s">
        <v>31</v>
      </c>
      <c r="B8" s="2">
        <v>46173</v>
      </c>
      <c r="C8" s="1" t="s">
        <v>32</v>
      </c>
      <c r="D8" s="1" t="s">
        <v>12</v>
      </c>
      <c r="E8" s="1" t="s">
        <v>33</v>
      </c>
      <c r="F8">
        <v>5</v>
      </c>
      <c r="G8">
        <v>2450</v>
      </c>
      <c r="H8">
        <v>0</v>
      </c>
      <c r="I8">
        <v>12250</v>
      </c>
      <c r="J8">
        <v>10062.26</v>
      </c>
    </row>
    <row r="9" spans="1:10" x14ac:dyDescent="0.3">
      <c r="A9" s="1" t="s">
        <v>34</v>
      </c>
      <c r="B9" s="2">
        <v>46063</v>
      </c>
      <c r="C9" s="1" t="s">
        <v>35</v>
      </c>
      <c r="D9" s="1" t="s">
        <v>16</v>
      </c>
      <c r="E9" s="1" t="s">
        <v>36</v>
      </c>
      <c r="F9">
        <v>14</v>
      </c>
      <c r="G9">
        <v>2620</v>
      </c>
      <c r="H9">
        <v>0.02</v>
      </c>
      <c r="I9">
        <v>35946.400000000001</v>
      </c>
      <c r="J9">
        <v>26760.639999999999</v>
      </c>
    </row>
    <row r="10" spans="1:10" x14ac:dyDescent="0.3">
      <c r="A10" s="1" t="s">
        <v>37</v>
      </c>
      <c r="B10" s="2">
        <v>46078</v>
      </c>
      <c r="C10" s="1" t="s">
        <v>38</v>
      </c>
      <c r="D10" s="1" t="s">
        <v>20</v>
      </c>
      <c r="E10" s="1" t="s">
        <v>39</v>
      </c>
      <c r="F10">
        <v>11</v>
      </c>
      <c r="G10">
        <v>2850</v>
      </c>
      <c r="H10">
        <v>0</v>
      </c>
      <c r="I10">
        <v>31350</v>
      </c>
      <c r="J10">
        <v>22410.21</v>
      </c>
    </row>
    <row r="11" spans="1:10" x14ac:dyDescent="0.3">
      <c r="A11" s="1" t="s">
        <v>40</v>
      </c>
      <c r="B11" s="2">
        <v>46047</v>
      </c>
      <c r="C11" s="1" t="s">
        <v>41</v>
      </c>
      <c r="D11" s="1" t="s">
        <v>12</v>
      </c>
      <c r="E11" s="1" t="s">
        <v>42</v>
      </c>
      <c r="F11">
        <v>6</v>
      </c>
      <c r="G11">
        <v>2450</v>
      </c>
      <c r="H11">
        <v>0.02</v>
      </c>
      <c r="I11">
        <v>14406</v>
      </c>
      <c r="J11">
        <v>11475.76</v>
      </c>
    </row>
    <row r="12" spans="1:10" x14ac:dyDescent="0.3">
      <c r="A12" s="1" t="s">
        <v>43</v>
      </c>
      <c r="B12" s="2">
        <v>46229</v>
      </c>
      <c r="C12" s="1" t="s">
        <v>44</v>
      </c>
      <c r="D12" s="1" t="s">
        <v>16</v>
      </c>
      <c r="E12" s="1" t="s">
        <v>13</v>
      </c>
      <c r="F12">
        <v>2</v>
      </c>
      <c r="G12">
        <v>2620</v>
      </c>
      <c r="H12">
        <v>0.08</v>
      </c>
      <c r="I12">
        <v>4820.8</v>
      </c>
      <c r="J12">
        <v>3728.93</v>
      </c>
    </row>
    <row r="13" spans="1:10" x14ac:dyDescent="0.3">
      <c r="A13" s="1" t="s">
        <v>45</v>
      </c>
      <c r="B13" s="2">
        <v>46054</v>
      </c>
      <c r="C13" s="1" t="s">
        <v>46</v>
      </c>
      <c r="D13" s="1" t="s">
        <v>20</v>
      </c>
      <c r="E13" s="1" t="s">
        <v>17</v>
      </c>
      <c r="F13">
        <v>13</v>
      </c>
      <c r="G13">
        <v>2850</v>
      </c>
      <c r="H13">
        <v>0</v>
      </c>
      <c r="I13">
        <v>37050</v>
      </c>
      <c r="J13">
        <v>29207.5</v>
      </c>
    </row>
    <row r="14" spans="1:10" x14ac:dyDescent="0.3">
      <c r="A14" s="1" t="s">
        <v>47</v>
      </c>
      <c r="B14" s="2">
        <v>46235</v>
      </c>
      <c r="C14" s="1" t="s">
        <v>48</v>
      </c>
      <c r="D14" s="1" t="s">
        <v>12</v>
      </c>
      <c r="E14" s="1" t="s">
        <v>21</v>
      </c>
      <c r="F14">
        <v>6</v>
      </c>
      <c r="G14">
        <v>2450</v>
      </c>
      <c r="H14">
        <v>0.05</v>
      </c>
      <c r="I14">
        <v>13965</v>
      </c>
      <c r="J14">
        <v>10205.15</v>
      </c>
    </row>
    <row r="15" spans="1:10" x14ac:dyDescent="0.3">
      <c r="A15" s="1" t="s">
        <v>49</v>
      </c>
      <c r="B15" s="2">
        <v>46040</v>
      </c>
      <c r="C15" s="1" t="s">
        <v>50</v>
      </c>
      <c r="D15" s="1" t="s">
        <v>16</v>
      </c>
      <c r="E15" s="1" t="s">
        <v>24</v>
      </c>
      <c r="F15">
        <v>2</v>
      </c>
      <c r="G15">
        <v>2620</v>
      </c>
      <c r="H15">
        <v>0.08</v>
      </c>
      <c r="I15">
        <v>4820.8</v>
      </c>
      <c r="J15">
        <v>3550.34</v>
      </c>
    </row>
    <row r="16" spans="1:10" x14ac:dyDescent="0.3">
      <c r="A16" s="1" t="s">
        <v>51</v>
      </c>
      <c r="B16" s="2">
        <v>46097</v>
      </c>
      <c r="C16" s="1" t="s">
        <v>52</v>
      </c>
      <c r="D16" s="1" t="s">
        <v>20</v>
      </c>
      <c r="E16" s="1" t="s">
        <v>27</v>
      </c>
      <c r="F16">
        <v>3</v>
      </c>
      <c r="G16">
        <v>2850</v>
      </c>
      <c r="H16">
        <v>0</v>
      </c>
      <c r="I16">
        <v>8550</v>
      </c>
      <c r="J16">
        <v>7170.35</v>
      </c>
    </row>
    <row r="17" spans="1:10" x14ac:dyDescent="0.3">
      <c r="A17" s="1" t="s">
        <v>53</v>
      </c>
      <c r="B17" s="2">
        <v>46120</v>
      </c>
      <c r="C17" s="1" t="s">
        <v>54</v>
      </c>
      <c r="D17" s="1" t="s">
        <v>12</v>
      </c>
      <c r="E17" s="1" t="s">
        <v>30</v>
      </c>
      <c r="F17">
        <v>5</v>
      </c>
      <c r="G17">
        <v>2450</v>
      </c>
      <c r="H17">
        <v>0.03</v>
      </c>
      <c r="I17">
        <v>11882.5</v>
      </c>
      <c r="J17">
        <v>9526.31</v>
      </c>
    </row>
    <row r="18" spans="1:10" x14ac:dyDescent="0.3">
      <c r="A18" s="1" t="s">
        <v>55</v>
      </c>
      <c r="B18" s="2">
        <v>46116</v>
      </c>
      <c r="C18" s="1" t="s">
        <v>56</v>
      </c>
      <c r="D18" s="1" t="s">
        <v>16</v>
      </c>
      <c r="E18" s="1" t="s">
        <v>33</v>
      </c>
      <c r="F18">
        <v>6</v>
      </c>
      <c r="G18">
        <v>2620</v>
      </c>
      <c r="H18">
        <v>0.02</v>
      </c>
      <c r="I18">
        <v>15405.6</v>
      </c>
      <c r="J18">
        <v>11659.63</v>
      </c>
    </row>
    <row r="19" spans="1:10" x14ac:dyDescent="0.3">
      <c r="A19" s="1" t="s">
        <v>57</v>
      </c>
      <c r="B19" s="2">
        <v>46194</v>
      </c>
      <c r="C19" s="1" t="s">
        <v>58</v>
      </c>
      <c r="D19" s="1" t="s">
        <v>20</v>
      </c>
      <c r="E19" s="1" t="s">
        <v>36</v>
      </c>
      <c r="F19">
        <v>9</v>
      </c>
      <c r="G19">
        <v>2850</v>
      </c>
      <c r="H19">
        <v>0.08</v>
      </c>
      <c r="I19">
        <v>23598</v>
      </c>
      <c r="J19">
        <v>20055.11</v>
      </c>
    </row>
    <row r="20" spans="1:10" x14ac:dyDescent="0.3">
      <c r="A20" s="1" t="s">
        <v>59</v>
      </c>
      <c r="B20" s="2">
        <v>46188</v>
      </c>
      <c r="C20" s="1" t="s">
        <v>60</v>
      </c>
      <c r="D20" s="1" t="s">
        <v>12</v>
      </c>
      <c r="E20" s="1" t="s">
        <v>39</v>
      </c>
      <c r="F20">
        <v>2</v>
      </c>
      <c r="G20">
        <v>2450</v>
      </c>
      <c r="H20">
        <v>0.05</v>
      </c>
      <c r="I20">
        <v>4655</v>
      </c>
      <c r="J20">
        <v>3731.43</v>
      </c>
    </row>
    <row r="21" spans="1:10" x14ac:dyDescent="0.3">
      <c r="A21" s="1" t="s">
        <v>61</v>
      </c>
      <c r="B21" s="2">
        <v>46159</v>
      </c>
      <c r="C21" s="1" t="s">
        <v>62</v>
      </c>
      <c r="D21" s="1" t="s">
        <v>16</v>
      </c>
      <c r="E21" s="1" t="s">
        <v>42</v>
      </c>
      <c r="F21">
        <v>8</v>
      </c>
      <c r="G21">
        <v>2620</v>
      </c>
      <c r="H21">
        <v>0</v>
      </c>
      <c r="I21">
        <v>20960</v>
      </c>
      <c r="J21">
        <v>16222.24</v>
      </c>
    </row>
    <row r="22" spans="1:10" x14ac:dyDescent="0.3">
      <c r="A22" s="1" t="s">
        <v>63</v>
      </c>
      <c r="B22" s="2">
        <v>46092</v>
      </c>
      <c r="C22" s="1" t="s">
        <v>11</v>
      </c>
      <c r="D22" s="1" t="s">
        <v>20</v>
      </c>
      <c r="E22" s="1" t="s">
        <v>13</v>
      </c>
      <c r="F22">
        <v>18</v>
      </c>
      <c r="G22">
        <v>2850</v>
      </c>
      <c r="H22">
        <v>0</v>
      </c>
      <c r="I22">
        <v>51300</v>
      </c>
      <c r="J22">
        <v>41529.31</v>
      </c>
    </row>
    <row r="23" spans="1:10" x14ac:dyDescent="0.3">
      <c r="A23" s="1" t="s">
        <v>64</v>
      </c>
      <c r="B23" s="2">
        <v>46219</v>
      </c>
      <c r="C23" s="1" t="s">
        <v>15</v>
      </c>
      <c r="D23" s="1" t="s">
        <v>12</v>
      </c>
      <c r="E23" s="1" t="s">
        <v>17</v>
      </c>
      <c r="F23">
        <v>1</v>
      </c>
      <c r="G23">
        <v>2450</v>
      </c>
      <c r="H23">
        <v>0</v>
      </c>
      <c r="I23">
        <v>2450</v>
      </c>
      <c r="J23">
        <v>2037.15</v>
      </c>
    </row>
    <row r="24" spans="1:10" x14ac:dyDescent="0.3">
      <c r="A24" s="1" t="s">
        <v>65</v>
      </c>
      <c r="B24" s="2">
        <v>46229</v>
      </c>
      <c r="C24" s="1" t="s">
        <v>19</v>
      </c>
      <c r="D24" s="1" t="s">
        <v>16</v>
      </c>
      <c r="E24" s="1" t="s">
        <v>21</v>
      </c>
      <c r="F24">
        <v>11</v>
      </c>
      <c r="G24">
        <v>2620</v>
      </c>
      <c r="H24">
        <v>0.03</v>
      </c>
      <c r="I24">
        <v>27955.4</v>
      </c>
      <c r="J24">
        <v>20766.349999999999</v>
      </c>
    </row>
    <row r="25" spans="1:10" x14ac:dyDescent="0.3">
      <c r="A25" s="1" t="s">
        <v>66</v>
      </c>
      <c r="B25" s="2">
        <v>46077</v>
      </c>
      <c r="C25" s="1" t="s">
        <v>23</v>
      </c>
      <c r="D25" s="1" t="s">
        <v>20</v>
      </c>
      <c r="E25" s="1" t="s">
        <v>24</v>
      </c>
      <c r="F25">
        <v>19</v>
      </c>
      <c r="G25">
        <v>2850</v>
      </c>
      <c r="H25">
        <v>0.08</v>
      </c>
      <c r="I25">
        <v>49818</v>
      </c>
      <c r="J25">
        <v>37380.86</v>
      </c>
    </row>
    <row r="26" spans="1:10" x14ac:dyDescent="0.3">
      <c r="A26" s="1" t="s">
        <v>67</v>
      </c>
      <c r="B26" s="2">
        <v>46190</v>
      </c>
      <c r="C26" s="1" t="s">
        <v>26</v>
      </c>
      <c r="D26" s="1" t="s">
        <v>12</v>
      </c>
      <c r="E26" s="1" t="s">
        <v>27</v>
      </c>
      <c r="F26">
        <v>8</v>
      </c>
      <c r="G26">
        <v>2450</v>
      </c>
      <c r="H26">
        <v>0.03</v>
      </c>
      <c r="I26">
        <v>19012</v>
      </c>
      <c r="J26">
        <v>15999.54</v>
      </c>
    </row>
    <row r="27" spans="1:10" x14ac:dyDescent="0.3">
      <c r="A27" s="1" t="s">
        <v>68</v>
      </c>
      <c r="B27" s="2">
        <v>46187</v>
      </c>
      <c r="C27" s="1" t="s">
        <v>29</v>
      </c>
      <c r="D27" s="1" t="s">
        <v>16</v>
      </c>
      <c r="E27" s="1" t="s">
        <v>30</v>
      </c>
      <c r="F27">
        <v>15</v>
      </c>
      <c r="G27">
        <v>2620</v>
      </c>
      <c r="H27">
        <v>0</v>
      </c>
      <c r="I27">
        <v>39300</v>
      </c>
      <c r="J27">
        <v>29175.57</v>
      </c>
    </row>
    <row r="28" spans="1:10" x14ac:dyDescent="0.3">
      <c r="A28" s="1" t="s">
        <v>69</v>
      </c>
      <c r="B28" s="2">
        <v>46086</v>
      </c>
      <c r="C28" s="1" t="s">
        <v>32</v>
      </c>
      <c r="D28" s="1" t="s">
        <v>20</v>
      </c>
      <c r="E28" s="1" t="s">
        <v>33</v>
      </c>
      <c r="F28">
        <v>18</v>
      </c>
      <c r="G28">
        <v>2850</v>
      </c>
      <c r="H28">
        <v>0.05</v>
      </c>
      <c r="I28">
        <v>48735</v>
      </c>
      <c r="J28">
        <v>36163.25</v>
      </c>
    </row>
    <row r="29" spans="1:10" x14ac:dyDescent="0.3">
      <c r="A29" s="1" t="s">
        <v>70</v>
      </c>
      <c r="B29" s="2">
        <v>46172</v>
      </c>
      <c r="C29" s="1" t="s">
        <v>35</v>
      </c>
      <c r="D29" s="1" t="s">
        <v>12</v>
      </c>
      <c r="E29" s="1" t="s">
        <v>36</v>
      </c>
      <c r="F29">
        <v>7</v>
      </c>
      <c r="G29">
        <v>2450</v>
      </c>
      <c r="H29">
        <v>0.05</v>
      </c>
      <c r="I29">
        <v>16292.5</v>
      </c>
      <c r="J29">
        <v>12445.91</v>
      </c>
    </row>
    <row r="30" spans="1:10" x14ac:dyDescent="0.3">
      <c r="A30" s="1" t="s">
        <v>71</v>
      </c>
      <c r="B30" s="2">
        <v>46079</v>
      </c>
      <c r="C30" s="1" t="s">
        <v>38</v>
      </c>
      <c r="D30" s="1" t="s">
        <v>16</v>
      </c>
      <c r="E30" s="1" t="s">
        <v>39</v>
      </c>
      <c r="F30">
        <v>5</v>
      </c>
      <c r="G30">
        <v>2620</v>
      </c>
      <c r="H30">
        <v>0.05</v>
      </c>
      <c r="I30">
        <v>12445</v>
      </c>
      <c r="J30">
        <v>9694.19</v>
      </c>
    </row>
    <row r="31" spans="1:10" x14ac:dyDescent="0.3">
      <c r="A31" s="1" t="s">
        <v>72</v>
      </c>
      <c r="B31" s="2">
        <v>46216</v>
      </c>
      <c r="C31" s="1" t="s">
        <v>41</v>
      </c>
      <c r="D31" s="1" t="s">
        <v>20</v>
      </c>
      <c r="E31" s="1" t="s">
        <v>42</v>
      </c>
      <c r="F31">
        <v>2</v>
      </c>
      <c r="G31">
        <v>2850</v>
      </c>
      <c r="H31">
        <v>0</v>
      </c>
      <c r="I31">
        <v>5700</v>
      </c>
      <c r="J31">
        <v>4129.3900000000003</v>
      </c>
    </row>
    <row r="32" spans="1:10" x14ac:dyDescent="0.3">
      <c r="A32" s="1" t="s">
        <v>73</v>
      </c>
      <c r="B32" s="2">
        <v>46063</v>
      </c>
      <c r="C32" s="1" t="s">
        <v>44</v>
      </c>
      <c r="D32" s="1" t="s">
        <v>12</v>
      </c>
      <c r="E32" s="1" t="s">
        <v>13</v>
      </c>
      <c r="F32">
        <v>7</v>
      </c>
      <c r="G32">
        <v>2450</v>
      </c>
      <c r="H32">
        <v>0.05</v>
      </c>
      <c r="I32">
        <v>16292.5</v>
      </c>
      <c r="J32">
        <v>11570.35</v>
      </c>
    </row>
    <row r="33" spans="1:10" x14ac:dyDescent="0.3">
      <c r="A33" s="1" t="s">
        <v>74</v>
      </c>
      <c r="B33" s="2">
        <v>46120</v>
      </c>
      <c r="C33" s="1" t="s">
        <v>46</v>
      </c>
      <c r="D33" s="1" t="s">
        <v>16</v>
      </c>
      <c r="E33" s="1" t="s">
        <v>17</v>
      </c>
      <c r="F33">
        <v>20</v>
      </c>
      <c r="G33">
        <v>2620</v>
      </c>
      <c r="H33">
        <v>0.03</v>
      </c>
      <c r="I33">
        <v>50828</v>
      </c>
      <c r="J33">
        <v>39882.61</v>
      </c>
    </row>
    <row r="34" spans="1:10" x14ac:dyDescent="0.3">
      <c r="A34" s="1" t="s">
        <v>75</v>
      </c>
      <c r="B34" s="2">
        <v>46164</v>
      </c>
      <c r="C34" s="1" t="s">
        <v>48</v>
      </c>
      <c r="D34" s="1" t="s">
        <v>20</v>
      </c>
      <c r="E34" s="1" t="s">
        <v>21</v>
      </c>
      <c r="F34">
        <v>1</v>
      </c>
      <c r="G34">
        <v>2850</v>
      </c>
      <c r="H34">
        <v>0.08</v>
      </c>
      <c r="I34">
        <v>2622</v>
      </c>
      <c r="J34">
        <v>2137.7600000000002</v>
      </c>
    </row>
    <row r="35" spans="1:10" x14ac:dyDescent="0.3">
      <c r="A35" s="1" t="s">
        <v>76</v>
      </c>
      <c r="B35" s="2">
        <v>46197</v>
      </c>
      <c r="C35" s="1" t="s">
        <v>50</v>
      </c>
      <c r="D35" s="1" t="s">
        <v>12</v>
      </c>
      <c r="E35" s="1" t="s">
        <v>24</v>
      </c>
      <c r="F35">
        <v>5</v>
      </c>
      <c r="G35">
        <v>2450</v>
      </c>
      <c r="H35">
        <v>0.08</v>
      </c>
      <c r="I35">
        <v>11270</v>
      </c>
      <c r="J35">
        <v>8502.4</v>
      </c>
    </row>
    <row r="36" spans="1:10" x14ac:dyDescent="0.3">
      <c r="A36" s="1" t="s">
        <v>77</v>
      </c>
      <c r="B36" s="2">
        <v>46098</v>
      </c>
      <c r="C36" s="1" t="s">
        <v>52</v>
      </c>
      <c r="D36" s="1" t="s">
        <v>16</v>
      </c>
      <c r="E36" s="1" t="s">
        <v>27</v>
      </c>
      <c r="F36">
        <v>14</v>
      </c>
      <c r="G36">
        <v>2620</v>
      </c>
      <c r="H36">
        <v>0</v>
      </c>
      <c r="I36">
        <v>36680</v>
      </c>
      <c r="J36">
        <v>28338.81</v>
      </c>
    </row>
    <row r="37" spans="1:10" x14ac:dyDescent="0.3">
      <c r="A37" s="1" t="s">
        <v>78</v>
      </c>
      <c r="B37" s="2">
        <v>46207</v>
      </c>
      <c r="C37" s="1" t="s">
        <v>54</v>
      </c>
      <c r="D37" s="1" t="s">
        <v>20</v>
      </c>
      <c r="E37" s="1" t="s">
        <v>30</v>
      </c>
      <c r="F37">
        <v>9</v>
      </c>
      <c r="G37">
        <v>2850</v>
      </c>
      <c r="H37">
        <v>0.05</v>
      </c>
      <c r="I37">
        <v>24367.5</v>
      </c>
      <c r="J37">
        <v>20027.990000000002</v>
      </c>
    </row>
    <row r="38" spans="1:10" x14ac:dyDescent="0.3">
      <c r="A38" s="1" t="s">
        <v>79</v>
      </c>
      <c r="B38" s="2">
        <v>46152</v>
      </c>
      <c r="C38" s="1" t="s">
        <v>56</v>
      </c>
      <c r="D38" s="1" t="s">
        <v>12</v>
      </c>
      <c r="E38" s="1" t="s">
        <v>33</v>
      </c>
      <c r="F38">
        <v>2</v>
      </c>
      <c r="G38">
        <v>2450</v>
      </c>
      <c r="H38">
        <v>0.08</v>
      </c>
      <c r="I38">
        <v>4508</v>
      </c>
      <c r="J38">
        <v>3370.86</v>
      </c>
    </row>
    <row r="39" spans="1:10" x14ac:dyDescent="0.3">
      <c r="A39" s="1" t="s">
        <v>80</v>
      </c>
      <c r="B39" s="2">
        <v>46186</v>
      </c>
      <c r="C39" s="1" t="s">
        <v>58</v>
      </c>
      <c r="D39" s="1" t="s">
        <v>16</v>
      </c>
      <c r="E39" s="1" t="s">
        <v>36</v>
      </c>
      <c r="F39">
        <v>17</v>
      </c>
      <c r="G39">
        <v>2620</v>
      </c>
      <c r="H39">
        <v>0.05</v>
      </c>
      <c r="I39">
        <v>42313</v>
      </c>
      <c r="J39">
        <v>30965.74</v>
      </c>
    </row>
    <row r="40" spans="1:10" x14ac:dyDescent="0.3">
      <c r="A40" s="1" t="s">
        <v>81</v>
      </c>
      <c r="B40" s="2">
        <v>46118</v>
      </c>
      <c r="C40" s="1" t="s">
        <v>60</v>
      </c>
      <c r="D40" s="1" t="s">
        <v>20</v>
      </c>
      <c r="E40" s="1" t="s">
        <v>39</v>
      </c>
      <c r="F40">
        <v>6</v>
      </c>
      <c r="G40">
        <v>2850</v>
      </c>
      <c r="H40">
        <v>0.05</v>
      </c>
      <c r="I40">
        <v>16245</v>
      </c>
      <c r="J40">
        <v>13849.84</v>
      </c>
    </row>
    <row r="41" spans="1:10" x14ac:dyDescent="0.3">
      <c r="A41" s="1" t="s">
        <v>82</v>
      </c>
      <c r="B41" s="2">
        <v>46158</v>
      </c>
      <c r="C41" s="1" t="s">
        <v>62</v>
      </c>
      <c r="D41" s="1" t="s">
        <v>12</v>
      </c>
      <c r="E41" s="1" t="s">
        <v>42</v>
      </c>
      <c r="F41">
        <v>1</v>
      </c>
      <c r="G41">
        <v>2450</v>
      </c>
      <c r="H41">
        <v>0.05</v>
      </c>
      <c r="I41">
        <v>2327.5</v>
      </c>
      <c r="J41">
        <v>1749.97</v>
      </c>
    </row>
    <row r="42" spans="1:10" x14ac:dyDescent="0.3">
      <c r="A42" s="1" t="s">
        <v>83</v>
      </c>
      <c r="B42" s="2">
        <v>46027</v>
      </c>
      <c r="C42" s="1" t="s">
        <v>11</v>
      </c>
      <c r="D42" s="1" t="s">
        <v>16</v>
      </c>
      <c r="E42" s="1" t="s">
        <v>13</v>
      </c>
      <c r="F42">
        <v>4</v>
      </c>
      <c r="G42">
        <v>2620</v>
      </c>
      <c r="H42">
        <v>0.02</v>
      </c>
      <c r="I42">
        <v>10270.4</v>
      </c>
      <c r="J42">
        <v>8633.25</v>
      </c>
    </row>
    <row r="43" spans="1:10" x14ac:dyDescent="0.3">
      <c r="A43" s="1" t="s">
        <v>84</v>
      </c>
      <c r="B43" s="2">
        <v>46235</v>
      </c>
      <c r="C43" s="1" t="s">
        <v>15</v>
      </c>
      <c r="D43" s="1" t="s">
        <v>20</v>
      </c>
      <c r="E43" s="1" t="s">
        <v>17</v>
      </c>
      <c r="F43">
        <v>10</v>
      </c>
      <c r="G43">
        <v>2850</v>
      </c>
      <c r="H43">
        <v>0</v>
      </c>
      <c r="I43">
        <v>28500</v>
      </c>
      <c r="J43">
        <v>20214.14</v>
      </c>
    </row>
    <row r="44" spans="1:10" x14ac:dyDescent="0.3">
      <c r="A44" s="1" t="s">
        <v>85</v>
      </c>
      <c r="B44" s="2">
        <v>46168</v>
      </c>
      <c r="C44" s="1" t="s">
        <v>19</v>
      </c>
      <c r="D44" s="1" t="s">
        <v>12</v>
      </c>
      <c r="E44" s="1" t="s">
        <v>21</v>
      </c>
      <c r="F44">
        <v>2</v>
      </c>
      <c r="G44">
        <v>2450</v>
      </c>
      <c r="H44">
        <v>0</v>
      </c>
      <c r="I44">
        <v>4900</v>
      </c>
      <c r="J44">
        <v>4003.82</v>
      </c>
    </row>
    <row r="45" spans="1:10" x14ac:dyDescent="0.3">
      <c r="A45" s="1" t="s">
        <v>86</v>
      </c>
      <c r="B45" s="2">
        <v>46231</v>
      </c>
      <c r="C45" s="1" t="s">
        <v>23</v>
      </c>
      <c r="D45" s="1" t="s">
        <v>16</v>
      </c>
      <c r="E45" s="1" t="s">
        <v>24</v>
      </c>
      <c r="F45">
        <v>3</v>
      </c>
      <c r="G45">
        <v>2620</v>
      </c>
      <c r="H45">
        <v>0.05</v>
      </c>
      <c r="I45">
        <v>7467</v>
      </c>
      <c r="J45">
        <v>6141.86</v>
      </c>
    </row>
    <row r="46" spans="1:10" x14ac:dyDescent="0.3">
      <c r="A46" s="1" t="s">
        <v>87</v>
      </c>
      <c r="B46" s="2">
        <v>46055</v>
      </c>
      <c r="C46" s="1" t="s">
        <v>26</v>
      </c>
      <c r="D46" s="1" t="s">
        <v>20</v>
      </c>
      <c r="E46" s="1" t="s">
        <v>27</v>
      </c>
      <c r="F46">
        <v>16</v>
      </c>
      <c r="G46">
        <v>2850</v>
      </c>
      <c r="H46">
        <v>0.05</v>
      </c>
      <c r="I46">
        <v>43320</v>
      </c>
      <c r="J46">
        <v>31468.53</v>
      </c>
    </row>
    <row r="47" spans="1:10" x14ac:dyDescent="0.3">
      <c r="A47" s="1" t="s">
        <v>88</v>
      </c>
      <c r="B47" s="2">
        <v>46158</v>
      </c>
      <c r="C47" s="1" t="s">
        <v>29</v>
      </c>
      <c r="D47" s="1" t="s">
        <v>12</v>
      </c>
      <c r="E47" s="1" t="s">
        <v>30</v>
      </c>
      <c r="F47">
        <v>7</v>
      </c>
      <c r="G47">
        <v>2450</v>
      </c>
      <c r="H47">
        <v>0</v>
      </c>
      <c r="I47">
        <v>17150</v>
      </c>
      <c r="J47">
        <v>14553.94</v>
      </c>
    </row>
    <row r="48" spans="1:10" x14ac:dyDescent="0.3">
      <c r="A48" s="1" t="s">
        <v>89</v>
      </c>
      <c r="B48" s="2">
        <v>46216</v>
      </c>
      <c r="C48" s="1" t="s">
        <v>32</v>
      </c>
      <c r="D48" s="1" t="s">
        <v>16</v>
      </c>
      <c r="E48" s="1" t="s">
        <v>33</v>
      </c>
      <c r="F48">
        <v>7</v>
      </c>
      <c r="G48">
        <v>2620</v>
      </c>
      <c r="H48">
        <v>0.08</v>
      </c>
      <c r="I48">
        <v>16872.8</v>
      </c>
      <c r="J48">
        <v>12652.48</v>
      </c>
    </row>
    <row r="49" spans="1:10" x14ac:dyDescent="0.3">
      <c r="A49" s="1" t="s">
        <v>90</v>
      </c>
      <c r="B49" s="2">
        <v>46194</v>
      </c>
      <c r="C49" s="1" t="s">
        <v>35</v>
      </c>
      <c r="D49" s="1" t="s">
        <v>20</v>
      </c>
      <c r="E49" s="1" t="s">
        <v>36</v>
      </c>
      <c r="F49">
        <v>12</v>
      </c>
      <c r="G49">
        <v>2850</v>
      </c>
      <c r="H49">
        <v>0.03</v>
      </c>
      <c r="I49">
        <v>33174</v>
      </c>
      <c r="J49">
        <v>27996.81</v>
      </c>
    </row>
    <row r="50" spans="1:10" x14ac:dyDescent="0.3">
      <c r="A50" s="1" t="s">
        <v>91</v>
      </c>
      <c r="B50" s="2">
        <v>46138</v>
      </c>
      <c r="C50" s="1" t="s">
        <v>38</v>
      </c>
      <c r="D50" s="1" t="s">
        <v>12</v>
      </c>
      <c r="E50" s="1" t="s">
        <v>39</v>
      </c>
      <c r="F50">
        <v>2</v>
      </c>
      <c r="G50">
        <v>2450</v>
      </c>
      <c r="H50">
        <v>0</v>
      </c>
      <c r="I50">
        <v>4900</v>
      </c>
      <c r="J50">
        <v>3606.16</v>
      </c>
    </row>
    <row r="51" spans="1:10" x14ac:dyDescent="0.3">
      <c r="A51" s="1" t="s">
        <v>92</v>
      </c>
      <c r="B51" s="2">
        <v>46109</v>
      </c>
      <c r="C51" s="1" t="s">
        <v>41</v>
      </c>
      <c r="D51" s="1" t="s">
        <v>16</v>
      </c>
      <c r="E51" s="1" t="s">
        <v>42</v>
      </c>
      <c r="F51">
        <v>1</v>
      </c>
      <c r="G51">
        <v>2620</v>
      </c>
      <c r="H51">
        <v>0.05</v>
      </c>
      <c r="I51">
        <v>2489</v>
      </c>
      <c r="J51">
        <v>1962.89</v>
      </c>
    </row>
    <row r="52" spans="1:10" x14ac:dyDescent="0.3">
      <c r="A52" s="1" t="s">
        <v>93</v>
      </c>
      <c r="B52" s="2">
        <v>46173</v>
      </c>
      <c r="C52" s="1" t="s">
        <v>44</v>
      </c>
      <c r="D52" s="1" t="s">
        <v>20</v>
      </c>
      <c r="E52" s="1" t="s">
        <v>13</v>
      </c>
      <c r="F52">
        <v>8</v>
      </c>
      <c r="G52">
        <v>2850</v>
      </c>
      <c r="H52">
        <v>0</v>
      </c>
      <c r="I52">
        <v>22800</v>
      </c>
      <c r="J52">
        <v>16218.98</v>
      </c>
    </row>
    <row r="53" spans="1:10" x14ac:dyDescent="0.3">
      <c r="A53" s="1" t="s">
        <v>94</v>
      </c>
      <c r="B53" s="2">
        <v>46184</v>
      </c>
      <c r="C53" s="1" t="s">
        <v>46</v>
      </c>
      <c r="D53" s="1" t="s">
        <v>12</v>
      </c>
      <c r="E53" s="1" t="s">
        <v>17</v>
      </c>
      <c r="F53">
        <v>1</v>
      </c>
      <c r="G53">
        <v>2450</v>
      </c>
      <c r="H53">
        <v>0</v>
      </c>
      <c r="I53">
        <v>2450</v>
      </c>
      <c r="J53">
        <v>1741.42</v>
      </c>
    </row>
    <row r="54" spans="1:10" x14ac:dyDescent="0.3">
      <c r="A54" s="1" t="s">
        <v>95</v>
      </c>
      <c r="B54" s="2">
        <v>46031</v>
      </c>
      <c r="C54" s="1" t="s">
        <v>48</v>
      </c>
      <c r="D54" s="1" t="s">
        <v>16</v>
      </c>
      <c r="E54" s="1" t="s">
        <v>21</v>
      </c>
      <c r="F54">
        <v>11</v>
      </c>
      <c r="G54">
        <v>2620</v>
      </c>
      <c r="H54">
        <v>0</v>
      </c>
      <c r="I54">
        <v>28820</v>
      </c>
      <c r="J54">
        <v>22544.880000000001</v>
      </c>
    </row>
    <row r="55" spans="1:10" x14ac:dyDescent="0.3">
      <c r="A55" s="1" t="s">
        <v>96</v>
      </c>
      <c r="B55" s="2">
        <v>46094</v>
      </c>
      <c r="C55" s="1" t="s">
        <v>50</v>
      </c>
      <c r="D55" s="1" t="s">
        <v>20</v>
      </c>
      <c r="E55" s="1" t="s">
        <v>24</v>
      </c>
      <c r="F55">
        <v>16</v>
      </c>
      <c r="G55">
        <v>2850</v>
      </c>
      <c r="H55">
        <v>0</v>
      </c>
      <c r="I55">
        <v>45600</v>
      </c>
      <c r="J55">
        <v>35854.25</v>
      </c>
    </row>
    <row r="56" spans="1:10" x14ac:dyDescent="0.3">
      <c r="A56" s="1" t="s">
        <v>97</v>
      </c>
      <c r="B56" s="2">
        <v>46208</v>
      </c>
      <c r="C56" s="1" t="s">
        <v>52</v>
      </c>
      <c r="D56" s="1" t="s">
        <v>12</v>
      </c>
      <c r="E56" s="1" t="s">
        <v>27</v>
      </c>
      <c r="F56">
        <v>8</v>
      </c>
      <c r="G56">
        <v>2450</v>
      </c>
      <c r="H56">
        <v>0</v>
      </c>
      <c r="I56">
        <v>19600</v>
      </c>
      <c r="J56">
        <v>16180.57</v>
      </c>
    </row>
    <row r="57" spans="1:10" x14ac:dyDescent="0.3">
      <c r="A57" s="1" t="s">
        <v>98</v>
      </c>
      <c r="B57" s="2">
        <v>46229</v>
      </c>
      <c r="C57" s="1" t="s">
        <v>54</v>
      </c>
      <c r="D57" s="1" t="s">
        <v>16</v>
      </c>
      <c r="E57" s="1" t="s">
        <v>30</v>
      </c>
      <c r="F57">
        <v>14</v>
      </c>
      <c r="G57">
        <v>2620</v>
      </c>
      <c r="H57">
        <v>0</v>
      </c>
      <c r="I57">
        <v>36680</v>
      </c>
      <c r="J57">
        <v>26229.58</v>
      </c>
    </row>
    <row r="58" spans="1:10" x14ac:dyDescent="0.3">
      <c r="A58" s="1" t="s">
        <v>99</v>
      </c>
      <c r="B58" s="2">
        <v>46191</v>
      </c>
      <c r="C58" s="1" t="s">
        <v>56</v>
      </c>
      <c r="D58" s="1" t="s">
        <v>20</v>
      </c>
      <c r="E58" s="1" t="s">
        <v>33</v>
      </c>
      <c r="F58">
        <v>14</v>
      </c>
      <c r="G58">
        <v>2850</v>
      </c>
      <c r="H58">
        <v>0.02</v>
      </c>
      <c r="I58">
        <v>39102</v>
      </c>
      <c r="J58">
        <v>30021.439999999999</v>
      </c>
    </row>
    <row r="59" spans="1:10" x14ac:dyDescent="0.3">
      <c r="A59" s="1" t="s">
        <v>100</v>
      </c>
      <c r="B59" s="2">
        <v>46142</v>
      </c>
      <c r="C59" s="1" t="s">
        <v>58</v>
      </c>
      <c r="D59" s="1" t="s">
        <v>12</v>
      </c>
      <c r="E59" s="1" t="s">
        <v>36</v>
      </c>
      <c r="F59">
        <v>1</v>
      </c>
      <c r="G59">
        <v>2450</v>
      </c>
      <c r="H59">
        <v>0.08</v>
      </c>
      <c r="I59">
        <v>2254</v>
      </c>
      <c r="J59">
        <v>1813.46</v>
      </c>
    </row>
    <row r="60" spans="1:10" x14ac:dyDescent="0.3">
      <c r="A60" s="1" t="s">
        <v>101</v>
      </c>
      <c r="B60" s="2">
        <v>46188</v>
      </c>
      <c r="C60" s="1" t="s">
        <v>60</v>
      </c>
      <c r="D60" s="1" t="s">
        <v>16</v>
      </c>
      <c r="E60" s="1" t="s">
        <v>39</v>
      </c>
      <c r="F60">
        <v>4</v>
      </c>
      <c r="G60">
        <v>2620</v>
      </c>
      <c r="H60">
        <v>0</v>
      </c>
      <c r="I60">
        <v>10480</v>
      </c>
      <c r="J60">
        <v>8011.12</v>
      </c>
    </row>
    <row r="61" spans="1:10" x14ac:dyDescent="0.3">
      <c r="A61" s="1" t="s">
        <v>102</v>
      </c>
      <c r="B61" s="2">
        <v>46109</v>
      </c>
      <c r="C61" s="1" t="s">
        <v>62</v>
      </c>
      <c r="D61" s="1" t="s">
        <v>20</v>
      </c>
      <c r="E61" s="1" t="s">
        <v>42</v>
      </c>
      <c r="F61">
        <v>4</v>
      </c>
      <c r="G61">
        <v>2850</v>
      </c>
      <c r="H61">
        <v>0</v>
      </c>
      <c r="I61">
        <v>11400</v>
      </c>
      <c r="J61">
        <v>8329.4599999999991</v>
      </c>
    </row>
    <row r="62" spans="1:10" x14ac:dyDescent="0.3">
      <c r="A62" s="1" t="s">
        <v>103</v>
      </c>
      <c r="B62" s="2">
        <v>46160</v>
      </c>
      <c r="C62" s="1" t="s">
        <v>11</v>
      </c>
      <c r="D62" s="1" t="s">
        <v>12</v>
      </c>
      <c r="E62" s="1" t="s">
        <v>13</v>
      </c>
      <c r="F62">
        <v>8</v>
      </c>
      <c r="G62">
        <v>2450</v>
      </c>
      <c r="H62">
        <v>0</v>
      </c>
      <c r="I62">
        <v>19600</v>
      </c>
      <c r="J62">
        <v>15043.02</v>
      </c>
    </row>
    <row r="63" spans="1:10" x14ac:dyDescent="0.3">
      <c r="A63" s="1" t="s">
        <v>104</v>
      </c>
      <c r="B63" s="2">
        <v>46094</v>
      </c>
      <c r="C63" s="1" t="s">
        <v>15</v>
      </c>
      <c r="D63" s="1" t="s">
        <v>16</v>
      </c>
      <c r="E63" s="1" t="s">
        <v>17</v>
      </c>
      <c r="F63">
        <v>15</v>
      </c>
      <c r="G63">
        <v>2620</v>
      </c>
      <c r="H63">
        <v>0</v>
      </c>
      <c r="I63">
        <v>39300</v>
      </c>
      <c r="J63">
        <v>33008.769999999997</v>
      </c>
    </row>
    <row r="64" spans="1:10" x14ac:dyDescent="0.3">
      <c r="A64" s="1" t="s">
        <v>105</v>
      </c>
      <c r="B64" s="2">
        <v>46042</v>
      </c>
      <c r="C64" s="1" t="s">
        <v>19</v>
      </c>
      <c r="D64" s="1" t="s">
        <v>20</v>
      </c>
      <c r="E64" s="1" t="s">
        <v>21</v>
      </c>
      <c r="F64">
        <v>15</v>
      </c>
      <c r="G64">
        <v>2850</v>
      </c>
      <c r="H64">
        <v>0.05</v>
      </c>
      <c r="I64">
        <v>40612.5</v>
      </c>
      <c r="J64">
        <v>29064.959999999999</v>
      </c>
    </row>
    <row r="65" spans="1:10" x14ac:dyDescent="0.3">
      <c r="A65" s="1" t="s">
        <v>106</v>
      </c>
      <c r="B65" s="2">
        <v>46189</v>
      </c>
      <c r="C65" s="1" t="s">
        <v>23</v>
      </c>
      <c r="D65" s="1" t="s">
        <v>12</v>
      </c>
      <c r="E65" s="1" t="s">
        <v>24</v>
      </c>
      <c r="F65">
        <v>1</v>
      </c>
      <c r="G65">
        <v>2450</v>
      </c>
      <c r="H65">
        <v>0</v>
      </c>
      <c r="I65">
        <v>2450</v>
      </c>
      <c r="J65">
        <v>2078.14</v>
      </c>
    </row>
    <row r="66" spans="1:10" x14ac:dyDescent="0.3">
      <c r="A66" s="1" t="s">
        <v>107</v>
      </c>
      <c r="B66" s="2">
        <v>46083</v>
      </c>
      <c r="C66" s="1" t="s">
        <v>26</v>
      </c>
      <c r="D66" s="1" t="s">
        <v>16</v>
      </c>
      <c r="E66" s="1" t="s">
        <v>27</v>
      </c>
      <c r="F66">
        <v>6</v>
      </c>
      <c r="G66">
        <v>2620</v>
      </c>
      <c r="H66">
        <v>0.03</v>
      </c>
      <c r="I66">
        <v>15248.4</v>
      </c>
      <c r="J66">
        <v>11858.72</v>
      </c>
    </row>
    <row r="67" spans="1:10" x14ac:dyDescent="0.3">
      <c r="A67" s="1" t="s">
        <v>108</v>
      </c>
      <c r="B67" s="2">
        <v>46077</v>
      </c>
      <c r="C67" s="1" t="s">
        <v>29</v>
      </c>
      <c r="D67" s="1" t="s">
        <v>20</v>
      </c>
      <c r="E67" s="1" t="s">
        <v>30</v>
      </c>
      <c r="F67">
        <v>13</v>
      </c>
      <c r="G67">
        <v>2850</v>
      </c>
      <c r="H67">
        <v>0</v>
      </c>
      <c r="I67">
        <v>37050</v>
      </c>
      <c r="J67">
        <v>26910.97</v>
      </c>
    </row>
    <row r="68" spans="1:10" x14ac:dyDescent="0.3">
      <c r="A68" s="1" t="s">
        <v>109</v>
      </c>
      <c r="B68" s="2">
        <v>46023</v>
      </c>
      <c r="C68" s="1" t="s">
        <v>32</v>
      </c>
      <c r="D68" s="1" t="s">
        <v>12</v>
      </c>
      <c r="E68" s="1" t="s">
        <v>33</v>
      </c>
      <c r="F68">
        <v>7</v>
      </c>
      <c r="G68">
        <v>2450</v>
      </c>
      <c r="H68">
        <v>0.02</v>
      </c>
      <c r="I68">
        <v>16807</v>
      </c>
      <c r="J68">
        <v>14256.42</v>
      </c>
    </row>
    <row r="69" spans="1:10" x14ac:dyDescent="0.3">
      <c r="A69" s="1" t="s">
        <v>110</v>
      </c>
      <c r="B69" s="2">
        <v>46223</v>
      </c>
      <c r="C69" s="1" t="s">
        <v>35</v>
      </c>
      <c r="D69" s="1" t="s">
        <v>16</v>
      </c>
      <c r="E69" s="1" t="s">
        <v>36</v>
      </c>
      <c r="F69">
        <v>15</v>
      </c>
      <c r="G69">
        <v>2620</v>
      </c>
      <c r="H69">
        <v>0.02</v>
      </c>
      <c r="I69">
        <v>38514</v>
      </c>
      <c r="J69">
        <v>29566.47</v>
      </c>
    </row>
    <row r="70" spans="1:10" x14ac:dyDescent="0.3">
      <c r="A70" s="1" t="s">
        <v>111</v>
      </c>
      <c r="B70" s="2">
        <v>46210</v>
      </c>
      <c r="C70" s="1" t="s">
        <v>38</v>
      </c>
      <c r="D70" s="1" t="s">
        <v>20</v>
      </c>
      <c r="E70" s="1" t="s">
        <v>39</v>
      </c>
      <c r="F70">
        <v>18</v>
      </c>
      <c r="G70">
        <v>2850</v>
      </c>
      <c r="H70">
        <v>0.08</v>
      </c>
      <c r="I70">
        <v>47196</v>
      </c>
      <c r="J70">
        <v>38462.160000000003</v>
      </c>
    </row>
    <row r="71" spans="1:10" x14ac:dyDescent="0.3">
      <c r="A71" s="1" t="s">
        <v>112</v>
      </c>
      <c r="B71" s="2">
        <v>46062</v>
      </c>
      <c r="C71" s="1" t="s">
        <v>41</v>
      </c>
      <c r="D71" s="1" t="s">
        <v>12</v>
      </c>
      <c r="E71" s="1" t="s">
        <v>42</v>
      </c>
      <c r="F71">
        <v>4</v>
      </c>
      <c r="G71">
        <v>2450</v>
      </c>
      <c r="H71">
        <v>0.02</v>
      </c>
      <c r="I71">
        <v>9604</v>
      </c>
      <c r="J71">
        <v>7057.33</v>
      </c>
    </row>
    <row r="72" spans="1:10" x14ac:dyDescent="0.3">
      <c r="A72" s="1" t="s">
        <v>113</v>
      </c>
      <c r="B72" s="2">
        <v>46037</v>
      </c>
      <c r="C72" s="1" t="s">
        <v>44</v>
      </c>
      <c r="D72" s="1" t="s">
        <v>16</v>
      </c>
      <c r="E72" s="1" t="s">
        <v>13</v>
      </c>
      <c r="F72">
        <v>19</v>
      </c>
      <c r="G72">
        <v>2620</v>
      </c>
      <c r="H72">
        <v>0.08</v>
      </c>
      <c r="I72">
        <v>45797.599999999999</v>
      </c>
      <c r="J72">
        <v>36031.32</v>
      </c>
    </row>
    <row r="73" spans="1:10" x14ac:dyDescent="0.3">
      <c r="A73" s="1" t="s">
        <v>114</v>
      </c>
      <c r="B73" s="2">
        <v>46214</v>
      </c>
      <c r="C73" s="1" t="s">
        <v>46</v>
      </c>
      <c r="D73" s="1" t="s">
        <v>20</v>
      </c>
      <c r="E73" s="1" t="s">
        <v>17</v>
      </c>
      <c r="F73">
        <v>11</v>
      </c>
      <c r="G73">
        <v>2850</v>
      </c>
      <c r="H73">
        <v>0</v>
      </c>
      <c r="I73">
        <v>31350</v>
      </c>
      <c r="J73">
        <v>22196.51</v>
      </c>
    </row>
    <row r="74" spans="1:10" x14ac:dyDescent="0.3">
      <c r="A74" s="1" t="s">
        <v>115</v>
      </c>
      <c r="B74" s="2">
        <v>46145</v>
      </c>
      <c r="C74" s="1" t="s">
        <v>48</v>
      </c>
      <c r="D74" s="1" t="s">
        <v>12</v>
      </c>
      <c r="E74" s="1" t="s">
        <v>21</v>
      </c>
      <c r="F74">
        <v>3</v>
      </c>
      <c r="G74">
        <v>2450</v>
      </c>
      <c r="H74">
        <v>0</v>
      </c>
      <c r="I74">
        <v>7350</v>
      </c>
      <c r="J74">
        <v>6274.88</v>
      </c>
    </row>
    <row r="75" spans="1:10" x14ac:dyDescent="0.3">
      <c r="A75" s="1" t="s">
        <v>116</v>
      </c>
      <c r="B75" s="2">
        <v>46043</v>
      </c>
      <c r="C75" s="1" t="s">
        <v>50</v>
      </c>
      <c r="D75" s="1" t="s">
        <v>16</v>
      </c>
      <c r="E75" s="1" t="s">
        <v>24</v>
      </c>
      <c r="F75">
        <v>6</v>
      </c>
      <c r="G75">
        <v>2620</v>
      </c>
      <c r="H75">
        <v>0</v>
      </c>
      <c r="I75">
        <v>15720</v>
      </c>
      <c r="J75">
        <v>12500.63</v>
      </c>
    </row>
    <row r="76" spans="1:10" x14ac:dyDescent="0.3">
      <c r="A76" s="1" t="s">
        <v>117</v>
      </c>
      <c r="B76" s="2">
        <v>46195</v>
      </c>
      <c r="C76" s="1" t="s">
        <v>52</v>
      </c>
      <c r="D76" s="1" t="s">
        <v>20</v>
      </c>
      <c r="E76" s="1" t="s">
        <v>27</v>
      </c>
      <c r="F76">
        <v>8</v>
      </c>
      <c r="G76">
        <v>2850</v>
      </c>
      <c r="H76">
        <v>0.03</v>
      </c>
      <c r="I76">
        <v>22116</v>
      </c>
      <c r="J76">
        <v>15905.43</v>
      </c>
    </row>
    <row r="77" spans="1:10" x14ac:dyDescent="0.3">
      <c r="A77" s="1" t="s">
        <v>118</v>
      </c>
      <c r="B77" s="2">
        <v>46168</v>
      </c>
      <c r="C77" s="1" t="s">
        <v>54</v>
      </c>
      <c r="D77" s="1" t="s">
        <v>12</v>
      </c>
      <c r="E77" s="1" t="s">
        <v>30</v>
      </c>
      <c r="F77">
        <v>4</v>
      </c>
      <c r="G77">
        <v>2450</v>
      </c>
      <c r="H77">
        <v>0.05</v>
      </c>
      <c r="I77">
        <v>9310</v>
      </c>
      <c r="J77">
        <v>7402.6</v>
      </c>
    </row>
    <row r="78" spans="1:10" x14ac:dyDescent="0.3">
      <c r="A78" s="1" t="s">
        <v>119</v>
      </c>
      <c r="B78" s="2">
        <v>46181</v>
      </c>
      <c r="C78" s="1" t="s">
        <v>56</v>
      </c>
      <c r="D78" s="1" t="s">
        <v>16</v>
      </c>
      <c r="E78" s="1" t="s">
        <v>33</v>
      </c>
      <c r="F78">
        <v>3</v>
      </c>
      <c r="G78">
        <v>2620</v>
      </c>
      <c r="H78">
        <v>0.03</v>
      </c>
      <c r="I78">
        <v>7624.2</v>
      </c>
      <c r="J78">
        <v>6138.85</v>
      </c>
    </row>
    <row r="79" spans="1:10" x14ac:dyDescent="0.3">
      <c r="A79" s="1" t="s">
        <v>120</v>
      </c>
      <c r="B79" s="2">
        <v>46167</v>
      </c>
      <c r="C79" s="1" t="s">
        <v>58</v>
      </c>
      <c r="D79" s="1" t="s">
        <v>20</v>
      </c>
      <c r="E79" s="1" t="s">
        <v>36</v>
      </c>
      <c r="F79">
        <v>17</v>
      </c>
      <c r="G79">
        <v>2850</v>
      </c>
      <c r="H79">
        <v>0.02</v>
      </c>
      <c r="I79">
        <v>47481</v>
      </c>
      <c r="J79">
        <v>40337.629999999997</v>
      </c>
    </row>
    <row r="80" spans="1:10" x14ac:dyDescent="0.3">
      <c r="A80" s="1" t="s">
        <v>121</v>
      </c>
      <c r="B80" s="2">
        <v>46075</v>
      </c>
      <c r="C80" s="1" t="s">
        <v>60</v>
      </c>
      <c r="D80" s="1" t="s">
        <v>12</v>
      </c>
      <c r="E80" s="1" t="s">
        <v>39</v>
      </c>
      <c r="F80">
        <v>6</v>
      </c>
      <c r="G80">
        <v>2450</v>
      </c>
      <c r="H80">
        <v>0</v>
      </c>
      <c r="I80">
        <v>14700</v>
      </c>
      <c r="J80">
        <v>10914.73</v>
      </c>
    </row>
    <row r="81" spans="1:10" x14ac:dyDescent="0.3">
      <c r="A81" s="1" t="s">
        <v>122</v>
      </c>
      <c r="B81" s="2">
        <v>46056</v>
      </c>
      <c r="C81" s="1" t="s">
        <v>62</v>
      </c>
      <c r="D81" s="1" t="s">
        <v>16</v>
      </c>
      <c r="E81" s="1" t="s">
        <v>42</v>
      </c>
      <c r="F81">
        <v>10</v>
      </c>
      <c r="G81">
        <v>2620</v>
      </c>
      <c r="H81">
        <v>0.03</v>
      </c>
      <c r="I81">
        <v>25414</v>
      </c>
      <c r="J81">
        <v>19075.45</v>
      </c>
    </row>
    <row r="82" spans="1:10" x14ac:dyDescent="0.3">
      <c r="A82" s="1" t="s">
        <v>123</v>
      </c>
      <c r="B82" s="2">
        <v>46215</v>
      </c>
      <c r="C82" s="1" t="s">
        <v>11</v>
      </c>
      <c r="D82" s="1" t="s">
        <v>20</v>
      </c>
      <c r="E82" s="1" t="s">
        <v>13</v>
      </c>
      <c r="F82">
        <v>3</v>
      </c>
      <c r="G82">
        <v>2850</v>
      </c>
      <c r="H82">
        <v>0</v>
      </c>
      <c r="I82">
        <v>8550</v>
      </c>
      <c r="J82">
        <v>6611.93</v>
      </c>
    </row>
    <row r="83" spans="1:10" x14ac:dyDescent="0.3">
      <c r="A83" s="1" t="s">
        <v>124</v>
      </c>
      <c r="B83" s="2">
        <v>46167</v>
      </c>
      <c r="C83" s="1" t="s">
        <v>15</v>
      </c>
      <c r="D83" s="1" t="s">
        <v>12</v>
      </c>
      <c r="E83" s="1" t="s">
        <v>17</v>
      </c>
      <c r="F83">
        <v>2</v>
      </c>
      <c r="G83">
        <v>2450</v>
      </c>
      <c r="H83">
        <v>0</v>
      </c>
      <c r="I83">
        <v>4900</v>
      </c>
      <c r="J83">
        <v>3851.51</v>
      </c>
    </row>
    <row r="84" spans="1:10" x14ac:dyDescent="0.3">
      <c r="A84" s="1" t="s">
        <v>125</v>
      </c>
      <c r="B84" s="2">
        <v>46152</v>
      </c>
      <c r="C84" s="1" t="s">
        <v>19</v>
      </c>
      <c r="D84" s="1" t="s">
        <v>16</v>
      </c>
      <c r="E84" s="1" t="s">
        <v>21</v>
      </c>
      <c r="F84">
        <v>9</v>
      </c>
      <c r="G84">
        <v>2620</v>
      </c>
      <c r="H84">
        <v>0</v>
      </c>
      <c r="I84">
        <v>23580</v>
      </c>
      <c r="J84">
        <v>20027</v>
      </c>
    </row>
    <row r="85" spans="1:10" x14ac:dyDescent="0.3">
      <c r="A85" s="1" t="s">
        <v>126</v>
      </c>
      <c r="B85" s="2">
        <v>46040</v>
      </c>
      <c r="C85" s="1" t="s">
        <v>23</v>
      </c>
      <c r="D85" s="1" t="s">
        <v>20</v>
      </c>
      <c r="E85" s="1" t="s">
        <v>24</v>
      </c>
      <c r="F85">
        <v>8</v>
      </c>
      <c r="G85">
        <v>2850</v>
      </c>
      <c r="H85">
        <v>0.02</v>
      </c>
      <c r="I85">
        <v>22344</v>
      </c>
      <c r="J85">
        <v>16659.64</v>
      </c>
    </row>
    <row r="86" spans="1:10" x14ac:dyDescent="0.3">
      <c r="A86" s="1" t="s">
        <v>127</v>
      </c>
      <c r="B86" s="2">
        <v>46135</v>
      </c>
      <c r="C86" s="1" t="s">
        <v>26</v>
      </c>
      <c r="D86" s="1" t="s">
        <v>12</v>
      </c>
      <c r="E86" s="1" t="s">
        <v>27</v>
      </c>
      <c r="F86">
        <v>5</v>
      </c>
      <c r="G86">
        <v>2450</v>
      </c>
      <c r="H86">
        <v>0.05</v>
      </c>
      <c r="I86">
        <v>11637.5</v>
      </c>
      <c r="J86">
        <v>9978.18</v>
      </c>
    </row>
    <row r="87" spans="1:10" x14ac:dyDescent="0.3">
      <c r="A87" s="1" t="s">
        <v>128</v>
      </c>
      <c r="B87" s="2">
        <v>46229</v>
      </c>
      <c r="C87" s="1" t="s">
        <v>29</v>
      </c>
      <c r="D87" s="1" t="s">
        <v>16</v>
      </c>
      <c r="E87" s="1" t="s">
        <v>30</v>
      </c>
      <c r="F87">
        <v>17</v>
      </c>
      <c r="G87">
        <v>2620</v>
      </c>
      <c r="H87">
        <v>0</v>
      </c>
      <c r="I87">
        <v>44540</v>
      </c>
      <c r="J87">
        <v>35937.46</v>
      </c>
    </row>
    <row r="88" spans="1:10" x14ac:dyDescent="0.3">
      <c r="A88" s="1" t="s">
        <v>129</v>
      </c>
      <c r="B88" s="2">
        <v>46164</v>
      </c>
      <c r="C88" s="1" t="s">
        <v>32</v>
      </c>
      <c r="D88" s="1" t="s">
        <v>20</v>
      </c>
      <c r="E88" s="1" t="s">
        <v>33</v>
      </c>
      <c r="F88">
        <v>10</v>
      </c>
      <c r="G88">
        <v>2850</v>
      </c>
      <c r="H88">
        <v>0.08</v>
      </c>
      <c r="I88">
        <v>26220</v>
      </c>
      <c r="J88">
        <v>18788.57</v>
      </c>
    </row>
    <row r="89" spans="1:10" x14ac:dyDescent="0.3">
      <c r="A89" s="1" t="s">
        <v>130</v>
      </c>
      <c r="B89" s="2">
        <v>46057</v>
      </c>
      <c r="C89" s="1" t="s">
        <v>35</v>
      </c>
      <c r="D89" s="1" t="s">
        <v>12</v>
      </c>
      <c r="E89" s="1" t="s">
        <v>36</v>
      </c>
      <c r="F89">
        <v>5</v>
      </c>
      <c r="G89">
        <v>2450</v>
      </c>
      <c r="H89">
        <v>0</v>
      </c>
      <c r="I89">
        <v>12250</v>
      </c>
      <c r="J89">
        <v>10318.84</v>
      </c>
    </row>
    <row r="90" spans="1:10" x14ac:dyDescent="0.3">
      <c r="A90" s="1" t="s">
        <v>131</v>
      </c>
      <c r="B90" s="2">
        <v>46213</v>
      </c>
      <c r="C90" s="1" t="s">
        <v>38</v>
      </c>
      <c r="D90" s="1" t="s">
        <v>16</v>
      </c>
      <c r="E90" s="1" t="s">
        <v>39</v>
      </c>
      <c r="F90">
        <v>18</v>
      </c>
      <c r="G90">
        <v>2620</v>
      </c>
      <c r="H90">
        <v>0</v>
      </c>
      <c r="I90">
        <v>47160</v>
      </c>
      <c r="J90">
        <v>35067.03</v>
      </c>
    </row>
    <row r="91" spans="1:10" x14ac:dyDescent="0.3">
      <c r="A91" s="1" t="s">
        <v>132</v>
      </c>
      <c r="B91" s="2">
        <v>46177</v>
      </c>
      <c r="C91" s="1" t="s">
        <v>41</v>
      </c>
      <c r="D91" s="1" t="s">
        <v>20</v>
      </c>
      <c r="E91" s="1" t="s">
        <v>42</v>
      </c>
      <c r="F91">
        <v>7</v>
      </c>
      <c r="G91">
        <v>2850</v>
      </c>
      <c r="H91">
        <v>0.08</v>
      </c>
      <c r="I91">
        <v>18354</v>
      </c>
      <c r="J91">
        <v>13854.72</v>
      </c>
    </row>
    <row r="92" spans="1:10" x14ac:dyDescent="0.3">
      <c r="A92" s="1" t="s">
        <v>133</v>
      </c>
      <c r="B92" s="2">
        <v>46198</v>
      </c>
      <c r="C92" s="1" t="s">
        <v>44</v>
      </c>
      <c r="D92" s="1" t="s">
        <v>12</v>
      </c>
      <c r="E92" s="1" t="s">
        <v>13</v>
      </c>
      <c r="F92">
        <v>5</v>
      </c>
      <c r="G92">
        <v>2450</v>
      </c>
      <c r="H92">
        <v>0.05</v>
      </c>
      <c r="I92">
        <v>11637.5</v>
      </c>
      <c r="J92">
        <v>9055.9</v>
      </c>
    </row>
    <row r="93" spans="1:10" x14ac:dyDescent="0.3">
      <c r="A93" s="1" t="s">
        <v>134</v>
      </c>
      <c r="B93" s="2">
        <v>46036</v>
      </c>
      <c r="C93" s="1" t="s">
        <v>46</v>
      </c>
      <c r="D93" s="1" t="s">
        <v>16</v>
      </c>
      <c r="E93" s="1" t="s">
        <v>17</v>
      </c>
      <c r="F93">
        <v>3</v>
      </c>
      <c r="G93">
        <v>2620</v>
      </c>
      <c r="H93">
        <v>0.08</v>
      </c>
      <c r="I93">
        <v>7231.2</v>
      </c>
      <c r="J93">
        <v>5551.91</v>
      </c>
    </row>
    <row r="94" spans="1:10" x14ac:dyDescent="0.3">
      <c r="A94" s="1" t="s">
        <v>135</v>
      </c>
      <c r="B94" s="2">
        <v>46093</v>
      </c>
      <c r="C94" s="1" t="s">
        <v>48</v>
      </c>
      <c r="D94" s="1" t="s">
        <v>20</v>
      </c>
      <c r="E94" s="1" t="s">
        <v>21</v>
      </c>
      <c r="F94">
        <v>2</v>
      </c>
      <c r="G94">
        <v>2850</v>
      </c>
      <c r="H94">
        <v>0</v>
      </c>
      <c r="I94">
        <v>5700</v>
      </c>
      <c r="J94">
        <v>4294.2</v>
      </c>
    </row>
    <row r="95" spans="1:10" x14ac:dyDescent="0.3">
      <c r="A95" s="1" t="s">
        <v>136</v>
      </c>
      <c r="B95" s="2">
        <v>46056</v>
      </c>
      <c r="C95" s="1" t="s">
        <v>50</v>
      </c>
      <c r="D95" s="1" t="s">
        <v>12</v>
      </c>
      <c r="E95" s="1" t="s">
        <v>24</v>
      </c>
      <c r="F95">
        <v>5</v>
      </c>
      <c r="G95">
        <v>2450</v>
      </c>
      <c r="H95">
        <v>0</v>
      </c>
      <c r="I95">
        <v>12250</v>
      </c>
      <c r="J95">
        <v>10027.81</v>
      </c>
    </row>
    <row r="96" spans="1:10" x14ac:dyDescent="0.3">
      <c r="A96" s="1" t="s">
        <v>137</v>
      </c>
      <c r="B96" s="2">
        <v>46164</v>
      </c>
      <c r="C96" s="1" t="s">
        <v>52</v>
      </c>
      <c r="D96" s="1" t="s">
        <v>16</v>
      </c>
      <c r="E96" s="1" t="s">
        <v>27</v>
      </c>
      <c r="F96">
        <v>14</v>
      </c>
      <c r="G96">
        <v>2620</v>
      </c>
      <c r="H96">
        <v>0.05</v>
      </c>
      <c r="I96">
        <v>34846</v>
      </c>
      <c r="J96">
        <v>24446.11</v>
      </c>
    </row>
    <row r="97" spans="1:10" x14ac:dyDescent="0.3">
      <c r="A97" s="1" t="s">
        <v>138</v>
      </c>
      <c r="B97" s="2">
        <v>46042</v>
      </c>
      <c r="C97" s="1" t="s">
        <v>54</v>
      </c>
      <c r="D97" s="1" t="s">
        <v>20</v>
      </c>
      <c r="E97" s="1" t="s">
        <v>30</v>
      </c>
      <c r="F97">
        <v>5</v>
      </c>
      <c r="G97">
        <v>2850</v>
      </c>
      <c r="H97">
        <v>0.05</v>
      </c>
      <c r="I97">
        <v>13537.5</v>
      </c>
      <c r="J97">
        <v>9554.2900000000009</v>
      </c>
    </row>
    <row r="98" spans="1:10" x14ac:dyDescent="0.3">
      <c r="A98" s="1" t="s">
        <v>139</v>
      </c>
      <c r="B98" s="2">
        <v>46117</v>
      </c>
      <c r="C98" s="1" t="s">
        <v>56</v>
      </c>
      <c r="D98" s="1" t="s">
        <v>12</v>
      </c>
      <c r="E98" s="1" t="s">
        <v>33</v>
      </c>
      <c r="F98">
        <v>3</v>
      </c>
      <c r="G98">
        <v>2450</v>
      </c>
      <c r="H98">
        <v>0.03</v>
      </c>
      <c r="I98">
        <v>7129.5</v>
      </c>
      <c r="J98">
        <v>5136.03</v>
      </c>
    </row>
    <row r="99" spans="1:10" x14ac:dyDescent="0.3">
      <c r="A99" s="1" t="s">
        <v>140</v>
      </c>
      <c r="B99" s="2">
        <v>46101</v>
      </c>
      <c r="C99" s="1" t="s">
        <v>58</v>
      </c>
      <c r="D99" s="1" t="s">
        <v>16</v>
      </c>
      <c r="E99" s="1" t="s">
        <v>36</v>
      </c>
      <c r="F99">
        <v>12</v>
      </c>
      <c r="G99">
        <v>2620</v>
      </c>
      <c r="H99">
        <v>0</v>
      </c>
      <c r="I99">
        <v>31440</v>
      </c>
      <c r="J99">
        <v>26529.95</v>
      </c>
    </row>
    <row r="100" spans="1:10" x14ac:dyDescent="0.3">
      <c r="A100" s="1" t="s">
        <v>141</v>
      </c>
      <c r="B100" s="2">
        <v>46076</v>
      </c>
      <c r="C100" s="1" t="s">
        <v>60</v>
      </c>
      <c r="D100" s="1" t="s">
        <v>20</v>
      </c>
      <c r="E100" s="1" t="s">
        <v>39</v>
      </c>
      <c r="F100">
        <v>8</v>
      </c>
      <c r="G100">
        <v>2850</v>
      </c>
      <c r="H100">
        <v>0.08</v>
      </c>
      <c r="I100">
        <v>20976</v>
      </c>
      <c r="J100">
        <v>15028.19</v>
      </c>
    </row>
    <row r="101" spans="1:10" x14ac:dyDescent="0.3">
      <c r="A101" s="1" t="s">
        <v>142</v>
      </c>
      <c r="B101" s="2">
        <v>46222</v>
      </c>
      <c r="C101" s="1" t="s">
        <v>62</v>
      </c>
      <c r="D101" s="1" t="s">
        <v>12</v>
      </c>
      <c r="E101" s="1" t="s">
        <v>42</v>
      </c>
      <c r="F101">
        <v>7</v>
      </c>
      <c r="G101">
        <v>2450</v>
      </c>
      <c r="H101">
        <v>0.05</v>
      </c>
      <c r="I101">
        <v>16292.5</v>
      </c>
      <c r="J101">
        <v>13358.49</v>
      </c>
    </row>
    <row r="102" spans="1:10" x14ac:dyDescent="0.3">
      <c r="A102" s="1" t="s">
        <v>143</v>
      </c>
      <c r="B102" s="2">
        <v>46083</v>
      </c>
      <c r="C102" s="1" t="s">
        <v>11</v>
      </c>
      <c r="D102" s="1" t="s">
        <v>16</v>
      </c>
      <c r="E102" s="1" t="s">
        <v>13</v>
      </c>
      <c r="F102">
        <v>6</v>
      </c>
      <c r="G102">
        <v>2620</v>
      </c>
      <c r="H102">
        <v>0</v>
      </c>
      <c r="I102">
        <v>15720</v>
      </c>
      <c r="J102">
        <v>13220.94</v>
      </c>
    </row>
    <row r="103" spans="1:10" x14ac:dyDescent="0.3">
      <c r="A103" s="1" t="s">
        <v>144</v>
      </c>
      <c r="B103" s="2">
        <v>46029</v>
      </c>
      <c r="C103" s="1" t="s">
        <v>15</v>
      </c>
      <c r="D103" s="1" t="s">
        <v>20</v>
      </c>
      <c r="E103" s="1" t="s">
        <v>17</v>
      </c>
      <c r="F103">
        <v>6</v>
      </c>
      <c r="G103">
        <v>2850</v>
      </c>
      <c r="H103">
        <v>0.08</v>
      </c>
      <c r="I103">
        <v>15732</v>
      </c>
      <c r="J103">
        <v>13339.45</v>
      </c>
    </row>
    <row r="104" spans="1:10" x14ac:dyDescent="0.3">
      <c r="A104" s="1" t="s">
        <v>145</v>
      </c>
      <c r="B104" s="2">
        <v>46223</v>
      </c>
      <c r="C104" s="1" t="s">
        <v>19</v>
      </c>
      <c r="D104" s="1" t="s">
        <v>12</v>
      </c>
      <c r="E104" s="1" t="s">
        <v>21</v>
      </c>
      <c r="F104">
        <v>7</v>
      </c>
      <c r="G104">
        <v>2450</v>
      </c>
      <c r="H104">
        <v>0.08</v>
      </c>
      <c r="I104">
        <v>15778</v>
      </c>
      <c r="J104">
        <v>13225.91</v>
      </c>
    </row>
    <row r="105" spans="1:10" x14ac:dyDescent="0.3">
      <c r="A105" s="1" t="s">
        <v>146</v>
      </c>
      <c r="B105" s="2">
        <v>46230</v>
      </c>
      <c r="C105" s="1" t="s">
        <v>23</v>
      </c>
      <c r="D105" s="1" t="s">
        <v>16</v>
      </c>
      <c r="E105" s="1" t="s">
        <v>24</v>
      </c>
      <c r="F105">
        <v>8</v>
      </c>
      <c r="G105">
        <v>2620</v>
      </c>
      <c r="H105">
        <v>0.02</v>
      </c>
      <c r="I105">
        <v>20540.8</v>
      </c>
      <c r="J105">
        <v>14901.77</v>
      </c>
    </row>
    <row r="106" spans="1:10" x14ac:dyDescent="0.3">
      <c r="A106" s="1" t="s">
        <v>147</v>
      </c>
      <c r="B106" s="2">
        <v>46202</v>
      </c>
      <c r="C106" s="1" t="s">
        <v>26</v>
      </c>
      <c r="D106" s="1" t="s">
        <v>20</v>
      </c>
      <c r="E106" s="1" t="s">
        <v>27</v>
      </c>
      <c r="F106">
        <v>4</v>
      </c>
      <c r="G106">
        <v>2850</v>
      </c>
      <c r="H106">
        <v>0.03</v>
      </c>
      <c r="I106">
        <v>11058</v>
      </c>
      <c r="J106">
        <v>9283.7099999999991</v>
      </c>
    </row>
    <row r="107" spans="1:10" x14ac:dyDescent="0.3">
      <c r="A107" s="1" t="s">
        <v>148</v>
      </c>
      <c r="B107" s="2">
        <v>46143</v>
      </c>
      <c r="C107" s="1" t="s">
        <v>29</v>
      </c>
      <c r="D107" s="1" t="s">
        <v>12</v>
      </c>
      <c r="E107" s="1" t="s">
        <v>30</v>
      </c>
      <c r="F107">
        <v>4</v>
      </c>
      <c r="G107">
        <v>2450</v>
      </c>
      <c r="H107">
        <v>0</v>
      </c>
      <c r="I107">
        <v>9800</v>
      </c>
      <c r="J107">
        <v>8140.41</v>
      </c>
    </row>
    <row r="108" spans="1:10" x14ac:dyDescent="0.3">
      <c r="A108" s="1" t="s">
        <v>149</v>
      </c>
      <c r="B108" s="2">
        <v>46140</v>
      </c>
      <c r="C108" s="1" t="s">
        <v>32</v>
      </c>
      <c r="D108" s="1" t="s">
        <v>16</v>
      </c>
      <c r="E108" s="1" t="s">
        <v>33</v>
      </c>
      <c r="F108">
        <v>12</v>
      </c>
      <c r="G108">
        <v>2620</v>
      </c>
      <c r="H108">
        <v>0.02</v>
      </c>
      <c r="I108">
        <v>30811.200000000001</v>
      </c>
      <c r="J108">
        <v>25612.91</v>
      </c>
    </row>
    <row r="109" spans="1:10" x14ac:dyDescent="0.3">
      <c r="A109" s="1" t="s">
        <v>150</v>
      </c>
      <c r="B109" s="2">
        <v>46081</v>
      </c>
      <c r="C109" s="1" t="s">
        <v>35</v>
      </c>
      <c r="D109" s="1" t="s">
        <v>20</v>
      </c>
      <c r="E109" s="1" t="s">
        <v>36</v>
      </c>
      <c r="F109">
        <v>8</v>
      </c>
      <c r="G109">
        <v>2850</v>
      </c>
      <c r="H109">
        <v>0</v>
      </c>
      <c r="I109">
        <v>22800</v>
      </c>
      <c r="J109">
        <v>18367.8</v>
      </c>
    </row>
    <row r="110" spans="1:10" x14ac:dyDescent="0.3">
      <c r="A110" s="1" t="s">
        <v>151</v>
      </c>
      <c r="B110" s="2">
        <v>46125</v>
      </c>
      <c r="C110" s="1" t="s">
        <v>38</v>
      </c>
      <c r="D110" s="1" t="s">
        <v>12</v>
      </c>
      <c r="E110" s="1" t="s">
        <v>39</v>
      </c>
      <c r="F110">
        <v>6</v>
      </c>
      <c r="G110">
        <v>2450</v>
      </c>
      <c r="H110">
        <v>0.02</v>
      </c>
      <c r="I110">
        <v>14406</v>
      </c>
      <c r="J110">
        <v>12076.5</v>
      </c>
    </row>
    <row r="111" spans="1:10" x14ac:dyDescent="0.3">
      <c r="A111" s="1" t="s">
        <v>152</v>
      </c>
      <c r="B111" s="2">
        <v>46220</v>
      </c>
      <c r="C111" s="1" t="s">
        <v>41</v>
      </c>
      <c r="D111" s="1" t="s">
        <v>16</v>
      </c>
      <c r="E111" s="1" t="s">
        <v>42</v>
      </c>
      <c r="F111">
        <v>9</v>
      </c>
      <c r="G111">
        <v>2620</v>
      </c>
      <c r="H111">
        <v>0.02</v>
      </c>
      <c r="I111">
        <v>23108.400000000001</v>
      </c>
      <c r="J111">
        <v>18547.66</v>
      </c>
    </row>
    <row r="112" spans="1:10" x14ac:dyDescent="0.3">
      <c r="A112" s="1" t="s">
        <v>153</v>
      </c>
      <c r="B112" s="2">
        <v>46125</v>
      </c>
      <c r="C112" s="1" t="s">
        <v>44</v>
      </c>
      <c r="D112" s="1" t="s">
        <v>20</v>
      </c>
      <c r="E112" s="1" t="s">
        <v>13</v>
      </c>
      <c r="F112">
        <v>18</v>
      </c>
      <c r="G112">
        <v>2850</v>
      </c>
      <c r="H112">
        <v>0.02</v>
      </c>
      <c r="I112">
        <v>50274</v>
      </c>
      <c r="J112">
        <v>42746.87</v>
      </c>
    </row>
    <row r="113" spans="1:10" x14ac:dyDescent="0.3">
      <c r="A113" s="1" t="s">
        <v>154</v>
      </c>
      <c r="B113" s="2">
        <v>46052</v>
      </c>
      <c r="C113" s="1" t="s">
        <v>46</v>
      </c>
      <c r="D113" s="1" t="s">
        <v>12</v>
      </c>
      <c r="E113" s="1" t="s">
        <v>17</v>
      </c>
      <c r="F113">
        <v>5</v>
      </c>
      <c r="G113">
        <v>2450</v>
      </c>
      <c r="H113">
        <v>0</v>
      </c>
      <c r="I113">
        <v>12250</v>
      </c>
      <c r="J113">
        <v>9712.9599999999991</v>
      </c>
    </row>
    <row r="114" spans="1:10" x14ac:dyDescent="0.3">
      <c r="A114" s="1" t="s">
        <v>155</v>
      </c>
      <c r="B114" s="2">
        <v>46090</v>
      </c>
      <c r="C114" s="1" t="s">
        <v>48</v>
      </c>
      <c r="D114" s="1" t="s">
        <v>16</v>
      </c>
      <c r="E114" s="1" t="s">
        <v>21</v>
      </c>
      <c r="F114">
        <v>2</v>
      </c>
      <c r="G114">
        <v>2620</v>
      </c>
      <c r="H114">
        <v>0</v>
      </c>
      <c r="I114">
        <v>5240</v>
      </c>
      <c r="J114">
        <v>4168.17</v>
      </c>
    </row>
    <row r="115" spans="1:10" x14ac:dyDescent="0.3">
      <c r="A115" s="1" t="s">
        <v>156</v>
      </c>
      <c r="B115" s="2">
        <v>46111</v>
      </c>
      <c r="C115" s="1" t="s">
        <v>50</v>
      </c>
      <c r="D115" s="1" t="s">
        <v>20</v>
      </c>
      <c r="E115" s="1" t="s">
        <v>24</v>
      </c>
      <c r="F115">
        <v>11</v>
      </c>
      <c r="G115">
        <v>2850</v>
      </c>
      <c r="H115">
        <v>0.03</v>
      </c>
      <c r="I115">
        <v>30409.5</v>
      </c>
      <c r="J115">
        <v>24236.17</v>
      </c>
    </row>
    <row r="116" spans="1:10" x14ac:dyDescent="0.3">
      <c r="A116" s="1" t="s">
        <v>157</v>
      </c>
      <c r="B116" s="2">
        <v>46153</v>
      </c>
      <c r="C116" s="1" t="s">
        <v>52</v>
      </c>
      <c r="D116" s="1" t="s">
        <v>12</v>
      </c>
      <c r="E116" s="1" t="s">
        <v>27</v>
      </c>
      <c r="F116">
        <v>2</v>
      </c>
      <c r="G116">
        <v>2450</v>
      </c>
      <c r="H116">
        <v>0.03</v>
      </c>
      <c r="I116">
        <v>4753</v>
      </c>
      <c r="J116">
        <v>4011.16</v>
      </c>
    </row>
    <row r="117" spans="1:10" x14ac:dyDescent="0.3">
      <c r="A117" s="1" t="s">
        <v>158</v>
      </c>
      <c r="B117" s="2">
        <v>46071</v>
      </c>
      <c r="C117" s="1" t="s">
        <v>54</v>
      </c>
      <c r="D117" s="1" t="s">
        <v>16</v>
      </c>
      <c r="E117" s="1" t="s">
        <v>30</v>
      </c>
      <c r="F117">
        <v>9</v>
      </c>
      <c r="G117">
        <v>2620</v>
      </c>
      <c r="H117">
        <v>0</v>
      </c>
      <c r="I117">
        <v>23580</v>
      </c>
      <c r="J117">
        <v>19180.11</v>
      </c>
    </row>
    <row r="118" spans="1:10" x14ac:dyDescent="0.3">
      <c r="A118" s="1" t="s">
        <v>159</v>
      </c>
      <c r="B118" s="2">
        <v>46023</v>
      </c>
      <c r="C118" s="1" t="s">
        <v>56</v>
      </c>
      <c r="D118" s="1" t="s">
        <v>20</v>
      </c>
      <c r="E118" s="1" t="s">
        <v>33</v>
      </c>
      <c r="F118">
        <v>17</v>
      </c>
      <c r="G118">
        <v>2850</v>
      </c>
      <c r="H118">
        <v>0.05</v>
      </c>
      <c r="I118">
        <v>46027.5</v>
      </c>
      <c r="J118">
        <v>37277.54</v>
      </c>
    </row>
    <row r="119" spans="1:10" x14ac:dyDescent="0.3">
      <c r="A119" s="1" t="s">
        <v>160</v>
      </c>
      <c r="B119" s="2">
        <v>46212</v>
      </c>
      <c r="C119" s="1" t="s">
        <v>58</v>
      </c>
      <c r="D119" s="1" t="s">
        <v>12</v>
      </c>
      <c r="E119" s="1" t="s">
        <v>36</v>
      </c>
      <c r="F119">
        <v>4</v>
      </c>
      <c r="G119">
        <v>2450</v>
      </c>
      <c r="H119">
        <v>0.02</v>
      </c>
      <c r="I119">
        <v>9604</v>
      </c>
      <c r="J119">
        <v>7385.55</v>
      </c>
    </row>
    <row r="120" spans="1:10" x14ac:dyDescent="0.3">
      <c r="A120" s="1" t="s">
        <v>161</v>
      </c>
      <c r="B120" s="2">
        <v>46193</v>
      </c>
      <c r="C120" s="1" t="s">
        <v>60</v>
      </c>
      <c r="D120" s="1" t="s">
        <v>16</v>
      </c>
      <c r="E120" s="1" t="s">
        <v>39</v>
      </c>
      <c r="F120">
        <v>11</v>
      </c>
      <c r="G120">
        <v>2620</v>
      </c>
      <c r="H120">
        <v>0.05</v>
      </c>
      <c r="I120">
        <v>27379</v>
      </c>
      <c r="J120">
        <v>20540.45</v>
      </c>
    </row>
    <row r="121" spans="1:10" x14ac:dyDescent="0.3">
      <c r="A121" s="1" t="s">
        <v>162</v>
      </c>
      <c r="B121" s="2">
        <v>46054</v>
      </c>
      <c r="C121" s="1" t="s">
        <v>62</v>
      </c>
      <c r="D121" s="1" t="s">
        <v>20</v>
      </c>
      <c r="E121" s="1" t="s">
        <v>42</v>
      </c>
      <c r="F121">
        <v>10</v>
      </c>
      <c r="G121">
        <v>2850</v>
      </c>
      <c r="H121">
        <v>0.05</v>
      </c>
      <c r="I121">
        <v>27075</v>
      </c>
      <c r="J121">
        <v>20292.32</v>
      </c>
    </row>
    <row r="122" spans="1:10" x14ac:dyDescent="0.3">
      <c r="A122" s="1" t="s">
        <v>163</v>
      </c>
      <c r="B122" s="2">
        <v>46127</v>
      </c>
      <c r="C122" s="1" t="s">
        <v>11</v>
      </c>
      <c r="D122" s="1" t="s">
        <v>12</v>
      </c>
      <c r="E122" s="1" t="s">
        <v>13</v>
      </c>
      <c r="F122">
        <v>6</v>
      </c>
      <c r="G122">
        <v>2450</v>
      </c>
      <c r="H122">
        <v>0.03</v>
      </c>
      <c r="I122">
        <v>14259</v>
      </c>
      <c r="J122">
        <v>11571.94</v>
      </c>
    </row>
    <row r="123" spans="1:10" x14ac:dyDescent="0.3">
      <c r="A123" s="1" t="s">
        <v>164</v>
      </c>
      <c r="B123" s="2">
        <v>46164</v>
      </c>
      <c r="C123" s="1" t="s">
        <v>15</v>
      </c>
      <c r="D123" s="1" t="s">
        <v>16</v>
      </c>
      <c r="E123" s="1" t="s">
        <v>17</v>
      </c>
      <c r="F123">
        <v>5</v>
      </c>
      <c r="G123">
        <v>2620</v>
      </c>
      <c r="H123">
        <v>0</v>
      </c>
      <c r="I123">
        <v>13100</v>
      </c>
      <c r="J123">
        <v>10051.26</v>
      </c>
    </row>
    <row r="124" spans="1:10" x14ac:dyDescent="0.3">
      <c r="A124" s="1" t="s">
        <v>165</v>
      </c>
      <c r="B124" s="2">
        <v>46120</v>
      </c>
      <c r="C124" s="1" t="s">
        <v>19</v>
      </c>
      <c r="D124" s="1" t="s">
        <v>20</v>
      </c>
      <c r="E124" s="1" t="s">
        <v>21</v>
      </c>
      <c r="F124">
        <v>6</v>
      </c>
      <c r="G124">
        <v>2850</v>
      </c>
      <c r="H124">
        <v>0.05</v>
      </c>
      <c r="I124">
        <v>16245</v>
      </c>
      <c r="J124">
        <v>12850.72</v>
      </c>
    </row>
    <row r="125" spans="1:10" x14ac:dyDescent="0.3">
      <c r="A125" s="1" t="s">
        <v>166</v>
      </c>
      <c r="B125" s="2">
        <v>46126</v>
      </c>
      <c r="C125" s="1" t="s">
        <v>23</v>
      </c>
      <c r="D125" s="1" t="s">
        <v>12</v>
      </c>
      <c r="E125" s="1" t="s">
        <v>24</v>
      </c>
      <c r="F125">
        <v>1</v>
      </c>
      <c r="G125">
        <v>2450</v>
      </c>
      <c r="H125">
        <v>0.02</v>
      </c>
      <c r="I125">
        <v>2401</v>
      </c>
      <c r="J125">
        <v>1790.92</v>
      </c>
    </row>
    <row r="126" spans="1:10" x14ac:dyDescent="0.3">
      <c r="A126" s="1" t="s">
        <v>167</v>
      </c>
      <c r="B126" s="2">
        <v>46133</v>
      </c>
      <c r="C126" s="1" t="s">
        <v>26</v>
      </c>
      <c r="D126" s="1" t="s">
        <v>16</v>
      </c>
      <c r="E126" s="1" t="s">
        <v>27</v>
      </c>
      <c r="F126">
        <v>19</v>
      </c>
      <c r="G126">
        <v>2620</v>
      </c>
      <c r="H126">
        <v>0.05</v>
      </c>
      <c r="I126">
        <v>47291</v>
      </c>
      <c r="J126">
        <v>38057.57</v>
      </c>
    </row>
    <row r="127" spans="1:10" x14ac:dyDescent="0.3">
      <c r="A127" s="1" t="s">
        <v>168</v>
      </c>
      <c r="B127" s="2">
        <v>46142</v>
      </c>
      <c r="C127" s="1" t="s">
        <v>29</v>
      </c>
      <c r="D127" s="1" t="s">
        <v>20</v>
      </c>
      <c r="E127" s="1" t="s">
        <v>30</v>
      </c>
      <c r="F127">
        <v>15</v>
      </c>
      <c r="G127">
        <v>2850</v>
      </c>
      <c r="H127">
        <v>0.03</v>
      </c>
      <c r="I127">
        <v>41467.5</v>
      </c>
      <c r="J127">
        <v>33509.9</v>
      </c>
    </row>
    <row r="128" spans="1:10" x14ac:dyDescent="0.3">
      <c r="A128" s="1" t="s">
        <v>169</v>
      </c>
      <c r="B128" s="2">
        <v>46153</v>
      </c>
      <c r="C128" s="1" t="s">
        <v>32</v>
      </c>
      <c r="D128" s="1" t="s">
        <v>12</v>
      </c>
      <c r="E128" s="1" t="s">
        <v>33</v>
      </c>
      <c r="F128">
        <v>8</v>
      </c>
      <c r="G128">
        <v>2450</v>
      </c>
      <c r="H128">
        <v>0.08</v>
      </c>
      <c r="I128">
        <v>18032</v>
      </c>
      <c r="J128">
        <v>13111.98</v>
      </c>
    </row>
    <row r="129" spans="1:10" x14ac:dyDescent="0.3">
      <c r="A129" s="1" t="s">
        <v>170</v>
      </c>
      <c r="B129" s="2">
        <v>46044</v>
      </c>
      <c r="C129" s="1" t="s">
        <v>35</v>
      </c>
      <c r="D129" s="1" t="s">
        <v>16</v>
      </c>
      <c r="E129" s="1" t="s">
        <v>36</v>
      </c>
      <c r="F129">
        <v>10</v>
      </c>
      <c r="G129">
        <v>2620</v>
      </c>
      <c r="H129">
        <v>0.05</v>
      </c>
      <c r="I129">
        <v>24890</v>
      </c>
      <c r="J129">
        <v>20066.73</v>
      </c>
    </row>
    <row r="130" spans="1:10" x14ac:dyDescent="0.3">
      <c r="A130" s="1" t="s">
        <v>171</v>
      </c>
      <c r="B130" s="2">
        <v>46181</v>
      </c>
      <c r="C130" s="1" t="s">
        <v>38</v>
      </c>
      <c r="D130" s="1" t="s">
        <v>20</v>
      </c>
      <c r="E130" s="1" t="s">
        <v>39</v>
      </c>
      <c r="F130">
        <v>11</v>
      </c>
      <c r="G130">
        <v>2850</v>
      </c>
      <c r="H130">
        <v>0</v>
      </c>
      <c r="I130">
        <v>31350</v>
      </c>
      <c r="J130">
        <v>26050.21</v>
      </c>
    </row>
    <row r="131" spans="1:10" x14ac:dyDescent="0.3">
      <c r="A131" s="1" t="s">
        <v>172</v>
      </c>
      <c r="B131" s="2">
        <v>46215</v>
      </c>
      <c r="C131" s="1" t="s">
        <v>41</v>
      </c>
      <c r="D131" s="1" t="s">
        <v>12</v>
      </c>
      <c r="E131" s="1" t="s">
        <v>42</v>
      </c>
      <c r="F131">
        <v>4</v>
      </c>
      <c r="G131">
        <v>2450</v>
      </c>
      <c r="H131">
        <v>0.08</v>
      </c>
      <c r="I131">
        <v>9016</v>
      </c>
      <c r="J131">
        <v>6759</v>
      </c>
    </row>
    <row r="132" spans="1:10" x14ac:dyDescent="0.3">
      <c r="A132" s="1" t="s">
        <v>173</v>
      </c>
      <c r="B132" s="2">
        <v>46229</v>
      </c>
      <c r="C132" s="1" t="s">
        <v>44</v>
      </c>
      <c r="D132" s="1" t="s">
        <v>16</v>
      </c>
      <c r="E132" s="1" t="s">
        <v>13</v>
      </c>
      <c r="F132">
        <v>7</v>
      </c>
      <c r="G132">
        <v>2620</v>
      </c>
      <c r="H132">
        <v>0</v>
      </c>
      <c r="I132">
        <v>18340</v>
      </c>
      <c r="J132">
        <v>12909.67</v>
      </c>
    </row>
    <row r="133" spans="1:10" x14ac:dyDescent="0.3">
      <c r="A133" s="1" t="s">
        <v>174</v>
      </c>
      <c r="B133" s="2">
        <v>46085</v>
      </c>
      <c r="C133" s="1" t="s">
        <v>46</v>
      </c>
      <c r="D133" s="1" t="s">
        <v>20</v>
      </c>
      <c r="E133" s="1" t="s">
        <v>17</v>
      </c>
      <c r="F133">
        <v>16</v>
      </c>
      <c r="G133">
        <v>2850</v>
      </c>
      <c r="H133">
        <v>0.05</v>
      </c>
      <c r="I133">
        <v>43320</v>
      </c>
      <c r="J133">
        <v>36213.699999999997</v>
      </c>
    </row>
    <row r="134" spans="1:10" x14ac:dyDescent="0.3">
      <c r="A134" s="1" t="s">
        <v>175</v>
      </c>
      <c r="B134" s="2">
        <v>46041</v>
      </c>
      <c r="C134" s="1" t="s">
        <v>48</v>
      </c>
      <c r="D134" s="1" t="s">
        <v>12</v>
      </c>
      <c r="E134" s="1" t="s">
        <v>21</v>
      </c>
      <c r="F134">
        <v>8</v>
      </c>
      <c r="G134">
        <v>2450</v>
      </c>
      <c r="H134">
        <v>0.03</v>
      </c>
      <c r="I134">
        <v>19012</v>
      </c>
      <c r="J134">
        <v>16003.96</v>
      </c>
    </row>
    <row r="135" spans="1:10" x14ac:dyDescent="0.3">
      <c r="A135" s="1" t="s">
        <v>176</v>
      </c>
      <c r="B135" s="2">
        <v>46170</v>
      </c>
      <c r="C135" s="1" t="s">
        <v>50</v>
      </c>
      <c r="D135" s="1" t="s">
        <v>16</v>
      </c>
      <c r="E135" s="1" t="s">
        <v>24</v>
      </c>
      <c r="F135">
        <v>7</v>
      </c>
      <c r="G135">
        <v>2620</v>
      </c>
      <c r="H135">
        <v>0.08</v>
      </c>
      <c r="I135">
        <v>16872.8</v>
      </c>
      <c r="J135">
        <v>13690.87</v>
      </c>
    </row>
    <row r="136" spans="1:10" x14ac:dyDescent="0.3">
      <c r="A136" s="1" t="s">
        <v>177</v>
      </c>
      <c r="B136" s="2">
        <v>46149</v>
      </c>
      <c r="C136" s="1" t="s">
        <v>52</v>
      </c>
      <c r="D136" s="1" t="s">
        <v>20</v>
      </c>
      <c r="E136" s="1" t="s">
        <v>27</v>
      </c>
      <c r="F136">
        <v>13</v>
      </c>
      <c r="G136">
        <v>2850</v>
      </c>
      <c r="H136">
        <v>0</v>
      </c>
      <c r="I136">
        <v>37050</v>
      </c>
      <c r="J136">
        <v>26809.8</v>
      </c>
    </row>
    <row r="137" spans="1:10" x14ac:dyDescent="0.3">
      <c r="A137" s="1" t="s">
        <v>178</v>
      </c>
      <c r="B137" s="2">
        <v>46199</v>
      </c>
      <c r="C137" s="1" t="s">
        <v>54</v>
      </c>
      <c r="D137" s="1" t="s">
        <v>12</v>
      </c>
      <c r="E137" s="1" t="s">
        <v>30</v>
      </c>
      <c r="F137">
        <v>1</v>
      </c>
      <c r="G137">
        <v>2450</v>
      </c>
      <c r="H137">
        <v>0</v>
      </c>
      <c r="I137">
        <v>2450</v>
      </c>
      <c r="J137">
        <v>2020.14</v>
      </c>
    </row>
    <row r="138" spans="1:10" x14ac:dyDescent="0.3">
      <c r="A138" s="1" t="s">
        <v>179</v>
      </c>
      <c r="B138" s="2">
        <v>46079</v>
      </c>
      <c r="C138" s="1" t="s">
        <v>56</v>
      </c>
      <c r="D138" s="1" t="s">
        <v>16</v>
      </c>
      <c r="E138" s="1" t="s">
        <v>33</v>
      </c>
      <c r="F138">
        <v>6</v>
      </c>
      <c r="G138">
        <v>2620</v>
      </c>
      <c r="H138">
        <v>0.08</v>
      </c>
      <c r="I138">
        <v>14462.4</v>
      </c>
      <c r="J138">
        <v>11322.23</v>
      </c>
    </row>
    <row r="139" spans="1:10" x14ac:dyDescent="0.3">
      <c r="A139" s="1" t="s">
        <v>180</v>
      </c>
      <c r="B139" s="2">
        <v>46035</v>
      </c>
      <c r="C139" s="1" t="s">
        <v>58</v>
      </c>
      <c r="D139" s="1" t="s">
        <v>20</v>
      </c>
      <c r="E139" s="1" t="s">
        <v>36</v>
      </c>
      <c r="F139">
        <v>18</v>
      </c>
      <c r="G139">
        <v>2850</v>
      </c>
      <c r="H139">
        <v>0</v>
      </c>
      <c r="I139">
        <v>51300</v>
      </c>
      <c r="J139">
        <v>43440.59</v>
      </c>
    </row>
    <row r="140" spans="1:10" x14ac:dyDescent="0.3">
      <c r="A140" s="1" t="s">
        <v>181</v>
      </c>
      <c r="B140" s="2">
        <v>46054</v>
      </c>
      <c r="C140" s="1" t="s">
        <v>60</v>
      </c>
      <c r="D140" s="1" t="s">
        <v>12</v>
      </c>
      <c r="E140" s="1" t="s">
        <v>39</v>
      </c>
      <c r="F140">
        <v>8</v>
      </c>
      <c r="G140">
        <v>2450</v>
      </c>
      <c r="H140">
        <v>0</v>
      </c>
      <c r="I140">
        <v>19600</v>
      </c>
      <c r="J140">
        <v>16233.24</v>
      </c>
    </row>
    <row r="141" spans="1:10" x14ac:dyDescent="0.3">
      <c r="A141" s="1" t="s">
        <v>182</v>
      </c>
      <c r="B141" s="2">
        <v>46193</v>
      </c>
      <c r="C141" s="1" t="s">
        <v>62</v>
      </c>
      <c r="D141" s="1" t="s">
        <v>16</v>
      </c>
      <c r="E141" s="1" t="s">
        <v>42</v>
      </c>
      <c r="F141">
        <v>17</v>
      </c>
      <c r="G141">
        <v>2620</v>
      </c>
      <c r="H141">
        <v>0.05</v>
      </c>
      <c r="I141">
        <v>42313</v>
      </c>
      <c r="J141">
        <v>33650.36</v>
      </c>
    </row>
    <row r="142" spans="1:10" x14ac:dyDescent="0.3">
      <c r="A142" s="1" t="s">
        <v>183</v>
      </c>
      <c r="B142" s="2">
        <v>46216</v>
      </c>
      <c r="C142" s="1" t="s">
        <v>11</v>
      </c>
      <c r="D142" s="1" t="s">
        <v>20</v>
      </c>
      <c r="E142" s="1" t="s">
        <v>13</v>
      </c>
      <c r="F142">
        <v>15</v>
      </c>
      <c r="G142">
        <v>2850</v>
      </c>
      <c r="H142">
        <v>0.05</v>
      </c>
      <c r="I142">
        <v>40612.5</v>
      </c>
      <c r="J142">
        <v>33724.660000000003</v>
      </c>
    </row>
    <row r="143" spans="1:10" x14ac:dyDescent="0.3">
      <c r="A143" s="1" t="s">
        <v>184</v>
      </c>
      <c r="B143" s="2">
        <v>46152</v>
      </c>
      <c r="C143" s="1" t="s">
        <v>15</v>
      </c>
      <c r="D143" s="1" t="s">
        <v>12</v>
      </c>
      <c r="E143" s="1" t="s">
        <v>17</v>
      </c>
      <c r="F143">
        <v>7</v>
      </c>
      <c r="G143">
        <v>2450</v>
      </c>
      <c r="H143">
        <v>0.05</v>
      </c>
      <c r="I143">
        <v>16292.5</v>
      </c>
      <c r="J143">
        <v>12567.16</v>
      </c>
    </row>
    <row r="144" spans="1:10" x14ac:dyDescent="0.3">
      <c r="A144" s="1" t="s">
        <v>185</v>
      </c>
      <c r="B144" s="2">
        <v>46063</v>
      </c>
      <c r="C144" s="1" t="s">
        <v>19</v>
      </c>
      <c r="D144" s="1" t="s">
        <v>16</v>
      </c>
      <c r="E144" s="1" t="s">
        <v>21</v>
      </c>
      <c r="F144">
        <v>16</v>
      </c>
      <c r="G144">
        <v>2620</v>
      </c>
      <c r="H144">
        <v>0.03</v>
      </c>
      <c r="I144">
        <v>40662.400000000001</v>
      </c>
      <c r="J144">
        <v>30149.98</v>
      </c>
    </row>
    <row r="145" spans="1:10" x14ac:dyDescent="0.3">
      <c r="A145" s="1" t="s">
        <v>186</v>
      </c>
      <c r="B145" s="2">
        <v>46086</v>
      </c>
      <c r="C145" s="1" t="s">
        <v>23</v>
      </c>
      <c r="D145" s="1" t="s">
        <v>20</v>
      </c>
      <c r="E145" s="1" t="s">
        <v>24</v>
      </c>
      <c r="F145">
        <v>9</v>
      </c>
      <c r="G145">
        <v>2850</v>
      </c>
      <c r="H145">
        <v>0.05</v>
      </c>
      <c r="I145">
        <v>24367.5</v>
      </c>
      <c r="J145">
        <v>18946.599999999999</v>
      </c>
    </row>
    <row r="146" spans="1:10" x14ac:dyDescent="0.3">
      <c r="A146" s="1" t="s">
        <v>187</v>
      </c>
      <c r="B146" s="2">
        <v>46084</v>
      </c>
      <c r="C146" s="1" t="s">
        <v>26</v>
      </c>
      <c r="D146" s="1" t="s">
        <v>12</v>
      </c>
      <c r="E146" s="1" t="s">
        <v>27</v>
      </c>
      <c r="F146">
        <v>5</v>
      </c>
      <c r="G146">
        <v>2450</v>
      </c>
      <c r="H146">
        <v>0.03</v>
      </c>
      <c r="I146">
        <v>11882.5</v>
      </c>
      <c r="J146">
        <v>8465.06</v>
      </c>
    </row>
    <row r="147" spans="1:10" x14ac:dyDescent="0.3">
      <c r="A147" s="1" t="s">
        <v>188</v>
      </c>
      <c r="B147" s="2">
        <v>46096</v>
      </c>
      <c r="C147" s="1" t="s">
        <v>29</v>
      </c>
      <c r="D147" s="1" t="s">
        <v>16</v>
      </c>
      <c r="E147" s="1" t="s">
        <v>30</v>
      </c>
      <c r="F147">
        <v>8</v>
      </c>
      <c r="G147">
        <v>2620</v>
      </c>
      <c r="H147">
        <v>0.02</v>
      </c>
      <c r="I147">
        <v>20540.8</v>
      </c>
      <c r="J147">
        <v>15482.33</v>
      </c>
    </row>
    <row r="148" spans="1:10" x14ac:dyDescent="0.3">
      <c r="A148" s="1" t="s">
        <v>189</v>
      </c>
      <c r="B148" s="2">
        <v>46161</v>
      </c>
      <c r="C148" s="1" t="s">
        <v>32</v>
      </c>
      <c r="D148" s="1" t="s">
        <v>20</v>
      </c>
      <c r="E148" s="1" t="s">
        <v>33</v>
      </c>
      <c r="F148">
        <v>3</v>
      </c>
      <c r="G148">
        <v>2850</v>
      </c>
      <c r="H148">
        <v>0</v>
      </c>
      <c r="I148">
        <v>8550</v>
      </c>
      <c r="J148">
        <v>6191.34</v>
      </c>
    </row>
    <row r="149" spans="1:10" x14ac:dyDescent="0.3">
      <c r="A149" s="1" t="s">
        <v>190</v>
      </c>
      <c r="B149" s="2">
        <v>46121</v>
      </c>
      <c r="C149" s="1" t="s">
        <v>35</v>
      </c>
      <c r="D149" s="1" t="s">
        <v>12</v>
      </c>
      <c r="E149" s="1" t="s">
        <v>36</v>
      </c>
      <c r="F149">
        <v>3</v>
      </c>
      <c r="G149">
        <v>2450</v>
      </c>
      <c r="H149">
        <v>0.08</v>
      </c>
      <c r="I149">
        <v>6762</v>
      </c>
      <c r="J149">
        <v>4964.88</v>
      </c>
    </row>
    <row r="150" spans="1:10" x14ac:dyDescent="0.3">
      <c r="A150" s="1" t="s">
        <v>191</v>
      </c>
      <c r="B150" s="2">
        <v>46129</v>
      </c>
      <c r="C150" s="1" t="s">
        <v>38</v>
      </c>
      <c r="D150" s="1" t="s">
        <v>16</v>
      </c>
      <c r="E150" s="1" t="s">
        <v>39</v>
      </c>
      <c r="F150">
        <v>14</v>
      </c>
      <c r="G150">
        <v>2620</v>
      </c>
      <c r="H150">
        <v>0.02</v>
      </c>
      <c r="I150">
        <v>35946.400000000001</v>
      </c>
      <c r="J150">
        <v>28283.27</v>
      </c>
    </row>
    <row r="151" spans="1:10" x14ac:dyDescent="0.3">
      <c r="A151" s="1" t="s">
        <v>192</v>
      </c>
      <c r="B151" s="2">
        <v>46129</v>
      </c>
      <c r="C151" s="1" t="s">
        <v>41</v>
      </c>
      <c r="D151" s="1" t="s">
        <v>20</v>
      </c>
      <c r="E151" s="1" t="s">
        <v>42</v>
      </c>
      <c r="F151">
        <v>2</v>
      </c>
      <c r="G151">
        <v>2850</v>
      </c>
      <c r="H151">
        <v>0</v>
      </c>
      <c r="I151">
        <v>5700</v>
      </c>
      <c r="J151">
        <v>4749.6000000000004</v>
      </c>
    </row>
    <row r="152" spans="1:10" x14ac:dyDescent="0.3">
      <c r="A152" s="1" t="s">
        <v>193</v>
      </c>
      <c r="B152" s="2">
        <v>46122</v>
      </c>
      <c r="C152" s="1" t="s">
        <v>44</v>
      </c>
      <c r="D152" s="1" t="s">
        <v>12</v>
      </c>
      <c r="E152" s="1" t="s">
        <v>13</v>
      </c>
      <c r="F152">
        <v>1</v>
      </c>
      <c r="G152">
        <v>2450</v>
      </c>
      <c r="H152">
        <v>0.05</v>
      </c>
      <c r="I152">
        <v>2327.5</v>
      </c>
      <c r="J152">
        <v>1770.9</v>
      </c>
    </row>
    <row r="153" spans="1:10" x14ac:dyDescent="0.3">
      <c r="A153" s="1" t="s">
        <v>194</v>
      </c>
      <c r="B153" s="2">
        <v>46024</v>
      </c>
      <c r="C153" s="1" t="s">
        <v>46</v>
      </c>
      <c r="D153" s="1" t="s">
        <v>16</v>
      </c>
      <c r="E153" s="1" t="s">
        <v>17</v>
      </c>
      <c r="F153">
        <v>12</v>
      </c>
      <c r="G153">
        <v>2620</v>
      </c>
      <c r="H153">
        <v>0.02</v>
      </c>
      <c r="I153">
        <v>30811.200000000001</v>
      </c>
      <c r="J153">
        <v>25282.32</v>
      </c>
    </row>
    <row r="154" spans="1:10" x14ac:dyDescent="0.3">
      <c r="A154" s="1" t="s">
        <v>195</v>
      </c>
      <c r="B154" s="2">
        <v>46130</v>
      </c>
      <c r="C154" s="1" t="s">
        <v>48</v>
      </c>
      <c r="D154" s="1" t="s">
        <v>20</v>
      </c>
      <c r="E154" s="1" t="s">
        <v>21</v>
      </c>
      <c r="F154">
        <v>18</v>
      </c>
      <c r="G154">
        <v>2850</v>
      </c>
      <c r="H154">
        <v>0.08</v>
      </c>
      <c r="I154">
        <v>47196</v>
      </c>
      <c r="J154">
        <v>38584.69</v>
      </c>
    </row>
    <row r="155" spans="1:10" x14ac:dyDescent="0.3">
      <c r="A155" s="1" t="s">
        <v>196</v>
      </c>
      <c r="B155" s="2">
        <v>46227</v>
      </c>
      <c r="C155" s="1" t="s">
        <v>50</v>
      </c>
      <c r="D155" s="1" t="s">
        <v>12</v>
      </c>
      <c r="E155" s="1" t="s">
        <v>24</v>
      </c>
      <c r="F155">
        <v>4</v>
      </c>
      <c r="G155">
        <v>2450</v>
      </c>
      <c r="H155">
        <v>0.03</v>
      </c>
      <c r="I155">
        <v>9506</v>
      </c>
      <c r="J155">
        <v>6987.93</v>
      </c>
    </row>
    <row r="156" spans="1:10" x14ac:dyDescent="0.3">
      <c r="A156" s="1" t="s">
        <v>197</v>
      </c>
      <c r="B156" s="2">
        <v>46134</v>
      </c>
      <c r="C156" s="1" t="s">
        <v>52</v>
      </c>
      <c r="D156" s="1" t="s">
        <v>16</v>
      </c>
      <c r="E156" s="1" t="s">
        <v>27</v>
      </c>
      <c r="F156">
        <v>16</v>
      </c>
      <c r="G156">
        <v>2620</v>
      </c>
      <c r="H156">
        <v>0</v>
      </c>
      <c r="I156">
        <v>41920</v>
      </c>
      <c r="J156">
        <v>31952.14</v>
      </c>
    </row>
    <row r="157" spans="1:10" x14ac:dyDescent="0.3">
      <c r="A157" s="1" t="s">
        <v>198</v>
      </c>
      <c r="B157" s="2">
        <v>46194</v>
      </c>
      <c r="C157" s="1" t="s">
        <v>54</v>
      </c>
      <c r="D157" s="1" t="s">
        <v>20</v>
      </c>
      <c r="E157" s="1" t="s">
        <v>30</v>
      </c>
      <c r="F157">
        <v>13</v>
      </c>
      <c r="G157">
        <v>2850</v>
      </c>
      <c r="H157">
        <v>0.08</v>
      </c>
      <c r="I157">
        <v>34086</v>
      </c>
      <c r="J157">
        <v>24760.31</v>
      </c>
    </row>
    <row r="158" spans="1:10" x14ac:dyDescent="0.3">
      <c r="A158" s="1" t="s">
        <v>199</v>
      </c>
      <c r="B158" s="2">
        <v>46142</v>
      </c>
      <c r="C158" s="1" t="s">
        <v>56</v>
      </c>
      <c r="D158" s="1" t="s">
        <v>12</v>
      </c>
      <c r="E158" s="1" t="s">
        <v>33</v>
      </c>
      <c r="F158">
        <v>3</v>
      </c>
      <c r="G158">
        <v>2450</v>
      </c>
      <c r="H158">
        <v>0.05</v>
      </c>
      <c r="I158">
        <v>6982.5</v>
      </c>
      <c r="J158">
        <v>5484.47</v>
      </c>
    </row>
    <row r="159" spans="1:10" x14ac:dyDescent="0.3">
      <c r="A159" s="1" t="s">
        <v>200</v>
      </c>
      <c r="B159" s="2">
        <v>46123</v>
      </c>
      <c r="C159" s="1" t="s">
        <v>58</v>
      </c>
      <c r="D159" s="1" t="s">
        <v>16</v>
      </c>
      <c r="E159" s="1" t="s">
        <v>36</v>
      </c>
      <c r="F159">
        <v>19</v>
      </c>
      <c r="G159">
        <v>2620</v>
      </c>
      <c r="H159">
        <v>0.05</v>
      </c>
      <c r="I159">
        <v>47291</v>
      </c>
      <c r="J159">
        <v>38120.33</v>
      </c>
    </row>
    <row r="160" spans="1:10" x14ac:dyDescent="0.3">
      <c r="A160" s="1" t="s">
        <v>201</v>
      </c>
      <c r="B160" s="2">
        <v>46044</v>
      </c>
      <c r="C160" s="1" t="s">
        <v>60</v>
      </c>
      <c r="D160" s="1" t="s">
        <v>20</v>
      </c>
      <c r="E160" s="1" t="s">
        <v>39</v>
      </c>
      <c r="F160">
        <v>14</v>
      </c>
      <c r="G160">
        <v>2850</v>
      </c>
      <c r="H160">
        <v>0</v>
      </c>
      <c r="I160">
        <v>39900</v>
      </c>
      <c r="J160">
        <v>33463.980000000003</v>
      </c>
    </row>
    <row r="161" spans="1:10" x14ac:dyDescent="0.3">
      <c r="A161" s="1" t="s">
        <v>202</v>
      </c>
      <c r="B161" s="2">
        <v>46069</v>
      </c>
      <c r="C161" s="1" t="s">
        <v>62</v>
      </c>
      <c r="D161" s="1" t="s">
        <v>12</v>
      </c>
      <c r="E161" s="1" t="s">
        <v>42</v>
      </c>
      <c r="F161">
        <v>1</v>
      </c>
      <c r="G161">
        <v>2450</v>
      </c>
      <c r="H161">
        <v>0.02</v>
      </c>
      <c r="I161">
        <v>2401</v>
      </c>
      <c r="J161">
        <v>1826.34</v>
      </c>
    </row>
    <row r="162" spans="1:10" x14ac:dyDescent="0.3">
      <c r="A162" s="1" t="s">
        <v>203</v>
      </c>
      <c r="B162" s="2">
        <v>46077</v>
      </c>
      <c r="C162" s="1" t="s">
        <v>11</v>
      </c>
      <c r="D162" s="1" t="s">
        <v>16</v>
      </c>
      <c r="E162" s="1" t="s">
        <v>13</v>
      </c>
      <c r="F162">
        <v>15</v>
      </c>
      <c r="G162">
        <v>2620</v>
      </c>
      <c r="H162">
        <v>0.02</v>
      </c>
      <c r="I162">
        <v>38514</v>
      </c>
      <c r="J162">
        <v>29039.56</v>
      </c>
    </row>
    <row r="163" spans="1:10" x14ac:dyDescent="0.3">
      <c r="A163" s="1" t="s">
        <v>204</v>
      </c>
      <c r="B163" s="2">
        <v>46120</v>
      </c>
      <c r="C163" s="1" t="s">
        <v>15</v>
      </c>
      <c r="D163" s="1" t="s">
        <v>20</v>
      </c>
      <c r="E163" s="1" t="s">
        <v>17</v>
      </c>
      <c r="F163">
        <v>9</v>
      </c>
      <c r="G163">
        <v>2850</v>
      </c>
      <c r="H163">
        <v>0.03</v>
      </c>
      <c r="I163">
        <v>24880.5</v>
      </c>
      <c r="J163">
        <v>18420.61</v>
      </c>
    </row>
    <row r="164" spans="1:10" x14ac:dyDescent="0.3">
      <c r="A164" s="1" t="s">
        <v>205</v>
      </c>
      <c r="B164" s="2">
        <v>46043</v>
      </c>
      <c r="C164" s="1" t="s">
        <v>19</v>
      </c>
      <c r="D164" s="1" t="s">
        <v>12</v>
      </c>
      <c r="E164" s="1" t="s">
        <v>21</v>
      </c>
      <c r="F164">
        <v>8</v>
      </c>
      <c r="G164">
        <v>2450</v>
      </c>
      <c r="H164">
        <v>0</v>
      </c>
      <c r="I164">
        <v>19600</v>
      </c>
      <c r="J164">
        <v>16068.94</v>
      </c>
    </row>
    <row r="165" spans="1:10" x14ac:dyDescent="0.3">
      <c r="A165" s="1" t="s">
        <v>206</v>
      </c>
      <c r="B165" s="2">
        <v>46036</v>
      </c>
      <c r="C165" s="1" t="s">
        <v>23</v>
      </c>
      <c r="D165" s="1" t="s">
        <v>16</v>
      </c>
      <c r="E165" s="1" t="s">
        <v>24</v>
      </c>
      <c r="F165">
        <v>12</v>
      </c>
      <c r="G165">
        <v>2620</v>
      </c>
      <c r="H165">
        <v>0</v>
      </c>
      <c r="I165">
        <v>31440</v>
      </c>
      <c r="J165">
        <v>25278.48</v>
      </c>
    </row>
    <row r="166" spans="1:10" x14ac:dyDescent="0.3">
      <c r="A166" s="1" t="s">
        <v>207</v>
      </c>
      <c r="B166" s="2">
        <v>46222</v>
      </c>
      <c r="C166" s="1" t="s">
        <v>26</v>
      </c>
      <c r="D166" s="1" t="s">
        <v>20</v>
      </c>
      <c r="E166" s="1" t="s">
        <v>27</v>
      </c>
      <c r="F166">
        <v>2</v>
      </c>
      <c r="G166">
        <v>2850</v>
      </c>
      <c r="H166">
        <v>0</v>
      </c>
      <c r="I166">
        <v>5700</v>
      </c>
      <c r="J166">
        <v>4856.05</v>
      </c>
    </row>
    <row r="167" spans="1:10" x14ac:dyDescent="0.3">
      <c r="A167" s="1" t="s">
        <v>208</v>
      </c>
      <c r="B167" s="2">
        <v>46074</v>
      </c>
      <c r="C167" s="1" t="s">
        <v>29</v>
      </c>
      <c r="D167" s="1" t="s">
        <v>12</v>
      </c>
      <c r="E167" s="1" t="s">
        <v>30</v>
      </c>
      <c r="F167">
        <v>1</v>
      </c>
      <c r="G167">
        <v>2450</v>
      </c>
      <c r="H167">
        <v>0.05</v>
      </c>
      <c r="I167">
        <v>2327.5</v>
      </c>
      <c r="J167">
        <v>1686</v>
      </c>
    </row>
    <row r="168" spans="1:10" x14ac:dyDescent="0.3">
      <c r="A168" s="1" t="s">
        <v>209</v>
      </c>
      <c r="B168" s="2">
        <v>46055</v>
      </c>
      <c r="C168" s="1" t="s">
        <v>32</v>
      </c>
      <c r="D168" s="1" t="s">
        <v>16</v>
      </c>
      <c r="E168" s="1" t="s">
        <v>33</v>
      </c>
      <c r="F168">
        <v>16</v>
      </c>
      <c r="G168">
        <v>2620</v>
      </c>
      <c r="H168">
        <v>0.08</v>
      </c>
      <c r="I168">
        <v>38566.400000000001</v>
      </c>
      <c r="J168">
        <v>27702.33</v>
      </c>
    </row>
    <row r="169" spans="1:10" x14ac:dyDescent="0.3">
      <c r="A169" s="1" t="s">
        <v>210</v>
      </c>
      <c r="B169" s="2">
        <v>46078</v>
      </c>
      <c r="C169" s="1" t="s">
        <v>35</v>
      </c>
      <c r="D169" s="1" t="s">
        <v>20</v>
      </c>
      <c r="E169" s="1" t="s">
        <v>36</v>
      </c>
      <c r="F169">
        <v>15</v>
      </c>
      <c r="G169">
        <v>2850</v>
      </c>
      <c r="H169">
        <v>0.08</v>
      </c>
      <c r="I169">
        <v>39330</v>
      </c>
      <c r="J169">
        <v>29143.49</v>
      </c>
    </row>
    <row r="170" spans="1:10" x14ac:dyDescent="0.3">
      <c r="A170" s="1" t="s">
        <v>211</v>
      </c>
      <c r="B170" s="2">
        <v>46117</v>
      </c>
      <c r="C170" s="1" t="s">
        <v>38</v>
      </c>
      <c r="D170" s="1" t="s">
        <v>12</v>
      </c>
      <c r="E170" s="1" t="s">
        <v>39</v>
      </c>
      <c r="F170">
        <v>3</v>
      </c>
      <c r="G170">
        <v>2450</v>
      </c>
      <c r="H170">
        <v>0.05</v>
      </c>
      <c r="I170">
        <v>6982.5</v>
      </c>
      <c r="J170">
        <v>5566.17</v>
      </c>
    </row>
    <row r="171" spans="1:10" x14ac:dyDescent="0.3">
      <c r="A171" s="1" t="s">
        <v>212</v>
      </c>
      <c r="B171" s="2">
        <v>46214</v>
      </c>
      <c r="C171" s="1" t="s">
        <v>41</v>
      </c>
      <c r="D171" s="1" t="s">
        <v>16</v>
      </c>
      <c r="E171" s="1" t="s">
        <v>42</v>
      </c>
      <c r="F171">
        <v>4</v>
      </c>
      <c r="G171">
        <v>2620</v>
      </c>
      <c r="H171">
        <v>0</v>
      </c>
      <c r="I171">
        <v>10480</v>
      </c>
      <c r="J171">
        <v>8953.64</v>
      </c>
    </row>
    <row r="172" spans="1:10" x14ac:dyDescent="0.3">
      <c r="A172" s="1" t="s">
        <v>213</v>
      </c>
      <c r="B172" s="2">
        <v>46050</v>
      </c>
      <c r="C172" s="1" t="s">
        <v>44</v>
      </c>
      <c r="D172" s="1" t="s">
        <v>20</v>
      </c>
      <c r="E172" s="1" t="s">
        <v>13</v>
      </c>
      <c r="F172">
        <v>19</v>
      </c>
      <c r="G172">
        <v>2850</v>
      </c>
      <c r="H172">
        <v>0</v>
      </c>
      <c r="I172">
        <v>54150</v>
      </c>
      <c r="J172">
        <v>45952.88</v>
      </c>
    </row>
    <row r="173" spans="1:10" x14ac:dyDescent="0.3">
      <c r="A173" s="1" t="s">
        <v>214</v>
      </c>
      <c r="B173" s="2">
        <v>46170</v>
      </c>
      <c r="C173" s="1" t="s">
        <v>46</v>
      </c>
      <c r="D173" s="1" t="s">
        <v>12</v>
      </c>
      <c r="E173" s="1" t="s">
        <v>17</v>
      </c>
      <c r="F173">
        <v>7</v>
      </c>
      <c r="G173">
        <v>2450</v>
      </c>
      <c r="H173">
        <v>0.03</v>
      </c>
      <c r="I173">
        <v>16635.5</v>
      </c>
      <c r="J173">
        <v>14150.74</v>
      </c>
    </row>
    <row r="174" spans="1:10" x14ac:dyDescent="0.3">
      <c r="A174" s="1" t="s">
        <v>215</v>
      </c>
      <c r="B174" s="2">
        <v>46073</v>
      </c>
      <c r="C174" s="1" t="s">
        <v>48</v>
      </c>
      <c r="D174" s="1" t="s">
        <v>16</v>
      </c>
      <c r="E174" s="1" t="s">
        <v>21</v>
      </c>
      <c r="F174">
        <v>3</v>
      </c>
      <c r="G174">
        <v>2620</v>
      </c>
      <c r="H174">
        <v>0.05</v>
      </c>
      <c r="I174">
        <v>7467</v>
      </c>
      <c r="J174">
        <v>6051.99</v>
      </c>
    </row>
    <row r="175" spans="1:10" x14ac:dyDescent="0.3">
      <c r="A175" s="1" t="s">
        <v>216</v>
      </c>
      <c r="B175" s="2">
        <v>46183</v>
      </c>
      <c r="C175" s="1" t="s">
        <v>50</v>
      </c>
      <c r="D175" s="1" t="s">
        <v>20</v>
      </c>
      <c r="E175" s="1" t="s">
        <v>24</v>
      </c>
      <c r="F175">
        <v>8</v>
      </c>
      <c r="G175">
        <v>2850</v>
      </c>
      <c r="H175">
        <v>0</v>
      </c>
      <c r="I175">
        <v>22800</v>
      </c>
      <c r="J175">
        <v>18503.36</v>
      </c>
    </row>
    <row r="176" spans="1:10" x14ac:dyDescent="0.3">
      <c r="A176" s="1" t="s">
        <v>217</v>
      </c>
      <c r="B176" s="2">
        <v>46100</v>
      </c>
      <c r="C176" s="1" t="s">
        <v>52</v>
      </c>
      <c r="D176" s="1" t="s">
        <v>12</v>
      </c>
      <c r="E176" s="1" t="s">
        <v>27</v>
      </c>
      <c r="F176">
        <v>2</v>
      </c>
      <c r="G176">
        <v>2450</v>
      </c>
      <c r="H176">
        <v>0.05</v>
      </c>
      <c r="I176">
        <v>4655</v>
      </c>
      <c r="J176">
        <v>3841.41</v>
      </c>
    </row>
    <row r="177" spans="1:10" x14ac:dyDescent="0.3">
      <c r="A177" s="1" t="s">
        <v>218</v>
      </c>
      <c r="B177" s="2">
        <v>46111</v>
      </c>
      <c r="C177" s="1" t="s">
        <v>54</v>
      </c>
      <c r="D177" s="1" t="s">
        <v>16</v>
      </c>
      <c r="E177" s="1" t="s">
        <v>30</v>
      </c>
      <c r="F177">
        <v>18</v>
      </c>
      <c r="G177">
        <v>2620</v>
      </c>
      <c r="H177">
        <v>0.03</v>
      </c>
      <c r="I177">
        <v>45745.2</v>
      </c>
      <c r="J177">
        <v>36863.47</v>
      </c>
    </row>
    <row r="178" spans="1:10" x14ac:dyDescent="0.3">
      <c r="A178" s="1" t="s">
        <v>219</v>
      </c>
      <c r="B178" s="2">
        <v>46040</v>
      </c>
      <c r="C178" s="1" t="s">
        <v>56</v>
      </c>
      <c r="D178" s="1" t="s">
        <v>20</v>
      </c>
      <c r="E178" s="1" t="s">
        <v>33</v>
      </c>
      <c r="F178">
        <v>17</v>
      </c>
      <c r="G178">
        <v>2850</v>
      </c>
      <c r="H178">
        <v>0.08</v>
      </c>
      <c r="I178">
        <v>44574</v>
      </c>
      <c r="J178">
        <v>33635.410000000003</v>
      </c>
    </row>
    <row r="179" spans="1:10" x14ac:dyDescent="0.3">
      <c r="A179" s="1" t="s">
        <v>220</v>
      </c>
      <c r="B179" s="2">
        <v>46130</v>
      </c>
      <c r="C179" s="1" t="s">
        <v>58</v>
      </c>
      <c r="D179" s="1" t="s">
        <v>12</v>
      </c>
      <c r="E179" s="1" t="s">
        <v>36</v>
      </c>
      <c r="F179">
        <v>8</v>
      </c>
      <c r="G179">
        <v>2450</v>
      </c>
      <c r="H179">
        <v>0</v>
      </c>
      <c r="I179">
        <v>19600</v>
      </c>
      <c r="J179">
        <v>15079.53</v>
      </c>
    </row>
    <row r="180" spans="1:10" x14ac:dyDescent="0.3">
      <c r="A180" s="1" t="s">
        <v>221</v>
      </c>
      <c r="B180" s="2">
        <v>46115</v>
      </c>
      <c r="C180" s="1" t="s">
        <v>60</v>
      </c>
      <c r="D180" s="1" t="s">
        <v>16</v>
      </c>
      <c r="E180" s="1" t="s">
        <v>39</v>
      </c>
      <c r="F180">
        <v>15</v>
      </c>
      <c r="G180">
        <v>2620</v>
      </c>
      <c r="H180">
        <v>0.08</v>
      </c>
      <c r="I180">
        <v>36156</v>
      </c>
      <c r="J180">
        <v>26194.25</v>
      </c>
    </row>
    <row r="181" spans="1:10" x14ac:dyDescent="0.3">
      <c r="A181" s="1" t="s">
        <v>222</v>
      </c>
      <c r="B181" s="2">
        <v>46068</v>
      </c>
      <c r="C181" s="1" t="s">
        <v>62</v>
      </c>
      <c r="D181" s="1" t="s">
        <v>20</v>
      </c>
      <c r="E181" s="1" t="s">
        <v>42</v>
      </c>
      <c r="F181">
        <v>17</v>
      </c>
      <c r="G181">
        <v>2850</v>
      </c>
      <c r="H181">
        <v>0.08</v>
      </c>
      <c r="I181">
        <v>44574</v>
      </c>
      <c r="J181">
        <v>33127.980000000003</v>
      </c>
    </row>
    <row r="182" spans="1:10" x14ac:dyDescent="0.3">
      <c r="A182" s="1" t="s">
        <v>223</v>
      </c>
      <c r="B182" s="2">
        <v>46229</v>
      </c>
      <c r="C182" s="1" t="s">
        <v>11</v>
      </c>
      <c r="D182" s="1" t="s">
        <v>12</v>
      </c>
      <c r="E182" s="1" t="s">
        <v>13</v>
      </c>
      <c r="F182">
        <v>8</v>
      </c>
      <c r="G182">
        <v>2450</v>
      </c>
      <c r="H182">
        <v>0.03</v>
      </c>
      <c r="I182">
        <v>19012</v>
      </c>
      <c r="J182">
        <v>14633.38</v>
      </c>
    </row>
    <row r="183" spans="1:10" x14ac:dyDescent="0.3">
      <c r="A183" s="1" t="s">
        <v>224</v>
      </c>
      <c r="B183" s="2">
        <v>46210</v>
      </c>
      <c r="C183" s="1" t="s">
        <v>15</v>
      </c>
      <c r="D183" s="1" t="s">
        <v>16</v>
      </c>
      <c r="E183" s="1" t="s">
        <v>17</v>
      </c>
      <c r="F183">
        <v>19</v>
      </c>
      <c r="G183">
        <v>2620</v>
      </c>
      <c r="H183">
        <v>0.02</v>
      </c>
      <c r="I183">
        <v>48784.4</v>
      </c>
      <c r="J183">
        <v>36664.83</v>
      </c>
    </row>
    <row r="184" spans="1:10" x14ac:dyDescent="0.3">
      <c r="A184" s="1" t="s">
        <v>225</v>
      </c>
      <c r="B184" s="2">
        <v>46085</v>
      </c>
      <c r="C184" s="1" t="s">
        <v>19</v>
      </c>
      <c r="D184" s="1" t="s">
        <v>20</v>
      </c>
      <c r="E184" s="1" t="s">
        <v>21</v>
      </c>
      <c r="F184">
        <v>3</v>
      </c>
      <c r="G184">
        <v>2850</v>
      </c>
      <c r="H184">
        <v>0.02</v>
      </c>
      <c r="I184">
        <v>8379</v>
      </c>
      <c r="J184">
        <v>7047.25</v>
      </c>
    </row>
    <row r="185" spans="1:10" x14ac:dyDescent="0.3">
      <c r="A185" s="1" t="s">
        <v>226</v>
      </c>
      <c r="B185" s="2">
        <v>46085</v>
      </c>
      <c r="C185" s="1" t="s">
        <v>23</v>
      </c>
      <c r="D185" s="1" t="s">
        <v>12</v>
      </c>
      <c r="E185" s="1" t="s">
        <v>24</v>
      </c>
      <c r="F185">
        <v>8</v>
      </c>
      <c r="G185">
        <v>2450</v>
      </c>
      <c r="H185">
        <v>0.05</v>
      </c>
      <c r="I185">
        <v>18620</v>
      </c>
      <c r="J185">
        <v>14852.3</v>
      </c>
    </row>
    <row r="186" spans="1:10" x14ac:dyDescent="0.3">
      <c r="A186" s="1" t="s">
        <v>227</v>
      </c>
      <c r="B186" s="2">
        <v>46120</v>
      </c>
      <c r="C186" s="1" t="s">
        <v>26</v>
      </c>
      <c r="D186" s="1" t="s">
        <v>16</v>
      </c>
      <c r="E186" s="1" t="s">
        <v>27</v>
      </c>
      <c r="F186">
        <v>11</v>
      </c>
      <c r="G186">
        <v>2620</v>
      </c>
      <c r="H186">
        <v>0</v>
      </c>
      <c r="I186">
        <v>28820</v>
      </c>
      <c r="J186">
        <v>22453.35</v>
      </c>
    </row>
    <row r="187" spans="1:10" x14ac:dyDescent="0.3">
      <c r="A187" s="1" t="s">
        <v>228</v>
      </c>
      <c r="B187" s="2">
        <v>46106</v>
      </c>
      <c r="C187" s="1" t="s">
        <v>29</v>
      </c>
      <c r="D187" s="1" t="s">
        <v>20</v>
      </c>
      <c r="E187" s="1" t="s">
        <v>30</v>
      </c>
      <c r="F187">
        <v>6</v>
      </c>
      <c r="G187">
        <v>2850</v>
      </c>
      <c r="H187">
        <v>0.03</v>
      </c>
      <c r="I187">
        <v>16587</v>
      </c>
      <c r="J187">
        <v>12173.85</v>
      </c>
    </row>
    <row r="188" spans="1:10" x14ac:dyDescent="0.3">
      <c r="A188" s="1" t="s">
        <v>229</v>
      </c>
      <c r="B188" s="2">
        <v>46227</v>
      </c>
      <c r="C188" s="1" t="s">
        <v>32</v>
      </c>
      <c r="D188" s="1" t="s">
        <v>12</v>
      </c>
      <c r="E188" s="1" t="s">
        <v>33</v>
      </c>
      <c r="F188">
        <v>5</v>
      </c>
      <c r="G188">
        <v>2450</v>
      </c>
      <c r="H188">
        <v>0.02</v>
      </c>
      <c r="I188">
        <v>12005</v>
      </c>
      <c r="J188">
        <v>8940.67</v>
      </c>
    </row>
    <row r="189" spans="1:10" x14ac:dyDescent="0.3">
      <c r="A189" s="1" t="s">
        <v>230</v>
      </c>
      <c r="B189" s="2">
        <v>46175</v>
      </c>
      <c r="C189" s="1" t="s">
        <v>35</v>
      </c>
      <c r="D189" s="1" t="s">
        <v>16</v>
      </c>
      <c r="E189" s="1" t="s">
        <v>36</v>
      </c>
      <c r="F189">
        <v>9</v>
      </c>
      <c r="G189">
        <v>2620</v>
      </c>
      <c r="H189">
        <v>0.05</v>
      </c>
      <c r="I189">
        <v>22401</v>
      </c>
      <c r="J189">
        <v>15717.08</v>
      </c>
    </row>
    <row r="190" spans="1:10" x14ac:dyDescent="0.3">
      <c r="A190" s="1" t="s">
        <v>231</v>
      </c>
      <c r="B190" s="2">
        <v>46071</v>
      </c>
      <c r="C190" s="1" t="s">
        <v>38</v>
      </c>
      <c r="D190" s="1" t="s">
        <v>20</v>
      </c>
      <c r="E190" s="1" t="s">
        <v>39</v>
      </c>
      <c r="F190">
        <v>3</v>
      </c>
      <c r="G190">
        <v>2850</v>
      </c>
      <c r="H190">
        <v>0</v>
      </c>
      <c r="I190">
        <v>8550</v>
      </c>
      <c r="J190">
        <v>6970.06</v>
      </c>
    </row>
    <row r="191" spans="1:10" x14ac:dyDescent="0.3">
      <c r="A191" s="1" t="s">
        <v>232</v>
      </c>
      <c r="B191" s="2">
        <v>46148</v>
      </c>
      <c r="C191" s="1" t="s">
        <v>41</v>
      </c>
      <c r="D191" s="1" t="s">
        <v>12</v>
      </c>
      <c r="E191" s="1" t="s">
        <v>42</v>
      </c>
      <c r="F191">
        <v>4</v>
      </c>
      <c r="G191">
        <v>2450</v>
      </c>
      <c r="H191">
        <v>0.08</v>
      </c>
      <c r="I191">
        <v>9016</v>
      </c>
      <c r="J191">
        <v>6997.99</v>
      </c>
    </row>
    <row r="192" spans="1:10" x14ac:dyDescent="0.3">
      <c r="A192" s="1" t="s">
        <v>233</v>
      </c>
      <c r="B192" s="2">
        <v>46205</v>
      </c>
      <c r="C192" s="1" t="s">
        <v>44</v>
      </c>
      <c r="D192" s="1" t="s">
        <v>16</v>
      </c>
      <c r="E192" s="1" t="s">
        <v>13</v>
      </c>
      <c r="F192">
        <v>16</v>
      </c>
      <c r="G192">
        <v>2620</v>
      </c>
      <c r="H192">
        <v>0.03</v>
      </c>
      <c r="I192">
        <v>40662.400000000001</v>
      </c>
      <c r="J192">
        <v>33622.49</v>
      </c>
    </row>
    <row r="193" spans="1:10" x14ac:dyDescent="0.3">
      <c r="A193" s="1" t="s">
        <v>234</v>
      </c>
      <c r="B193" s="2">
        <v>46046</v>
      </c>
      <c r="C193" s="1" t="s">
        <v>46</v>
      </c>
      <c r="D193" s="1" t="s">
        <v>20</v>
      </c>
      <c r="E193" s="1" t="s">
        <v>17</v>
      </c>
      <c r="F193">
        <v>10</v>
      </c>
      <c r="G193">
        <v>2850</v>
      </c>
      <c r="H193">
        <v>0</v>
      </c>
      <c r="I193">
        <v>28500</v>
      </c>
      <c r="J193">
        <v>21794.07</v>
      </c>
    </row>
    <row r="194" spans="1:10" x14ac:dyDescent="0.3">
      <c r="A194" s="1" t="s">
        <v>235</v>
      </c>
      <c r="B194" s="2">
        <v>46085</v>
      </c>
      <c r="C194" s="1" t="s">
        <v>48</v>
      </c>
      <c r="D194" s="1" t="s">
        <v>12</v>
      </c>
      <c r="E194" s="1" t="s">
        <v>21</v>
      </c>
      <c r="F194">
        <v>5</v>
      </c>
      <c r="G194">
        <v>2450</v>
      </c>
      <c r="H194">
        <v>0.08</v>
      </c>
      <c r="I194">
        <v>11270</v>
      </c>
      <c r="J194">
        <v>8937.66</v>
      </c>
    </row>
    <row r="195" spans="1:10" x14ac:dyDescent="0.3">
      <c r="A195" s="1" t="s">
        <v>236</v>
      </c>
      <c r="B195" s="2">
        <v>46144</v>
      </c>
      <c r="C195" s="1" t="s">
        <v>50</v>
      </c>
      <c r="D195" s="1" t="s">
        <v>16</v>
      </c>
      <c r="E195" s="1" t="s">
        <v>24</v>
      </c>
      <c r="F195">
        <v>18</v>
      </c>
      <c r="G195">
        <v>2620</v>
      </c>
      <c r="H195">
        <v>0.05</v>
      </c>
      <c r="I195">
        <v>44802</v>
      </c>
      <c r="J195">
        <v>33825.56</v>
      </c>
    </row>
    <row r="196" spans="1:10" x14ac:dyDescent="0.3">
      <c r="A196" s="1" t="s">
        <v>237</v>
      </c>
      <c r="B196" s="2">
        <v>46213</v>
      </c>
      <c r="C196" s="1" t="s">
        <v>52</v>
      </c>
      <c r="D196" s="1" t="s">
        <v>20</v>
      </c>
      <c r="E196" s="1" t="s">
        <v>27</v>
      </c>
      <c r="F196">
        <v>18</v>
      </c>
      <c r="G196">
        <v>2850</v>
      </c>
      <c r="H196">
        <v>0.02</v>
      </c>
      <c r="I196">
        <v>50274</v>
      </c>
      <c r="J196">
        <v>38021.71</v>
      </c>
    </row>
    <row r="197" spans="1:10" x14ac:dyDescent="0.3">
      <c r="A197" s="1" t="s">
        <v>238</v>
      </c>
      <c r="B197" s="2">
        <v>46139</v>
      </c>
      <c r="C197" s="1" t="s">
        <v>54</v>
      </c>
      <c r="D197" s="1" t="s">
        <v>12</v>
      </c>
      <c r="E197" s="1" t="s">
        <v>30</v>
      </c>
      <c r="F197">
        <v>5</v>
      </c>
      <c r="G197">
        <v>2450</v>
      </c>
      <c r="H197">
        <v>0.02</v>
      </c>
      <c r="I197">
        <v>12005</v>
      </c>
      <c r="J197">
        <v>8886.4</v>
      </c>
    </row>
    <row r="198" spans="1:10" x14ac:dyDescent="0.3">
      <c r="A198" s="1" t="s">
        <v>239</v>
      </c>
      <c r="B198" s="2">
        <v>46053</v>
      </c>
      <c r="C198" s="1" t="s">
        <v>56</v>
      </c>
      <c r="D198" s="1" t="s">
        <v>16</v>
      </c>
      <c r="E198" s="1" t="s">
        <v>33</v>
      </c>
      <c r="F198">
        <v>7</v>
      </c>
      <c r="G198">
        <v>2620</v>
      </c>
      <c r="H198">
        <v>0.02</v>
      </c>
      <c r="I198">
        <v>17973.2</v>
      </c>
      <c r="J198">
        <v>12925.05</v>
      </c>
    </row>
    <row r="199" spans="1:10" x14ac:dyDescent="0.3">
      <c r="A199" s="1" t="s">
        <v>240</v>
      </c>
      <c r="B199" s="2">
        <v>46160</v>
      </c>
      <c r="C199" s="1" t="s">
        <v>58</v>
      </c>
      <c r="D199" s="1" t="s">
        <v>20</v>
      </c>
      <c r="E199" s="1" t="s">
        <v>36</v>
      </c>
      <c r="F199">
        <v>6</v>
      </c>
      <c r="G199">
        <v>2850</v>
      </c>
      <c r="H199">
        <v>0</v>
      </c>
      <c r="I199">
        <v>17100</v>
      </c>
      <c r="J199">
        <v>12562.03</v>
      </c>
    </row>
    <row r="200" spans="1:10" x14ac:dyDescent="0.3">
      <c r="A200" s="1" t="s">
        <v>241</v>
      </c>
      <c r="B200" s="2">
        <v>46146</v>
      </c>
      <c r="C200" s="1" t="s">
        <v>60</v>
      </c>
      <c r="D200" s="1" t="s">
        <v>12</v>
      </c>
      <c r="E200" s="1" t="s">
        <v>39</v>
      </c>
      <c r="F200">
        <v>5</v>
      </c>
      <c r="G200">
        <v>2450</v>
      </c>
      <c r="H200">
        <v>0.08</v>
      </c>
      <c r="I200">
        <v>11270</v>
      </c>
      <c r="J200">
        <v>8952.14</v>
      </c>
    </row>
    <row r="201" spans="1:10" x14ac:dyDescent="0.3">
      <c r="A201" s="1" t="s">
        <v>242</v>
      </c>
      <c r="B201" s="2">
        <v>46217</v>
      </c>
      <c r="C201" s="1" t="s">
        <v>62</v>
      </c>
      <c r="D201" s="1" t="s">
        <v>16</v>
      </c>
      <c r="E201" s="1" t="s">
        <v>42</v>
      </c>
      <c r="F201">
        <v>17</v>
      </c>
      <c r="G201">
        <v>2620</v>
      </c>
      <c r="H201">
        <v>0.05</v>
      </c>
      <c r="I201">
        <v>42313</v>
      </c>
      <c r="J201">
        <v>31535.02</v>
      </c>
    </row>
    <row r="202" spans="1:10" x14ac:dyDescent="0.3">
      <c r="A202" s="1" t="s">
        <v>243</v>
      </c>
      <c r="B202" s="2">
        <v>46048</v>
      </c>
      <c r="C202" s="1" t="s">
        <v>11</v>
      </c>
      <c r="D202" s="1" t="s">
        <v>20</v>
      </c>
      <c r="E202" s="1" t="s">
        <v>13</v>
      </c>
      <c r="F202">
        <v>7</v>
      </c>
      <c r="G202">
        <v>2850</v>
      </c>
      <c r="H202">
        <v>0.02</v>
      </c>
      <c r="I202">
        <v>19551</v>
      </c>
      <c r="J202">
        <v>14397.3</v>
      </c>
    </row>
    <row r="203" spans="1:10" x14ac:dyDescent="0.3">
      <c r="A203" s="1" t="s">
        <v>244</v>
      </c>
      <c r="B203" s="2">
        <v>46068</v>
      </c>
      <c r="C203" s="1" t="s">
        <v>15</v>
      </c>
      <c r="D203" s="1" t="s">
        <v>12</v>
      </c>
      <c r="E203" s="1" t="s">
        <v>17</v>
      </c>
      <c r="F203">
        <v>5</v>
      </c>
      <c r="G203">
        <v>2450</v>
      </c>
      <c r="H203">
        <v>0</v>
      </c>
      <c r="I203">
        <v>12250</v>
      </c>
      <c r="J203">
        <v>9962.7199999999993</v>
      </c>
    </row>
    <row r="204" spans="1:10" x14ac:dyDescent="0.3">
      <c r="A204" s="1" t="s">
        <v>245</v>
      </c>
      <c r="B204" s="2">
        <v>46055</v>
      </c>
      <c r="C204" s="1" t="s">
        <v>19</v>
      </c>
      <c r="D204" s="1" t="s">
        <v>16</v>
      </c>
      <c r="E204" s="1" t="s">
        <v>21</v>
      </c>
      <c r="F204">
        <v>9</v>
      </c>
      <c r="G204">
        <v>2620</v>
      </c>
      <c r="H204">
        <v>0</v>
      </c>
      <c r="I204">
        <v>23580</v>
      </c>
      <c r="J204">
        <v>20181.82</v>
      </c>
    </row>
    <row r="205" spans="1:10" x14ac:dyDescent="0.3">
      <c r="A205" s="1" t="s">
        <v>246</v>
      </c>
      <c r="B205" s="2">
        <v>46164</v>
      </c>
      <c r="C205" s="1" t="s">
        <v>23</v>
      </c>
      <c r="D205" s="1" t="s">
        <v>20</v>
      </c>
      <c r="E205" s="1" t="s">
        <v>24</v>
      </c>
      <c r="F205">
        <v>10</v>
      </c>
      <c r="G205">
        <v>2850</v>
      </c>
      <c r="H205">
        <v>0.08</v>
      </c>
      <c r="I205">
        <v>26220</v>
      </c>
      <c r="J205">
        <v>22314.639999999999</v>
      </c>
    </row>
    <row r="206" spans="1:10" x14ac:dyDescent="0.3">
      <c r="A206" s="1" t="s">
        <v>247</v>
      </c>
      <c r="B206" s="2">
        <v>46186</v>
      </c>
      <c r="C206" s="1" t="s">
        <v>26</v>
      </c>
      <c r="D206" s="1" t="s">
        <v>12</v>
      </c>
      <c r="E206" s="1" t="s">
        <v>27</v>
      </c>
      <c r="F206">
        <v>8</v>
      </c>
      <c r="G206">
        <v>2450</v>
      </c>
      <c r="H206">
        <v>0</v>
      </c>
      <c r="I206">
        <v>19600</v>
      </c>
      <c r="J206">
        <v>16456.849999999999</v>
      </c>
    </row>
    <row r="207" spans="1:10" x14ac:dyDescent="0.3">
      <c r="A207" s="1" t="s">
        <v>248</v>
      </c>
      <c r="B207" s="2">
        <v>46169</v>
      </c>
      <c r="C207" s="1" t="s">
        <v>29</v>
      </c>
      <c r="D207" s="1" t="s">
        <v>16</v>
      </c>
      <c r="E207" s="1" t="s">
        <v>30</v>
      </c>
      <c r="F207">
        <v>10</v>
      </c>
      <c r="G207">
        <v>2620</v>
      </c>
      <c r="H207">
        <v>0.03</v>
      </c>
      <c r="I207">
        <v>25414</v>
      </c>
      <c r="J207">
        <v>19736.37</v>
      </c>
    </row>
    <row r="208" spans="1:10" x14ac:dyDescent="0.3">
      <c r="A208" s="1" t="s">
        <v>249</v>
      </c>
      <c r="B208" s="2">
        <v>46110</v>
      </c>
      <c r="C208" s="1" t="s">
        <v>32</v>
      </c>
      <c r="D208" s="1" t="s">
        <v>20</v>
      </c>
      <c r="E208" s="1" t="s">
        <v>33</v>
      </c>
      <c r="F208">
        <v>6</v>
      </c>
      <c r="G208">
        <v>2850</v>
      </c>
      <c r="H208">
        <v>0</v>
      </c>
      <c r="I208">
        <v>17100</v>
      </c>
      <c r="J208">
        <v>12660.78</v>
      </c>
    </row>
    <row r="209" spans="1:10" x14ac:dyDescent="0.3">
      <c r="A209" s="1" t="s">
        <v>250</v>
      </c>
      <c r="B209" s="2">
        <v>46145</v>
      </c>
      <c r="C209" s="1" t="s">
        <v>35</v>
      </c>
      <c r="D209" s="1" t="s">
        <v>12</v>
      </c>
      <c r="E209" s="1" t="s">
        <v>36</v>
      </c>
      <c r="F209">
        <v>2</v>
      </c>
      <c r="G209">
        <v>2450</v>
      </c>
      <c r="H209">
        <v>0</v>
      </c>
      <c r="I209">
        <v>4900</v>
      </c>
      <c r="J209">
        <v>3744.15</v>
      </c>
    </row>
    <row r="210" spans="1:10" x14ac:dyDescent="0.3">
      <c r="A210" s="1" t="s">
        <v>251</v>
      </c>
      <c r="B210" s="2">
        <v>46041</v>
      </c>
      <c r="C210" s="1" t="s">
        <v>38</v>
      </c>
      <c r="D210" s="1" t="s">
        <v>16</v>
      </c>
      <c r="E210" s="1" t="s">
        <v>39</v>
      </c>
      <c r="F210">
        <v>19</v>
      </c>
      <c r="G210">
        <v>2620</v>
      </c>
      <c r="H210">
        <v>0.08</v>
      </c>
      <c r="I210">
        <v>45797.599999999999</v>
      </c>
      <c r="J210">
        <v>37088.370000000003</v>
      </c>
    </row>
    <row r="211" spans="1:10" x14ac:dyDescent="0.3">
      <c r="A211" s="1" t="s">
        <v>252</v>
      </c>
      <c r="B211" s="2">
        <v>46061</v>
      </c>
      <c r="C211" s="1" t="s">
        <v>41</v>
      </c>
      <c r="D211" s="1" t="s">
        <v>20</v>
      </c>
      <c r="E211" s="1" t="s">
        <v>42</v>
      </c>
      <c r="F211">
        <v>5</v>
      </c>
      <c r="G211">
        <v>2850</v>
      </c>
      <c r="H211">
        <v>0.05</v>
      </c>
      <c r="I211">
        <v>13537.5</v>
      </c>
      <c r="J211">
        <v>11532.06</v>
      </c>
    </row>
    <row r="212" spans="1:10" x14ac:dyDescent="0.3">
      <c r="A212" s="1" t="s">
        <v>253</v>
      </c>
      <c r="B212" s="2">
        <v>46044</v>
      </c>
      <c r="C212" s="1" t="s">
        <v>44</v>
      </c>
      <c r="D212" s="1" t="s">
        <v>12</v>
      </c>
      <c r="E212" s="1" t="s">
        <v>13</v>
      </c>
      <c r="F212">
        <v>4</v>
      </c>
      <c r="G212">
        <v>2450</v>
      </c>
      <c r="H212">
        <v>0</v>
      </c>
      <c r="I212">
        <v>9800</v>
      </c>
      <c r="J212">
        <v>7735.06</v>
      </c>
    </row>
    <row r="213" spans="1:10" x14ac:dyDescent="0.3">
      <c r="A213" s="1" t="s">
        <v>254</v>
      </c>
      <c r="B213" s="2">
        <v>46129</v>
      </c>
      <c r="C213" s="1" t="s">
        <v>46</v>
      </c>
      <c r="D213" s="1" t="s">
        <v>16</v>
      </c>
      <c r="E213" s="1" t="s">
        <v>17</v>
      </c>
      <c r="F213">
        <v>20</v>
      </c>
      <c r="G213">
        <v>2620</v>
      </c>
      <c r="H213">
        <v>0.05</v>
      </c>
      <c r="I213">
        <v>49780</v>
      </c>
      <c r="J213">
        <v>41144.089999999997</v>
      </c>
    </row>
    <row r="214" spans="1:10" x14ac:dyDescent="0.3">
      <c r="A214" s="1" t="s">
        <v>255</v>
      </c>
      <c r="B214" s="2">
        <v>46080</v>
      </c>
      <c r="C214" s="1" t="s">
        <v>48</v>
      </c>
      <c r="D214" s="1" t="s">
        <v>20</v>
      </c>
      <c r="E214" s="1" t="s">
        <v>21</v>
      </c>
      <c r="F214">
        <v>17</v>
      </c>
      <c r="G214">
        <v>2850</v>
      </c>
      <c r="H214">
        <v>0.03</v>
      </c>
      <c r="I214">
        <v>46996.5</v>
      </c>
      <c r="J214">
        <v>36285.17</v>
      </c>
    </row>
    <row r="215" spans="1:10" x14ac:dyDescent="0.3">
      <c r="A215" s="1" t="s">
        <v>256</v>
      </c>
      <c r="B215" s="2">
        <v>46136</v>
      </c>
      <c r="C215" s="1" t="s">
        <v>50</v>
      </c>
      <c r="D215" s="1" t="s">
        <v>12</v>
      </c>
      <c r="E215" s="1" t="s">
        <v>24</v>
      </c>
      <c r="F215">
        <v>5</v>
      </c>
      <c r="G215">
        <v>2450</v>
      </c>
      <c r="H215">
        <v>0.05</v>
      </c>
      <c r="I215">
        <v>11637.5</v>
      </c>
      <c r="J215">
        <v>9989.69</v>
      </c>
    </row>
    <row r="216" spans="1:10" x14ac:dyDescent="0.3">
      <c r="A216" s="1" t="s">
        <v>257</v>
      </c>
      <c r="B216" s="2">
        <v>46101</v>
      </c>
      <c r="C216" s="1" t="s">
        <v>52</v>
      </c>
      <c r="D216" s="1" t="s">
        <v>16</v>
      </c>
      <c r="E216" s="1" t="s">
        <v>27</v>
      </c>
      <c r="F216">
        <v>19</v>
      </c>
      <c r="G216">
        <v>2620</v>
      </c>
      <c r="H216">
        <v>0.05</v>
      </c>
      <c r="I216">
        <v>47291</v>
      </c>
      <c r="J216">
        <v>33559.440000000002</v>
      </c>
    </row>
    <row r="217" spans="1:10" x14ac:dyDescent="0.3">
      <c r="A217" s="1" t="s">
        <v>258</v>
      </c>
      <c r="B217" s="2">
        <v>46212</v>
      </c>
      <c r="C217" s="1" t="s">
        <v>54</v>
      </c>
      <c r="D217" s="1" t="s">
        <v>20</v>
      </c>
      <c r="E217" s="1" t="s">
        <v>30</v>
      </c>
      <c r="F217">
        <v>4</v>
      </c>
      <c r="G217">
        <v>2850</v>
      </c>
      <c r="H217">
        <v>0</v>
      </c>
      <c r="I217">
        <v>11400</v>
      </c>
      <c r="J217">
        <v>9120.94</v>
      </c>
    </row>
    <row r="218" spans="1:10" x14ac:dyDescent="0.3">
      <c r="A218" s="1" t="s">
        <v>259</v>
      </c>
      <c r="B218" s="2">
        <v>46090</v>
      </c>
      <c r="C218" s="1" t="s">
        <v>56</v>
      </c>
      <c r="D218" s="1" t="s">
        <v>12</v>
      </c>
      <c r="E218" s="1" t="s">
        <v>33</v>
      </c>
      <c r="F218">
        <v>2</v>
      </c>
      <c r="G218">
        <v>2450</v>
      </c>
      <c r="H218">
        <v>0</v>
      </c>
      <c r="I218">
        <v>4900</v>
      </c>
      <c r="J218">
        <v>3618.05</v>
      </c>
    </row>
    <row r="219" spans="1:10" x14ac:dyDescent="0.3">
      <c r="A219" s="1" t="s">
        <v>260</v>
      </c>
      <c r="B219" s="2">
        <v>46164</v>
      </c>
      <c r="C219" s="1" t="s">
        <v>58</v>
      </c>
      <c r="D219" s="1" t="s">
        <v>16</v>
      </c>
      <c r="E219" s="1" t="s">
        <v>36</v>
      </c>
      <c r="F219">
        <v>3</v>
      </c>
      <c r="G219">
        <v>2620</v>
      </c>
      <c r="H219">
        <v>0</v>
      </c>
      <c r="I219">
        <v>7860</v>
      </c>
      <c r="J219">
        <v>5505.36</v>
      </c>
    </row>
    <row r="220" spans="1:10" x14ac:dyDescent="0.3">
      <c r="A220" s="1" t="s">
        <v>261</v>
      </c>
      <c r="B220" s="2">
        <v>46138</v>
      </c>
      <c r="C220" s="1" t="s">
        <v>60</v>
      </c>
      <c r="D220" s="1" t="s">
        <v>20</v>
      </c>
      <c r="E220" s="1" t="s">
        <v>39</v>
      </c>
      <c r="F220">
        <v>20</v>
      </c>
      <c r="G220">
        <v>2850</v>
      </c>
      <c r="H220">
        <v>0.03</v>
      </c>
      <c r="I220">
        <v>55290</v>
      </c>
      <c r="J220">
        <v>41279.599999999999</v>
      </c>
    </row>
    <row r="221" spans="1:10" x14ac:dyDescent="0.3">
      <c r="A221" s="1" t="s">
        <v>262</v>
      </c>
      <c r="B221" s="2">
        <v>46082</v>
      </c>
      <c r="C221" s="1" t="s">
        <v>62</v>
      </c>
      <c r="D221" s="1" t="s">
        <v>12</v>
      </c>
      <c r="E221" s="1" t="s">
        <v>42</v>
      </c>
      <c r="F221">
        <v>5</v>
      </c>
      <c r="G221">
        <v>2450</v>
      </c>
      <c r="H221">
        <v>0.08</v>
      </c>
      <c r="I221">
        <v>11270</v>
      </c>
      <c r="J221">
        <v>8398.7999999999993</v>
      </c>
    </row>
    <row r="222" spans="1:10" x14ac:dyDescent="0.3">
      <c r="A222" s="1" t="s">
        <v>263</v>
      </c>
      <c r="B222" s="2">
        <v>46139</v>
      </c>
      <c r="C222" s="1" t="s">
        <v>11</v>
      </c>
      <c r="D222" s="1" t="s">
        <v>16</v>
      </c>
      <c r="E222" s="1" t="s">
        <v>13</v>
      </c>
      <c r="F222">
        <v>3</v>
      </c>
      <c r="G222">
        <v>2620</v>
      </c>
      <c r="H222">
        <v>0.08</v>
      </c>
      <c r="I222">
        <v>7231.2</v>
      </c>
      <c r="J222">
        <v>5331.91</v>
      </c>
    </row>
    <row r="223" spans="1:10" x14ac:dyDescent="0.3">
      <c r="A223" s="1" t="s">
        <v>264</v>
      </c>
      <c r="B223" s="2">
        <v>46090</v>
      </c>
      <c r="C223" s="1" t="s">
        <v>15</v>
      </c>
      <c r="D223" s="1" t="s">
        <v>20</v>
      </c>
      <c r="E223" s="1" t="s">
        <v>17</v>
      </c>
      <c r="F223">
        <v>19</v>
      </c>
      <c r="G223">
        <v>2850</v>
      </c>
      <c r="H223">
        <v>0.08</v>
      </c>
      <c r="I223">
        <v>49818</v>
      </c>
      <c r="J223">
        <v>41280.44</v>
      </c>
    </row>
    <row r="224" spans="1:10" x14ac:dyDescent="0.3">
      <c r="A224" s="1" t="s">
        <v>265</v>
      </c>
      <c r="B224" s="2">
        <v>46073</v>
      </c>
      <c r="C224" s="1" t="s">
        <v>19</v>
      </c>
      <c r="D224" s="1" t="s">
        <v>12</v>
      </c>
      <c r="E224" s="1" t="s">
        <v>21</v>
      </c>
      <c r="F224">
        <v>7</v>
      </c>
      <c r="G224">
        <v>2450</v>
      </c>
      <c r="H224">
        <v>0</v>
      </c>
      <c r="I224">
        <v>17150</v>
      </c>
      <c r="J224">
        <v>13499.28</v>
      </c>
    </row>
    <row r="225" spans="1:10" x14ac:dyDescent="0.3">
      <c r="A225" s="1" t="s">
        <v>266</v>
      </c>
      <c r="B225" s="2">
        <v>46188</v>
      </c>
      <c r="C225" s="1" t="s">
        <v>23</v>
      </c>
      <c r="D225" s="1" t="s">
        <v>16</v>
      </c>
      <c r="E225" s="1" t="s">
        <v>24</v>
      </c>
      <c r="F225">
        <v>5</v>
      </c>
      <c r="G225">
        <v>2620</v>
      </c>
      <c r="H225">
        <v>0.02</v>
      </c>
      <c r="I225">
        <v>12838</v>
      </c>
      <c r="J225">
        <v>10684.57</v>
      </c>
    </row>
    <row r="226" spans="1:10" x14ac:dyDescent="0.3">
      <c r="A226" s="1" t="s">
        <v>267</v>
      </c>
      <c r="B226" s="2">
        <v>46041</v>
      </c>
      <c r="C226" s="1" t="s">
        <v>26</v>
      </c>
      <c r="D226" s="1" t="s">
        <v>20</v>
      </c>
      <c r="E226" s="1" t="s">
        <v>27</v>
      </c>
      <c r="F226">
        <v>2</v>
      </c>
      <c r="G226">
        <v>2850</v>
      </c>
      <c r="H226">
        <v>0</v>
      </c>
      <c r="I226">
        <v>5700</v>
      </c>
      <c r="J226">
        <v>4712.88</v>
      </c>
    </row>
    <row r="227" spans="1:10" x14ac:dyDescent="0.3">
      <c r="A227" s="1" t="s">
        <v>268</v>
      </c>
      <c r="B227" s="2">
        <v>46175</v>
      </c>
      <c r="C227" s="1" t="s">
        <v>29</v>
      </c>
      <c r="D227" s="1" t="s">
        <v>12</v>
      </c>
      <c r="E227" s="1" t="s">
        <v>30</v>
      </c>
      <c r="F227">
        <v>5</v>
      </c>
      <c r="G227">
        <v>2450</v>
      </c>
      <c r="H227">
        <v>0.03</v>
      </c>
      <c r="I227">
        <v>11882.5</v>
      </c>
      <c r="J227">
        <v>8554.17</v>
      </c>
    </row>
    <row r="228" spans="1:10" x14ac:dyDescent="0.3">
      <c r="A228" s="1" t="s">
        <v>269</v>
      </c>
      <c r="B228" s="2">
        <v>46199</v>
      </c>
      <c r="C228" s="1" t="s">
        <v>32</v>
      </c>
      <c r="D228" s="1" t="s">
        <v>16</v>
      </c>
      <c r="E228" s="1" t="s">
        <v>33</v>
      </c>
      <c r="F228">
        <v>10</v>
      </c>
      <c r="G228">
        <v>2620</v>
      </c>
      <c r="H228">
        <v>0.08</v>
      </c>
      <c r="I228">
        <v>24104</v>
      </c>
      <c r="J228">
        <v>18425.13</v>
      </c>
    </row>
    <row r="229" spans="1:10" x14ac:dyDescent="0.3">
      <c r="A229" s="1" t="s">
        <v>270</v>
      </c>
      <c r="B229" s="2">
        <v>46092</v>
      </c>
      <c r="C229" s="1" t="s">
        <v>35</v>
      </c>
      <c r="D229" s="1" t="s">
        <v>20</v>
      </c>
      <c r="E229" s="1" t="s">
        <v>36</v>
      </c>
      <c r="F229">
        <v>17</v>
      </c>
      <c r="G229">
        <v>2850</v>
      </c>
      <c r="H229">
        <v>0.05</v>
      </c>
      <c r="I229">
        <v>46027.5</v>
      </c>
      <c r="J229">
        <v>35855.760000000002</v>
      </c>
    </row>
    <row r="230" spans="1:10" x14ac:dyDescent="0.3">
      <c r="A230" s="1" t="s">
        <v>271</v>
      </c>
      <c r="B230" s="2">
        <v>46043</v>
      </c>
      <c r="C230" s="1" t="s">
        <v>38</v>
      </c>
      <c r="D230" s="1" t="s">
        <v>12</v>
      </c>
      <c r="E230" s="1" t="s">
        <v>39</v>
      </c>
      <c r="F230">
        <v>1</v>
      </c>
      <c r="G230">
        <v>2450</v>
      </c>
      <c r="H230">
        <v>0.03</v>
      </c>
      <c r="I230">
        <v>2376.5</v>
      </c>
      <c r="J230">
        <v>1942.85</v>
      </c>
    </row>
    <row r="231" spans="1:10" x14ac:dyDescent="0.3">
      <c r="A231" s="1" t="s">
        <v>272</v>
      </c>
      <c r="B231" s="2">
        <v>46177</v>
      </c>
      <c r="C231" s="1" t="s">
        <v>41</v>
      </c>
      <c r="D231" s="1" t="s">
        <v>16</v>
      </c>
      <c r="E231" s="1" t="s">
        <v>42</v>
      </c>
      <c r="F231">
        <v>9</v>
      </c>
      <c r="G231">
        <v>2620</v>
      </c>
      <c r="H231">
        <v>0</v>
      </c>
      <c r="I231">
        <v>23580</v>
      </c>
      <c r="J231">
        <v>16850.560000000001</v>
      </c>
    </row>
    <row r="232" spans="1:10" x14ac:dyDescent="0.3">
      <c r="A232" s="1" t="s">
        <v>273</v>
      </c>
      <c r="B232" s="2">
        <v>46195</v>
      </c>
      <c r="C232" s="1" t="s">
        <v>44</v>
      </c>
      <c r="D232" s="1" t="s">
        <v>20</v>
      </c>
      <c r="E232" s="1" t="s">
        <v>13</v>
      </c>
      <c r="F232">
        <v>19</v>
      </c>
      <c r="G232">
        <v>2850</v>
      </c>
      <c r="H232">
        <v>0.05</v>
      </c>
      <c r="I232">
        <v>51442.5</v>
      </c>
      <c r="J232">
        <v>43835.48</v>
      </c>
    </row>
    <row r="233" spans="1:10" x14ac:dyDescent="0.3">
      <c r="A233" s="1" t="s">
        <v>274</v>
      </c>
      <c r="B233" s="2">
        <v>46218</v>
      </c>
      <c r="C233" s="1" t="s">
        <v>46</v>
      </c>
      <c r="D233" s="1" t="s">
        <v>12</v>
      </c>
      <c r="E233" s="1" t="s">
        <v>17</v>
      </c>
      <c r="F233">
        <v>5</v>
      </c>
      <c r="G233">
        <v>2450</v>
      </c>
      <c r="H233">
        <v>0.05</v>
      </c>
      <c r="I233">
        <v>11637.5</v>
      </c>
      <c r="J233">
        <v>8221.16</v>
      </c>
    </row>
    <row r="234" spans="1:10" x14ac:dyDescent="0.3">
      <c r="A234" s="1" t="s">
        <v>275</v>
      </c>
      <c r="B234" s="2">
        <v>46216</v>
      </c>
      <c r="C234" s="1" t="s">
        <v>48</v>
      </c>
      <c r="D234" s="1" t="s">
        <v>16</v>
      </c>
      <c r="E234" s="1" t="s">
        <v>21</v>
      </c>
      <c r="F234">
        <v>6</v>
      </c>
      <c r="G234">
        <v>2620</v>
      </c>
      <c r="H234">
        <v>0.03</v>
      </c>
      <c r="I234">
        <v>15248.4</v>
      </c>
      <c r="J234">
        <v>11940.02</v>
      </c>
    </row>
    <row r="235" spans="1:10" x14ac:dyDescent="0.3">
      <c r="A235" s="1" t="s">
        <v>276</v>
      </c>
      <c r="B235" s="2">
        <v>46136</v>
      </c>
      <c r="C235" s="1" t="s">
        <v>50</v>
      </c>
      <c r="D235" s="1" t="s">
        <v>20</v>
      </c>
      <c r="E235" s="1" t="s">
        <v>24</v>
      </c>
      <c r="F235">
        <v>9</v>
      </c>
      <c r="G235">
        <v>2850</v>
      </c>
      <c r="H235">
        <v>0</v>
      </c>
      <c r="I235">
        <v>25650</v>
      </c>
      <c r="J235">
        <v>22046.46</v>
      </c>
    </row>
    <row r="236" spans="1:10" x14ac:dyDescent="0.3">
      <c r="A236" s="1" t="s">
        <v>277</v>
      </c>
      <c r="B236" s="2">
        <v>46134</v>
      </c>
      <c r="C236" s="1" t="s">
        <v>52</v>
      </c>
      <c r="D236" s="1" t="s">
        <v>12</v>
      </c>
      <c r="E236" s="1" t="s">
        <v>27</v>
      </c>
      <c r="F236">
        <v>8</v>
      </c>
      <c r="G236">
        <v>2450</v>
      </c>
      <c r="H236">
        <v>0</v>
      </c>
      <c r="I236">
        <v>19600</v>
      </c>
      <c r="J236">
        <v>15193.95</v>
      </c>
    </row>
    <row r="237" spans="1:10" x14ac:dyDescent="0.3">
      <c r="A237" s="1" t="s">
        <v>278</v>
      </c>
      <c r="B237" s="2">
        <v>46127</v>
      </c>
      <c r="C237" s="1" t="s">
        <v>54</v>
      </c>
      <c r="D237" s="1" t="s">
        <v>16</v>
      </c>
      <c r="E237" s="1" t="s">
        <v>30</v>
      </c>
      <c r="F237">
        <v>11</v>
      </c>
      <c r="G237">
        <v>2620</v>
      </c>
      <c r="H237">
        <v>0.02</v>
      </c>
      <c r="I237">
        <v>28243.599999999999</v>
      </c>
      <c r="J237">
        <v>22798.84</v>
      </c>
    </row>
    <row r="238" spans="1:10" x14ac:dyDescent="0.3">
      <c r="A238" s="1" t="s">
        <v>279</v>
      </c>
      <c r="B238" s="2">
        <v>46064</v>
      </c>
      <c r="C238" s="1" t="s">
        <v>56</v>
      </c>
      <c r="D238" s="1" t="s">
        <v>20</v>
      </c>
      <c r="E238" s="1" t="s">
        <v>33</v>
      </c>
      <c r="F238">
        <v>11</v>
      </c>
      <c r="G238">
        <v>2850</v>
      </c>
      <c r="H238">
        <v>0.03</v>
      </c>
      <c r="I238">
        <v>30409.5</v>
      </c>
      <c r="J238">
        <v>24661.73</v>
      </c>
    </row>
    <row r="239" spans="1:10" x14ac:dyDescent="0.3">
      <c r="A239" s="1" t="s">
        <v>280</v>
      </c>
      <c r="B239" s="2">
        <v>46096</v>
      </c>
      <c r="C239" s="1" t="s">
        <v>58</v>
      </c>
      <c r="D239" s="1" t="s">
        <v>12</v>
      </c>
      <c r="E239" s="1" t="s">
        <v>36</v>
      </c>
      <c r="F239">
        <v>7</v>
      </c>
      <c r="G239">
        <v>2450</v>
      </c>
      <c r="H239">
        <v>0.05</v>
      </c>
      <c r="I239">
        <v>16292.5</v>
      </c>
      <c r="J239">
        <v>11500.41</v>
      </c>
    </row>
    <row r="240" spans="1:10" x14ac:dyDescent="0.3">
      <c r="A240" s="1" t="s">
        <v>281</v>
      </c>
      <c r="B240" s="2">
        <v>46045</v>
      </c>
      <c r="C240" s="1" t="s">
        <v>60</v>
      </c>
      <c r="D240" s="1" t="s">
        <v>16</v>
      </c>
      <c r="E240" s="1" t="s">
        <v>39</v>
      </c>
      <c r="F240">
        <v>11</v>
      </c>
      <c r="G240">
        <v>2620</v>
      </c>
      <c r="H240">
        <v>0.02</v>
      </c>
      <c r="I240">
        <v>28243.599999999999</v>
      </c>
      <c r="J240">
        <v>21231.39</v>
      </c>
    </row>
    <row r="241" spans="1:10" x14ac:dyDescent="0.3">
      <c r="A241" s="1" t="s">
        <v>282</v>
      </c>
      <c r="B241" s="2">
        <v>46220</v>
      </c>
      <c r="C241" s="1" t="s">
        <v>62</v>
      </c>
      <c r="D241" s="1" t="s">
        <v>20</v>
      </c>
      <c r="E241" s="1" t="s">
        <v>42</v>
      </c>
      <c r="F241">
        <v>13</v>
      </c>
      <c r="G241">
        <v>2850</v>
      </c>
      <c r="H241">
        <v>0.05</v>
      </c>
      <c r="I241">
        <v>35197.5</v>
      </c>
      <c r="J241">
        <v>29283.91</v>
      </c>
    </row>
    <row r="242" spans="1:10" x14ac:dyDescent="0.3">
      <c r="A242" s="1" t="s">
        <v>283</v>
      </c>
      <c r="B242" s="2">
        <v>46023</v>
      </c>
      <c r="C242" s="1" t="s">
        <v>11</v>
      </c>
      <c r="D242" s="1" t="s">
        <v>12</v>
      </c>
      <c r="E242" s="1" t="s">
        <v>13</v>
      </c>
      <c r="F242">
        <v>8</v>
      </c>
      <c r="G242">
        <v>2450</v>
      </c>
      <c r="H242">
        <v>0.03</v>
      </c>
      <c r="I242">
        <v>19012</v>
      </c>
      <c r="J242">
        <v>13473.28</v>
      </c>
    </row>
    <row r="243" spans="1:10" x14ac:dyDescent="0.3">
      <c r="A243" s="1" t="s">
        <v>284</v>
      </c>
      <c r="B243" s="2">
        <v>46155</v>
      </c>
      <c r="C243" s="1" t="s">
        <v>15</v>
      </c>
      <c r="D243" s="1" t="s">
        <v>16</v>
      </c>
      <c r="E243" s="1" t="s">
        <v>17</v>
      </c>
      <c r="F243">
        <v>12</v>
      </c>
      <c r="G243">
        <v>2620</v>
      </c>
      <c r="H243">
        <v>0.05</v>
      </c>
      <c r="I243">
        <v>29868</v>
      </c>
      <c r="J243">
        <v>24522.55</v>
      </c>
    </row>
    <row r="244" spans="1:10" x14ac:dyDescent="0.3">
      <c r="A244" s="1" t="s">
        <v>285</v>
      </c>
      <c r="B244" s="2">
        <v>46183</v>
      </c>
      <c r="C244" s="1" t="s">
        <v>19</v>
      </c>
      <c r="D244" s="1" t="s">
        <v>20</v>
      </c>
      <c r="E244" s="1" t="s">
        <v>21</v>
      </c>
      <c r="F244">
        <v>15</v>
      </c>
      <c r="G244">
        <v>2850</v>
      </c>
      <c r="H244">
        <v>0</v>
      </c>
      <c r="I244">
        <v>42750</v>
      </c>
      <c r="J244">
        <v>31317.34</v>
      </c>
    </row>
    <row r="245" spans="1:10" x14ac:dyDescent="0.3">
      <c r="A245" s="1" t="s">
        <v>286</v>
      </c>
      <c r="B245" s="2">
        <v>46163</v>
      </c>
      <c r="C245" s="1" t="s">
        <v>23</v>
      </c>
      <c r="D245" s="1" t="s">
        <v>12</v>
      </c>
      <c r="E245" s="1" t="s">
        <v>24</v>
      </c>
      <c r="F245">
        <v>3</v>
      </c>
      <c r="G245">
        <v>2450</v>
      </c>
      <c r="H245">
        <v>0.02</v>
      </c>
      <c r="I245">
        <v>7203</v>
      </c>
      <c r="J245">
        <v>5547.02</v>
      </c>
    </row>
    <row r="246" spans="1:10" x14ac:dyDescent="0.3">
      <c r="A246" s="1" t="s">
        <v>287</v>
      </c>
      <c r="B246" s="2">
        <v>46201</v>
      </c>
      <c r="C246" s="1" t="s">
        <v>26</v>
      </c>
      <c r="D246" s="1" t="s">
        <v>16</v>
      </c>
      <c r="E246" s="1" t="s">
        <v>27</v>
      </c>
      <c r="F246">
        <v>16</v>
      </c>
      <c r="G246">
        <v>2620</v>
      </c>
      <c r="H246">
        <v>0</v>
      </c>
      <c r="I246">
        <v>41920</v>
      </c>
      <c r="J246">
        <v>29537.63</v>
      </c>
    </row>
    <row r="247" spans="1:10" x14ac:dyDescent="0.3">
      <c r="A247" s="1" t="s">
        <v>288</v>
      </c>
      <c r="B247" s="2">
        <v>46184</v>
      </c>
      <c r="C247" s="1" t="s">
        <v>29</v>
      </c>
      <c r="D247" s="1" t="s">
        <v>20</v>
      </c>
      <c r="E247" s="1" t="s">
        <v>30</v>
      </c>
      <c r="F247">
        <v>20</v>
      </c>
      <c r="G247">
        <v>2850</v>
      </c>
      <c r="H247">
        <v>0</v>
      </c>
      <c r="I247">
        <v>57000</v>
      </c>
      <c r="J247">
        <v>46373.22</v>
      </c>
    </row>
    <row r="248" spans="1:10" x14ac:dyDescent="0.3">
      <c r="A248" s="1" t="s">
        <v>289</v>
      </c>
      <c r="B248" s="2">
        <v>46102</v>
      </c>
      <c r="C248" s="1" t="s">
        <v>32</v>
      </c>
      <c r="D248" s="1" t="s">
        <v>12</v>
      </c>
      <c r="E248" s="1" t="s">
        <v>33</v>
      </c>
      <c r="F248">
        <v>1</v>
      </c>
      <c r="G248">
        <v>2450</v>
      </c>
      <c r="H248">
        <v>0.05</v>
      </c>
      <c r="I248">
        <v>2327.5</v>
      </c>
      <c r="J248">
        <v>1781.19</v>
      </c>
    </row>
    <row r="249" spans="1:10" x14ac:dyDescent="0.3">
      <c r="A249" s="1" t="s">
        <v>290</v>
      </c>
      <c r="B249" s="2">
        <v>46080</v>
      </c>
      <c r="C249" s="1" t="s">
        <v>35</v>
      </c>
      <c r="D249" s="1" t="s">
        <v>16</v>
      </c>
      <c r="E249" s="1" t="s">
        <v>36</v>
      </c>
      <c r="F249">
        <v>4</v>
      </c>
      <c r="G249">
        <v>2620</v>
      </c>
      <c r="H249">
        <v>0.03</v>
      </c>
      <c r="I249">
        <v>10165.6</v>
      </c>
      <c r="J249">
        <v>8656.31</v>
      </c>
    </row>
    <row r="250" spans="1:10" x14ac:dyDescent="0.3">
      <c r="A250" s="1" t="s">
        <v>291</v>
      </c>
      <c r="B250" s="2">
        <v>46188</v>
      </c>
      <c r="C250" s="1" t="s">
        <v>38</v>
      </c>
      <c r="D250" s="1" t="s">
        <v>20</v>
      </c>
      <c r="E250" s="1" t="s">
        <v>39</v>
      </c>
      <c r="F250">
        <v>5</v>
      </c>
      <c r="G250">
        <v>2850</v>
      </c>
      <c r="H250">
        <v>0.03</v>
      </c>
      <c r="I250">
        <v>13822.5</v>
      </c>
      <c r="J250">
        <v>11738.41</v>
      </c>
    </row>
    <row r="251" spans="1:10" x14ac:dyDescent="0.3">
      <c r="A251" s="1" t="s">
        <v>292</v>
      </c>
      <c r="B251" s="2">
        <v>46097</v>
      </c>
      <c r="C251" s="1" t="s">
        <v>41</v>
      </c>
      <c r="D251" s="1" t="s">
        <v>12</v>
      </c>
      <c r="E251" s="1" t="s">
        <v>42</v>
      </c>
      <c r="F251">
        <v>5</v>
      </c>
      <c r="G251">
        <v>2450</v>
      </c>
      <c r="H251">
        <v>0.03</v>
      </c>
      <c r="I251">
        <v>11882.5</v>
      </c>
      <c r="J251">
        <v>9904.73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5BE1-7C36-408A-AC80-305B87730273}">
  <dimension ref="A1"/>
  <sheetViews>
    <sheetView showGridLines="0" workbookViewId="0">
      <selection activeCell="W13" sqref="W13"/>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696A4-2326-4770-A4AF-2CBAAC14D319}">
  <dimension ref="S13:T22"/>
  <sheetViews>
    <sheetView showGridLines="0" topLeftCell="A4" workbookViewId="0">
      <selection activeCell="T26" sqref="T26"/>
    </sheetView>
  </sheetViews>
  <sheetFormatPr defaultRowHeight="14.4" x14ac:dyDescent="0.3"/>
  <cols>
    <col min="1" max="17" width="8.88671875" style="7"/>
    <col min="18" max="18" width="4.5546875" style="7" customWidth="1"/>
    <col min="19" max="19" width="20.5546875" style="7" bestFit="1" customWidth="1"/>
    <col min="20" max="20" width="12.6640625" style="7" bestFit="1" customWidth="1"/>
    <col min="21" max="16384" width="8.88671875" style="7"/>
  </cols>
  <sheetData>
    <row r="13" spans="19:20" ht="28.8" x14ac:dyDescent="0.55000000000000004">
      <c r="S13" s="12" t="s">
        <v>294</v>
      </c>
      <c r="T13" s="13" t="s">
        <v>390</v>
      </c>
    </row>
    <row r="14" spans="19:20" ht="25.8" x14ac:dyDescent="0.5">
      <c r="S14" s="10" t="s">
        <v>300</v>
      </c>
      <c r="T14" s="11">
        <v>0.20385724702121397</v>
      </c>
    </row>
    <row r="15" spans="19:20" ht="25.8" x14ac:dyDescent="0.5">
      <c r="S15" s="10" t="s">
        <v>314</v>
      </c>
      <c r="T15" s="11">
        <v>0.21501326568030535</v>
      </c>
    </row>
    <row r="16" spans="19:20" ht="25.8" x14ac:dyDescent="0.5">
      <c r="S16" s="10" t="s">
        <v>297</v>
      </c>
      <c r="T16" s="11">
        <v>0.22383591345883969</v>
      </c>
    </row>
    <row r="17" spans="19:20" ht="25.8" x14ac:dyDescent="0.5">
      <c r="S17" s="10" t="s">
        <v>310</v>
      </c>
      <c r="T17" s="11">
        <v>0.22295220804023147</v>
      </c>
    </row>
    <row r="18" spans="19:20" ht="25.8" x14ac:dyDescent="0.5">
      <c r="S18" s="10" t="s">
        <v>306</v>
      </c>
      <c r="T18" s="11">
        <v>0.22391681319730633</v>
      </c>
    </row>
    <row r="19" spans="19:20" ht="25.8" x14ac:dyDescent="0.5">
      <c r="S19" s="10" t="s">
        <v>312</v>
      </c>
      <c r="T19" s="11">
        <v>0.20808972631649514</v>
      </c>
    </row>
    <row r="20" spans="19:20" ht="25.8" x14ac:dyDescent="0.5">
      <c r="S20" s="10" t="s">
        <v>308</v>
      </c>
      <c r="T20" s="11">
        <v>0.2307322592569814</v>
      </c>
    </row>
    <row r="21" spans="19:20" ht="25.8" x14ac:dyDescent="0.5">
      <c r="S21" s="10" t="s">
        <v>303</v>
      </c>
      <c r="T21" s="11">
        <v>0.21947008346972602</v>
      </c>
    </row>
    <row r="22" spans="19:20" ht="25.8" x14ac:dyDescent="0.5">
      <c r="S22" s="10" t="s">
        <v>386</v>
      </c>
      <c r="T22" s="11">
        <v>0.21847919189859918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70C13BD7-DC03-4354-8102-F3FC17C28021}">
  <ds:schemaRefs>
    <ds:schemaRef ds:uri="http://schemas.microsoft.com/DataMashup"/>
  </ds:schemaRefs>
</ds:datastoreItem>
</file>

<file path=customXml/itemProps2.xml><?xml version="1.0" encoding="utf-8"?>
<ds:datastoreItem xmlns:ds="http://schemas.openxmlformats.org/officeDocument/2006/customXml" ds:itemID="{4EFCDA08-949F-40EF-AFB1-DD05738225FC}">
  <ds:schemaRefs/>
</ds:datastoreItem>
</file>

<file path=customXml/itemProps3.xml><?xml version="1.0" encoding="utf-8"?>
<ds:datastoreItem xmlns:ds="http://schemas.openxmlformats.org/officeDocument/2006/customXml" ds:itemID="{C5897B26-BCC0-4714-A988-EA5AF453D61D}">
  <ds:schemaRefs/>
</ds:datastoreItem>
</file>

<file path=customXml/itemProps4.xml><?xml version="1.0" encoding="utf-8"?>
<ds:datastoreItem xmlns:ds="http://schemas.openxmlformats.org/officeDocument/2006/customXml" ds:itemID="{A99B0FDC-855C-43FB-9C5C-741E6B9E93A7}">
  <ds:schemaRefs/>
</ds:datastoreItem>
</file>

<file path=customXml/itemProps5.xml><?xml version="1.0" encoding="utf-8"?>
<ds:datastoreItem xmlns:ds="http://schemas.openxmlformats.org/officeDocument/2006/customXml" ds:itemID="{3C5A2A3A-0873-4B23-878A-8EA42A4EE288}">
  <ds:schemaRefs/>
</ds:datastoreItem>
</file>

<file path=customXml/itemProps6.xml><?xml version="1.0" encoding="utf-8"?>
<ds:datastoreItem xmlns:ds="http://schemas.openxmlformats.org/officeDocument/2006/customXml" ds:itemID="{6889E735-D8A9-450B-80A7-B1987EA84D98}">
  <ds:schemaRefs/>
</ds:datastoreItem>
</file>

<file path=customXml/itemProps7.xml><?xml version="1.0" encoding="utf-8"?>
<ds:datastoreItem xmlns:ds="http://schemas.openxmlformats.org/officeDocument/2006/customXml" ds:itemID="{9B416A9F-CF33-4F0A-AE49-2C8490E5047D}">
  <ds:schemaRefs/>
</ds:datastoreItem>
</file>

<file path=customXml/itemProps8.xml><?xml version="1.0" encoding="utf-8"?>
<ds:datastoreItem xmlns:ds="http://schemas.openxmlformats.org/officeDocument/2006/customXml" ds:itemID="{1FF060A5-3979-491C-AB16-DB4391563BB7}">
  <ds:schemaRefs/>
</ds:datastoreItem>
</file>

<file path=customXml/itemProps9.xml><?xml version="1.0" encoding="utf-8"?>
<ds:datastoreItem xmlns:ds="http://schemas.openxmlformats.org/officeDocument/2006/customXml" ds:itemID="{23E20284-3F8A-4A8F-9470-A72FC69ABF89}">
  <ds:schemaRefs/>
</ds:datastoreItem>
</file>

<file path=customXml/itemProps10.xml><?xml version="1.0" encoding="utf-8"?>
<ds:datastoreItem xmlns:ds="http://schemas.openxmlformats.org/officeDocument/2006/customXml" ds:itemID="{371D1A20-4D02-4787-98AC-9A56F6871D76}">
  <ds:schemaRefs/>
</ds:datastoreItem>
</file>

<file path=customXml/itemProps11.xml><?xml version="1.0" encoding="utf-8"?>
<ds:datastoreItem xmlns:ds="http://schemas.openxmlformats.org/officeDocument/2006/customXml" ds:itemID="{68686DE8-1EE5-40A6-8EC4-F98EDF3FD182}">
  <ds:schemaRefs/>
</ds:datastoreItem>
</file>

<file path=customXml/itemProps12.xml><?xml version="1.0" encoding="utf-8"?>
<ds:datastoreItem xmlns:ds="http://schemas.openxmlformats.org/officeDocument/2006/customXml" ds:itemID="{B44791E5-9751-4362-A5BA-8627CD37DCA0}">
  <ds:schemaRefs/>
</ds:datastoreItem>
</file>

<file path=customXml/itemProps13.xml><?xml version="1.0" encoding="utf-8"?>
<ds:datastoreItem xmlns:ds="http://schemas.openxmlformats.org/officeDocument/2006/customXml" ds:itemID="{7405ED79-5E74-4196-B0AC-36C344FBDC1B}">
  <ds:schemaRefs/>
</ds:datastoreItem>
</file>

<file path=customXml/itemProps14.xml><?xml version="1.0" encoding="utf-8"?>
<ds:datastoreItem xmlns:ds="http://schemas.openxmlformats.org/officeDocument/2006/customXml" ds:itemID="{A3DCF03C-81AE-4735-9957-AC2D0586709E}">
  <ds:schemaRefs/>
</ds:datastoreItem>
</file>

<file path=customXml/itemProps15.xml><?xml version="1.0" encoding="utf-8"?>
<ds:datastoreItem xmlns:ds="http://schemas.openxmlformats.org/officeDocument/2006/customXml" ds:itemID="{6DE6B1C3-035E-4495-B918-1467CCE13234}">
  <ds:schemaRefs/>
</ds:datastoreItem>
</file>

<file path=customXml/itemProps16.xml><?xml version="1.0" encoding="utf-8"?>
<ds:datastoreItem xmlns:ds="http://schemas.openxmlformats.org/officeDocument/2006/customXml" ds:itemID="{E73AC1B3-0DFB-4F86-9AF9-796D3DB7EEA1}">
  <ds:schemaRefs/>
</ds:datastoreItem>
</file>

<file path=customXml/itemProps17.xml><?xml version="1.0" encoding="utf-8"?>
<ds:datastoreItem xmlns:ds="http://schemas.openxmlformats.org/officeDocument/2006/customXml" ds:itemID="{78560062-2254-4CA9-BD3B-D1EA609E73A3}">
  <ds:schemaRefs/>
</ds:datastoreItem>
</file>

<file path=customXml/itemProps18.xml><?xml version="1.0" encoding="utf-8"?>
<ds:datastoreItem xmlns:ds="http://schemas.openxmlformats.org/officeDocument/2006/customXml" ds:itemID="{EAD5A64E-0906-4A2F-9E82-07EBECC33F3A}">
  <ds:schemaRefs/>
</ds:datastoreItem>
</file>

<file path=customXml/itemProps19.xml><?xml version="1.0" encoding="utf-8"?>
<ds:datastoreItem xmlns:ds="http://schemas.openxmlformats.org/officeDocument/2006/customXml" ds:itemID="{14B92B83-87CC-402B-A150-CD44D2CFE326}">
  <ds:schemaRefs/>
</ds:datastoreItem>
</file>

<file path=customXml/itemProps20.xml><?xml version="1.0" encoding="utf-8"?>
<ds:datastoreItem xmlns:ds="http://schemas.openxmlformats.org/officeDocument/2006/customXml" ds:itemID="{B8766B03-7F38-40C0-A977-B16F3F40DB59}">
  <ds:schemaRefs/>
</ds:datastoreItem>
</file>

<file path=customXml/itemProps21.xml><?xml version="1.0" encoding="utf-8"?>
<ds:datastoreItem xmlns:ds="http://schemas.openxmlformats.org/officeDocument/2006/customXml" ds:itemID="{9B6B05C7-6D2D-4B31-BC32-82B27A9E9E98}">
  <ds:schemaRefs/>
</ds:datastoreItem>
</file>

<file path=customXml/itemProps22.xml><?xml version="1.0" encoding="utf-8"?>
<ds:datastoreItem xmlns:ds="http://schemas.openxmlformats.org/officeDocument/2006/customXml" ds:itemID="{1B3F260A-AC56-4581-95F2-90E8B867AD9C}">
  <ds:schemaRefs/>
</ds:datastoreItem>
</file>

<file path=customXml/itemProps23.xml><?xml version="1.0" encoding="utf-8"?>
<ds:datastoreItem xmlns:ds="http://schemas.openxmlformats.org/officeDocument/2006/customXml" ds:itemID="{F1A94523-9C79-414C-8B52-A8E9017B8CD8}">
  <ds:schemaRefs/>
</ds:datastoreItem>
</file>

<file path=customXml/itemProps24.xml><?xml version="1.0" encoding="utf-8"?>
<ds:datastoreItem xmlns:ds="http://schemas.openxmlformats.org/officeDocument/2006/customXml" ds:itemID="{31DCB4B6-E7FF-44CD-895A-12797BF4BEFE}">
  <ds:schemaRefs/>
</ds:datastoreItem>
</file>

<file path=customXml/itemProps25.xml><?xml version="1.0" encoding="utf-8"?>
<ds:datastoreItem xmlns:ds="http://schemas.openxmlformats.org/officeDocument/2006/customXml" ds:itemID="{F32F3D6B-3811-4235-8C92-3BB1E22567C6}">
  <ds:schemaRefs/>
</ds:datastoreItem>
</file>

<file path=customXml/itemProps26.xml><?xml version="1.0" encoding="utf-8"?>
<ds:datastoreItem xmlns:ds="http://schemas.openxmlformats.org/officeDocument/2006/customXml" ds:itemID="{D94740C6-0AC5-48C0-AC5B-94DAB898AA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vt:lpstr>
      <vt:lpstr>04_Stores</vt:lpstr>
      <vt:lpstr>Products</vt:lpstr>
      <vt:lpstr>02_Customers</vt:lpstr>
      <vt:lpstr>01_Sales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a30372</dc:creator>
  <cp:lastModifiedBy>a30372</cp:lastModifiedBy>
  <dcterms:created xsi:type="dcterms:W3CDTF">2026-08-23T15:46:23Z</dcterms:created>
  <dcterms:modified xsi:type="dcterms:W3CDTF">2026-08-23T17:06:28Z</dcterms:modified>
</cp:coreProperties>
</file>