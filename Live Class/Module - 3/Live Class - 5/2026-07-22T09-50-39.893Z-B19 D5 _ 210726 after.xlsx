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xl/webextensions/webextension4.xml" ContentType="application/vnd.ms-office.webextension+xml"/>
  <Override PartName="/xl/webextensions/webextension5.xml" ContentType="application/vnd.ms-office.webextension+xml"/>
  <Override PartName="/xl/webextensions/webextension6.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MASUD\Desktop\Batch -19\"/>
    </mc:Choice>
  </mc:AlternateContent>
  <xr:revisionPtr revIDLastSave="0" documentId="8_{0A9C5597-319B-45B2-96AC-EB21C2EFA638}" xr6:coauthVersionLast="47" xr6:coauthVersionMax="47" xr10:uidLastSave="{00000000-0000-0000-0000-000000000000}"/>
  <bookViews>
    <workbookView xWindow="-108" yWindow="-108" windowWidth="23256" windowHeight="12576" tabRatio="824" activeTab="1" xr2:uid="{00000000-000D-0000-FFFF-FFFF00000000}"/>
  </bookViews>
  <sheets>
    <sheet name="Topic D5 _ 210726" sheetId="5" r:id="rId1"/>
    <sheet name="Goal Seek" sheetId="13" r:id="rId2"/>
    <sheet name="Sheet1" sheetId="14" r:id="rId3"/>
    <sheet name="Sheet2" sheetId="15" r:id="rId4"/>
    <sheet name="Pivot Table" sheetId="1" r:id="rId5"/>
    <sheet name="Sheet4" sheetId="17" r:id="rId6"/>
    <sheet name="Sheet3" sheetId="16" r:id="rId7"/>
    <sheet name="AI_in_Excel" sheetId="2" state="hidden" r:id="rId8"/>
  </sheets>
  <externalReferences>
    <externalReference r:id="rId9"/>
  </externalReferences>
  <definedNames>
    <definedName name="_xlnm._FilterDatabase" localSheetId="4" hidden="1">'Pivot Table'!$A$4:$H$320</definedName>
    <definedName name="Goal">[1]IF_Function!$I$2</definedName>
    <definedName name="Jan_21">[1]IF_Function!$B$5:$B$9</definedName>
    <definedName name="Slicer_Month">#N/A</definedName>
    <definedName name="Slicer_Year">#N/A</definedName>
  </definedNames>
  <calcPr calcId="191029"/>
  <pivotCaches>
    <pivotCache cacheId="37"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3" l="1"/>
  <c r="D17" i="13"/>
  <c r="D14" i="13"/>
  <c r="D9" i="13"/>
</calcChain>
</file>

<file path=xl/sharedStrings.xml><?xml version="1.0" encoding="utf-8"?>
<sst xmlns="http://schemas.openxmlformats.org/spreadsheetml/2006/main" count="1768" uniqueCount="398">
  <si>
    <t>Month</t>
  </si>
  <si>
    <t>Sales</t>
  </si>
  <si>
    <t>Profit</t>
  </si>
  <si>
    <t>Jun</t>
  </si>
  <si>
    <t>Sep</t>
  </si>
  <si>
    <t>May</t>
  </si>
  <si>
    <t>Oct</t>
  </si>
  <si>
    <t>Feb</t>
  </si>
  <si>
    <t>Aug</t>
  </si>
  <si>
    <t>Jul</t>
  </si>
  <si>
    <t>Jan</t>
  </si>
  <si>
    <t>Nov</t>
  </si>
  <si>
    <t>Apr</t>
  </si>
  <si>
    <t>Dec</t>
  </si>
  <si>
    <t>Mar</t>
  </si>
  <si>
    <t>Topic Name</t>
  </si>
  <si>
    <t xml:space="preserve">Status </t>
  </si>
  <si>
    <t>Khulna</t>
  </si>
  <si>
    <t>Rajshahi</t>
  </si>
  <si>
    <t>Dhaka</t>
  </si>
  <si>
    <t>Units</t>
  </si>
  <si>
    <t>Location</t>
  </si>
  <si>
    <t>Nila</t>
  </si>
  <si>
    <t>Day -5</t>
  </si>
  <si>
    <t>Goal Seek</t>
  </si>
  <si>
    <t>Data mapping to prepare a PivotTable</t>
  </si>
  <si>
    <t>Various types of report layout (report in compact form, report in tabular form)</t>
  </si>
  <si>
    <t>Customizing subtotal at any row label data and subtotal category</t>
  </si>
  <si>
    <t>Changing PivotTable data source</t>
  </si>
  <si>
    <t>Sales Report for Three Years</t>
  </si>
  <si>
    <t>Year</t>
  </si>
  <si>
    <t>Product Name</t>
  </si>
  <si>
    <t>Salespersons
 Name</t>
  </si>
  <si>
    <t>Sales Value</t>
  </si>
  <si>
    <t>Order #</t>
  </si>
  <si>
    <t>January</t>
  </si>
  <si>
    <t>Cake</t>
  </si>
  <si>
    <t>Mojnu</t>
  </si>
  <si>
    <t>001</t>
  </si>
  <si>
    <t>002</t>
  </si>
  <si>
    <t>Sweet</t>
  </si>
  <si>
    <t>003</t>
  </si>
  <si>
    <t>004</t>
  </si>
  <si>
    <t>005</t>
  </si>
  <si>
    <t>006</t>
  </si>
  <si>
    <t>Shamim</t>
  </si>
  <si>
    <t>007</t>
  </si>
  <si>
    <t>Chips</t>
  </si>
  <si>
    <t>008</t>
  </si>
  <si>
    <t>009</t>
  </si>
  <si>
    <t>010</t>
  </si>
  <si>
    <t>Fahim</t>
  </si>
  <si>
    <t>011</t>
  </si>
  <si>
    <t>012</t>
  </si>
  <si>
    <t>013</t>
  </si>
  <si>
    <t>014</t>
  </si>
  <si>
    <t>Biscuit</t>
  </si>
  <si>
    <t>Pulkit</t>
  </si>
  <si>
    <t>Sylhet</t>
  </si>
  <si>
    <t>015</t>
  </si>
  <si>
    <t>016</t>
  </si>
  <si>
    <t>017</t>
  </si>
  <si>
    <t>018</t>
  </si>
  <si>
    <t>019</t>
  </si>
  <si>
    <t>020</t>
  </si>
  <si>
    <t>February</t>
  </si>
  <si>
    <t>021</t>
  </si>
  <si>
    <t>022</t>
  </si>
  <si>
    <t>023</t>
  </si>
  <si>
    <t>024</t>
  </si>
  <si>
    <t>025</t>
  </si>
  <si>
    <t>026</t>
  </si>
  <si>
    <t>027</t>
  </si>
  <si>
    <t>028</t>
  </si>
  <si>
    <t>029</t>
  </si>
  <si>
    <t>030</t>
  </si>
  <si>
    <t>031</t>
  </si>
  <si>
    <t>032</t>
  </si>
  <si>
    <t>033</t>
  </si>
  <si>
    <t>034</t>
  </si>
  <si>
    <t>035</t>
  </si>
  <si>
    <t>036</t>
  </si>
  <si>
    <t>037</t>
  </si>
  <si>
    <t>038</t>
  </si>
  <si>
    <t>March</t>
  </si>
  <si>
    <t>039</t>
  </si>
  <si>
    <t>040</t>
  </si>
  <si>
    <t>041</t>
  </si>
  <si>
    <t>042</t>
  </si>
  <si>
    <t>043</t>
  </si>
  <si>
    <t>044</t>
  </si>
  <si>
    <t>045</t>
  </si>
  <si>
    <t>046</t>
  </si>
  <si>
    <t>047</t>
  </si>
  <si>
    <t>048</t>
  </si>
  <si>
    <t>049</t>
  </si>
  <si>
    <t>050</t>
  </si>
  <si>
    <t>051</t>
  </si>
  <si>
    <t>052</t>
  </si>
  <si>
    <t>053</t>
  </si>
  <si>
    <t>054</t>
  </si>
  <si>
    <t>055</t>
  </si>
  <si>
    <t>056</t>
  </si>
  <si>
    <t>057</t>
  </si>
  <si>
    <t>058</t>
  </si>
  <si>
    <t>June</t>
  </si>
  <si>
    <t>059</t>
  </si>
  <si>
    <t>060</t>
  </si>
  <si>
    <t>061</t>
  </si>
  <si>
    <t>062</t>
  </si>
  <si>
    <t>063</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</si>
  <si>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</si>
  <si>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</si>
  <si>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</si>
  <si>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</si>
  <si>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</si>
  <si>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</si>
  <si>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</si>
  <si>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</si>
  <si>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</si>
  <si>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</si>
  <si>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</si>
  <si>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</si>
  <si>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</si>
  <si>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</si>
  <si>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</si>
  <si>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</si>
  <si>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</si>
  <si>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</si>
  <si>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</si>
  <si>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</si>
  <si>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</si>
  <si>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</si>
  <si>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</si>
  <si>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087</t>
  </si>
  <si>
    <t>088</t>
  </si>
  <si>
    <t>August</t>
  </si>
  <si>
    <t>089</t>
  </si>
  <si>
    <t>090</t>
  </si>
  <si>
    <t>091</t>
  </si>
  <si>
    <t>092</t>
  </si>
  <si>
    <t>093</t>
  </si>
  <si>
    <t>094</t>
  </si>
  <si>
    <t>095</t>
  </si>
  <si>
    <t>096</t>
  </si>
  <si>
    <t>097</t>
  </si>
  <si>
    <t>098</t>
  </si>
  <si>
    <t>099</t>
  </si>
  <si>
    <t>100</t>
  </si>
  <si>
    <t>101</t>
  </si>
  <si>
    <t>102</t>
  </si>
  <si>
    <t>103</t>
  </si>
  <si>
    <t>104</t>
  </si>
  <si>
    <t>105</t>
  </si>
  <si>
    <t>106</t>
  </si>
  <si>
    <t>107</t>
  </si>
  <si>
    <t>108</t>
  </si>
  <si>
    <t>109</t>
  </si>
  <si>
    <t>110</t>
  </si>
  <si>
    <t>November</t>
  </si>
  <si>
    <t>111</t>
  </si>
  <si>
    <t>112</t>
  </si>
  <si>
    <t>113</t>
  </si>
  <si>
    <t>114</t>
  </si>
  <si>
    <t>115</t>
  </si>
  <si>
    <t>116</t>
  </si>
  <si>
    <t>117</t>
  </si>
  <si>
    <t>118</t>
  </si>
  <si>
    <t>119</t>
  </si>
  <si>
    <t>120</t>
  </si>
  <si>
    <t>121</t>
  </si>
  <si>
    <t>122</t>
  </si>
  <si>
    <t>123</t>
  </si>
  <si>
    <t>124</t>
  </si>
  <si>
    <t>125</t>
  </si>
  <si>
    <t>126</t>
  </si>
  <si>
    <t>127</t>
  </si>
  <si>
    <t>128</t>
  </si>
  <si>
    <t>129</t>
  </si>
  <si>
    <t>130</t>
  </si>
  <si>
    <t>December</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</si>
  <si>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</si>
  <si>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</si>
  <si>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</si>
  <si>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</si>
  <si>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</si>
  <si>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</si>
  <si>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</si>
  <si>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</si>
  <si>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</si>
  <si>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</si>
  <si>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</si>
  <si>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</si>
  <si>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</si>
  <si>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</si>
  <si>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</si>
  <si>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</si>
  <si>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</si>
  <si>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</si>
  <si>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</si>
  <si>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</si>
  <si>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</si>
  <si>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</si>
  <si>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</si>
  <si>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</si>
  <si>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</si>
  <si>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</si>
  <si>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</si>
  <si>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</si>
  <si>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</si>
  <si>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</si>
  <si>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</si>
  <si>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</si>
  <si>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</si>
  <si>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</si>
  <si>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</si>
  <si>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</si>
  <si>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</si>
  <si>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</si>
  <si>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</si>
  <si>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</si>
  <si>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</si>
  <si>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</si>
  <si>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</si>
  <si>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</si>
  <si>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</si>
  <si>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</si>
  <si>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</si>
  <si>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</si>
  <si>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</si>
  <si>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</si>
  <si>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</si>
  <si>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</si>
  <si>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</si>
  <si>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</si>
  <si>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</si>
  <si>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</si>
  <si>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</si>
  <si>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</si>
  <si>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</si>
  <si>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</si>
  <si>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</si>
  <si>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</si>
  <si>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</si>
  <si>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</si>
  <si>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</si>
  <si>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</si>
  <si>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</si>
  <si>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</si>
  <si>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</si>
  <si>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</si>
  <si>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</si>
  <si>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</si>
  <si>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</si>
  <si>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</si>
  <si>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</si>
  <si>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</si>
  <si>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</si>
  <si>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</si>
  <si>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</si>
  <si>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</si>
  <si>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</si>
  <si>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</si>
  <si>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</si>
  <si>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</si>
  <si>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</si>
  <si>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</si>
  <si>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</si>
  <si>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</si>
  <si>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</si>
  <si>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</si>
  <si>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</si>
  <si>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</si>
  <si>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</si>
  <si>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</si>
  <si>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</si>
  <si>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</si>
  <si>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</si>
  <si>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</si>
  <si>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</si>
  <si>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</si>
  <si>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</si>
  <si>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</si>
  <si>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</si>
  <si>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</si>
  <si>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</si>
  <si>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</si>
  <si>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</si>
  <si>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</si>
  <si>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</si>
  <si>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</si>
  <si>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</si>
  <si>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</si>
  <si>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</si>
  <si>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</si>
  <si>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</si>
  <si>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</si>
  <si>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</si>
  <si>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</si>
  <si>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</si>
  <si>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</si>
  <si>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</si>
  <si>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</si>
  <si>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</si>
  <si>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</si>
  <si>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</si>
  <si>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</si>
  <si>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</si>
  <si>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</si>
  <si>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</si>
  <si>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</si>
  <si>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</si>
  <si>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</si>
  <si>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</si>
  <si>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</si>
  <si>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</si>
  <si>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</si>
  <si>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</si>
  <si>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</si>
  <si>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</si>
  <si>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</si>
  <si>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</si>
  <si>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</si>
  <si>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</si>
  <si>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</si>
  <si>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</si>
  <si>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</si>
  <si>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</si>
  <si>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</si>
  <si>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</si>
  <si>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</si>
  <si>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</si>
  <si>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</si>
  <si>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</si>
  <si>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</si>
  <si>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</si>
  <si>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</si>
  <si>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</si>
  <si>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</si>
  <si>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</si>
  <si>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</si>
  <si>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</si>
  <si>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</si>
  <si>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</si>
  <si>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</si>
  <si>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</si>
  <si>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</si>
  <si>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</si>
  <si>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</si>
  <si>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</si>
  <si>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</si>
  <si>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</si>
  <si>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</si>
  <si>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</si>
  <si>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</si>
  <si>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</si>
  <si>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</si>
  <si>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</si>
  <si>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</si>
  <si>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</si>
  <si>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</si>
  <si>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</si>
  <si>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</si>
  <si>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</si>
  <si>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</si>
  <si>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</si>
  <si>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</si>
  <si>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2023 - 2025</t>
  </si>
  <si>
    <t>Mortgage Amount:</t>
  </si>
  <si>
    <t>Current PMT</t>
  </si>
  <si>
    <t>Interest Rate:</t>
  </si>
  <si>
    <t>Term in Months:</t>
  </si>
  <si>
    <t>Person 1</t>
  </si>
  <si>
    <t>Person 2</t>
  </si>
  <si>
    <t>Person 3</t>
  </si>
  <si>
    <t>Total</t>
  </si>
  <si>
    <t>Example : 1</t>
  </si>
  <si>
    <t>Example : 3</t>
  </si>
  <si>
    <t>Example : 2</t>
  </si>
  <si>
    <t>Amount</t>
  </si>
  <si>
    <t>Total Target</t>
  </si>
  <si>
    <t>Average Target</t>
  </si>
  <si>
    <t>Done</t>
  </si>
  <si>
    <t>Row Labels</t>
  </si>
  <si>
    <t>Grand Total</t>
  </si>
  <si>
    <t>Sum of Sales Value</t>
  </si>
  <si>
    <t>Sum of Units</t>
  </si>
  <si>
    <t>Singara</t>
  </si>
  <si>
    <t>Cost</t>
  </si>
  <si>
    <t>Sum of Cost</t>
  </si>
  <si>
    <t>Masud</t>
  </si>
  <si>
    <t>Misty</t>
  </si>
  <si>
    <t>Puri</t>
  </si>
  <si>
    <t>Chop</t>
  </si>
  <si>
    <t>Icecream</t>
  </si>
  <si>
    <t>Zaman</t>
  </si>
  <si>
    <t>Sana</t>
  </si>
  <si>
    <t>Surah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</si>
</sst>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_);[Red]\(&quot;$&quot;#,##0.00\)"/>
    <numFmt numFmtId="44" formatCode="_(&quot;$&quot;* #,##0.00_);_(&quot;$&quot;* \(#,##0.00\);_(&quot;$&quot;* &quot;-&quot;??_);_(@_)"/>
    <numFmt numFmtId="43" formatCode="_(* #,##0.00_);_(* \(#,##0.00\);_(* &quot;-&quot;??_);_(@_)"/>
    <numFmt numFmtId="164" formatCode="_(&quot;$&quot;* #,##0_);_(&quot;$&quot;* \(#,##0\);_(&quot;$&quot;* &quot;-&quot;??_);_(@_)"/>
    <numFmt numFmtId="165" formatCode="_(* #,##0_);_(* \(#,##0\);_(* &quot;-&quot;??_);_(@_)"/>
  </numFmts>
  <fonts count="16" x14ac:knownFonts="1">
    <font>
      <sz val="11"/>
      <color theme="1"/>
      <name val="Calibri"/>
      <family val="2"/>
      <scheme val="minor"/>
    </font>
    <font>
      <b/>
      <sz val="18"/>
      <color theme="0"/>
      <name val="Calibri"/>
      <family val="2"/>
      <scheme val="minor"/>
    </font>
    <font>
      <b/>
      <sz val="16"/>
      <color theme="0"/>
      <name val="Calibri"/>
      <family val="2"/>
      <scheme val="minor"/>
    </font>
    <font>
      <sz val="16"/>
      <color theme="1"/>
      <name val="Calibri"/>
      <family val="2"/>
      <scheme val="minor"/>
    </font>
    <font>
      <sz val="10"/>
      <name val="Arial"/>
      <family val="2"/>
    </font>
    <font>
      <b/>
      <sz val="11"/>
      <color theme="1"/>
      <name val="Calibri"/>
      <family val="2"/>
      <scheme val="minor"/>
    </font>
    <font>
      <sz val="11"/>
      <color rgb="FFFF0000"/>
      <name val="Calibri"/>
      <family val="2"/>
      <scheme val="minor"/>
    </font>
    <font>
      <b/>
      <sz val="12"/>
      <color theme="0"/>
      <name val="Calibri"/>
      <family val="2"/>
      <scheme val="minor"/>
    </font>
    <font>
      <sz val="11"/>
      <color theme="1"/>
      <name val="Calibri"/>
      <family val="2"/>
      <scheme val="minor"/>
    </font>
    <font>
      <b/>
      <sz val="11"/>
      <color theme="0"/>
      <name val="Calibri"/>
      <family val="2"/>
      <scheme val="minor"/>
    </font>
    <font>
      <sz val="10"/>
      <name val="MS Sans Serif"/>
    </font>
    <font>
      <b/>
      <sz val="14"/>
      <name val="Calibri"/>
      <family val="2"/>
      <scheme val="minor"/>
    </font>
    <font>
      <b/>
      <u/>
      <sz val="14"/>
      <name val="Calibri"/>
      <family val="2"/>
      <scheme val="minor"/>
    </font>
    <font>
      <sz val="12"/>
      <name val="Calibri"/>
      <family val="2"/>
      <scheme val="minor"/>
    </font>
    <font>
      <b/>
      <u/>
      <sz val="12"/>
      <name val="Calibri"/>
      <family val="2"/>
      <scheme val="minor"/>
    </font>
    <font>
      <b/>
      <sz val="10"/>
      <color theme="0"/>
      <name val="Arial"/>
      <family val="2"/>
    </font>
  </fonts>
  <fills count="9">
    <fill>
      <patternFill patternType="none"/>
    </fill>
    <fill>
      <patternFill patternType="gray125"/>
    </fill>
    <fill>
      <patternFill patternType="solid">
        <fgColor rgb="FF002060"/>
        <bgColor indexed="64"/>
      </patternFill>
    </fill>
    <fill>
      <patternFill patternType="solid">
        <fgColor rgb="FF00B050"/>
        <bgColor indexed="64"/>
      </patternFill>
    </fill>
    <fill>
      <patternFill patternType="solid">
        <fgColor theme="8" tint="-0.249977111117893"/>
        <bgColor indexed="64"/>
      </patternFill>
    </fill>
    <fill>
      <patternFill patternType="solid">
        <fgColor rgb="FFFFFF00"/>
        <bgColor indexed="64"/>
      </patternFill>
    </fill>
    <fill>
      <patternFill patternType="solid">
        <fgColor theme="4" tint="-0.249977111117893"/>
        <bgColor indexed="64"/>
      </patternFill>
    </fill>
    <fill>
      <patternFill patternType="solid">
        <fgColor theme="0" tint="-0.14999847407452621"/>
        <bgColor indexed="64"/>
      </patternFill>
    </fill>
    <fill>
      <patternFill patternType="solid">
        <fgColor rgb="FF00B0F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7">
    <xf numFmtId="0" fontId="0" fillId="0" borderId="0"/>
    <xf numFmtId="0" fontId="4" fillId="0" borderId="0"/>
    <xf numFmtId="43" fontId="4" fillId="0" borderId="0" applyFont="0" applyFill="0" applyBorder="0" applyAlignment="0" applyProtection="0"/>
    <xf numFmtId="44" fontId="4" fillId="0" borderId="0" applyFont="0" applyFill="0" applyBorder="0" applyAlignment="0" applyProtection="0"/>
    <xf numFmtId="43" fontId="8" fillId="0" borderId="0" applyFont="0" applyFill="0" applyBorder="0" applyAlignment="0" applyProtection="0"/>
    <xf numFmtId="0" fontId="10" fillId="0" borderId="0"/>
    <xf numFmtId="0" fontId="4" fillId="0" borderId="0"/>
  </cellStyleXfs>
  <cellXfs count="54">
    <xf numFmtId="0" fontId="0" fillId="0" borderId="0" xfId="0"/>
    <xf numFmtId="0" fontId="0" fillId="0" borderId="0" xfId="0" applyAlignment="1">
      <alignment horizontal="center"/>
    </xf>
    <xf numFmtId="0" fontId="0" fillId="0" borderId="0" xfId="0" applyAlignment="1">
      <alignment vertical="center"/>
    </xf>
    <xf numFmtId="0" fontId="2" fillId="3" borderId="0" xfId="0" applyFont="1" applyFill="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center" vertical="center"/>
    </xf>
    <xf numFmtId="0" fontId="3" fillId="0" borderId="0" xfId="0" applyFont="1" applyAlignment="1">
      <alignment horizontal="center" vertical="center" wrapText="1"/>
    </xf>
    <xf numFmtId="0" fontId="0" fillId="0" borderId="0" xfId="0" applyAlignment="1">
      <alignment vertical="center" wrapText="1"/>
    </xf>
    <xf numFmtId="0" fontId="3" fillId="0" borderId="0" xfId="0" applyFont="1" applyAlignment="1">
      <alignment horizontal="left" vertical="center"/>
    </xf>
    <xf numFmtId="0" fontId="13" fillId="0" borderId="0" xfId="5" applyFont="1" applyAlignment="1">
      <alignment horizontal="center"/>
    </xf>
    <xf numFmtId="0" fontId="14" fillId="0" borderId="0" xfId="5" applyFont="1" applyAlignment="1">
      <alignment horizontal="center"/>
    </xf>
    <xf numFmtId="0" fontId="13" fillId="0" borderId="0" xfId="5" applyFont="1" applyAlignment="1">
      <alignment horizontal="centerContinuous"/>
    </xf>
    <xf numFmtId="43" fontId="13" fillId="0" borderId="0" xfId="4" applyFont="1" applyAlignment="1">
      <alignment horizontal="centerContinuous"/>
    </xf>
    <xf numFmtId="0" fontId="13" fillId="0" borderId="0" xfId="5" applyFont="1"/>
    <xf numFmtId="0" fontId="7" fillId="6" borderId="5" xfId="5" applyFont="1" applyFill="1" applyBorder="1" applyAlignment="1">
      <alignment horizontal="center" vertical="center" wrapText="1"/>
    </xf>
    <xf numFmtId="0" fontId="7" fillId="6" borderId="6" xfId="5" applyFont="1" applyFill="1" applyBorder="1" applyAlignment="1">
      <alignment horizontal="center" vertical="center" wrapText="1"/>
    </xf>
    <xf numFmtId="43" fontId="7" fillId="6" borderId="6" xfId="4" applyFont="1" applyFill="1" applyBorder="1" applyAlignment="1">
      <alignment horizontal="center" vertical="center" wrapText="1"/>
    </xf>
    <xf numFmtId="0" fontId="7" fillId="6" borderId="4" xfId="5" applyFont="1" applyFill="1" applyBorder="1" applyAlignment="1">
      <alignment horizontal="center" vertical="center" wrapText="1"/>
    </xf>
    <xf numFmtId="0" fontId="13" fillId="0" borderId="3" xfId="5" applyFont="1" applyBorder="1" applyAlignment="1">
      <alignment horizontal="center"/>
    </xf>
    <xf numFmtId="0" fontId="13" fillId="0" borderId="1" xfId="5" applyFont="1" applyBorder="1" applyAlignment="1">
      <alignment horizontal="center"/>
    </xf>
    <xf numFmtId="0" fontId="13" fillId="0" borderId="1" xfId="5" applyFont="1" applyBorder="1"/>
    <xf numFmtId="43" fontId="13" fillId="0" borderId="1" xfId="4" applyFont="1" applyBorder="1"/>
    <xf numFmtId="49" fontId="13" fillId="0" borderId="2" xfId="5" applyNumberFormat="1" applyFont="1" applyBorder="1" applyAlignment="1">
      <alignment horizontal="center"/>
    </xf>
    <xf numFmtId="0" fontId="15" fillId="4" borderId="1" xfId="6" applyFont="1" applyFill="1" applyBorder="1" applyAlignment="1">
      <alignment horizontal="right"/>
    </xf>
    <xf numFmtId="164" fontId="4" fillId="7" borderId="1" xfId="3" applyNumberFormat="1" applyFont="1" applyFill="1" applyBorder="1" applyAlignment="1">
      <alignment horizontal="center"/>
    </xf>
    <xf numFmtId="0" fontId="4" fillId="0" borderId="0" xfId="6"/>
    <xf numFmtId="0" fontId="15" fillId="4" borderId="7" xfId="6" applyFont="1" applyFill="1" applyBorder="1" applyAlignment="1">
      <alignment horizontal="center"/>
    </xf>
    <xf numFmtId="9" fontId="4" fillId="7" borderId="1" xfId="6" applyNumberFormat="1" applyFill="1" applyBorder="1" applyAlignment="1">
      <alignment horizontal="center"/>
    </xf>
    <xf numFmtId="8" fontId="4" fillId="7" borderId="8" xfId="6" applyNumberFormat="1" applyFill="1" applyBorder="1" applyAlignment="1">
      <alignment horizontal="center"/>
    </xf>
    <xf numFmtId="0" fontId="4" fillId="7" borderId="1" xfId="6" applyFill="1" applyBorder="1" applyAlignment="1">
      <alignment horizontal="center"/>
    </xf>
    <xf numFmtId="0" fontId="9" fillId="2" borderId="0" xfId="0" applyFont="1" applyFill="1" applyAlignment="1">
      <alignment horizontal="center"/>
    </xf>
    <xf numFmtId="43" fontId="0" fillId="0" borderId="0" xfId="4" applyFont="1" applyAlignment="1">
      <alignment horizontal="center"/>
    </xf>
    <xf numFmtId="43" fontId="0" fillId="0" borderId="0" xfId="4" applyFont="1"/>
    <xf numFmtId="165" fontId="0" fillId="0" borderId="0" xfId="4" applyNumberFormat="1" applyFont="1" applyAlignment="1">
      <alignment horizontal="center"/>
    </xf>
    <xf numFmtId="165" fontId="0" fillId="0" borderId="0" xfId="4" applyNumberFormat="1" applyFont="1"/>
    <xf numFmtId="0" fontId="5" fillId="0" borderId="0" xfId="0" applyFont="1"/>
    <xf numFmtId="0" fontId="6" fillId="5" borderId="0" xfId="0" applyFont="1" applyFill="1" applyAlignment="1">
      <alignment horizontal="center"/>
    </xf>
    <xf numFmtId="0" fontId="11" fillId="0" borderId="0" xfId="5" applyFont="1" applyAlignment="1">
      <alignment horizontal="center"/>
    </xf>
    <xf numFmtId="0" fontId="12" fillId="0" borderId="0" xfId="5" applyFont="1" applyAlignment="1">
      <alignment horizontal="center"/>
    </xf>
    <xf numFmtId="0" fontId="1" fillId="2" borderId="0" xfId="0" applyFont="1" applyFill="1" applyAlignment="1">
      <alignment horizontal="center" vertical="center"/>
    </xf>
    <xf numFmtId="43" fontId="0" fillId="0" borderId="0" xfId="0" applyNumberFormat="1"/>
    <xf numFmtId="0" fontId="13" fillId="0" borderId="9" xfId="5" applyFont="1" applyBorder="1" applyAlignment="1">
      <alignment horizontal="center"/>
    </xf>
    <xf numFmtId="0" fontId="13" fillId="0" borderId="10" xfId="5" applyFont="1" applyBorder="1" applyAlignment="1">
      <alignment horizontal="center"/>
    </xf>
    <xf numFmtId="0" fontId="13" fillId="0" borderId="10" xfId="5" applyFont="1" applyBorder="1"/>
    <xf numFmtId="43" fontId="13" fillId="0" borderId="10" xfId="4" applyFont="1" applyBorder="1"/>
    <xf numFmtId="49" fontId="13" fillId="0" borderId="11" xfId="5" applyNumberFormat="1" applyFont="1" applyBorder="1" applyAlignment="1">
      <alignment horizontal="center"/>
    </xf>
    <xf numFmtId="0" fontId="0" fillId="5" borderId="0" xfId="0" applyFill="1"/>
    <xf numFmtId="0" fontId="0" fillId="8" borderId="0" xfId="0" applyFill="1"/>
    <xf numFmtId="0" fontId="0" fillId="3" borderId="0" xfId="0" applyFill="1"/>
    <xf numFmtId="0" fontId="0" fillId="0" borderId="0" xfId="0" pivotButton="1"/>
    <xf numFmtId="0" fontId="0" fillId="0" borderId="0" xfId="0" applyAlignment="1">
      <alignment horizontal="left"/>
    </xf>
    <xf numFmtId="0" fontId="0" fillId="0" borderId="0" xfId="0" applyNumberFormat="1"/>
    <xf numFmtId="0" fontId="3" fillId="0" borderId="0" xfId="0" applyFont="1"/>
    <xf numFmtId="0" fontId="3" fillId="0" borderId="0" xfId="0" applyFont="1" applyAlignment="1">
      <alignment horizontal="center"/>
    </xf>
  </cellXfs>
  <cellStyles count="7">
    <cellStyle name="Comma" xfId="4" builtinId="3"/>
    <cellStyle name="Comma 2" xfId="2" xr:uid="{2431B603-E615-42F5-BA7C-5FB5CE791330}"/>
    <cellStyle name="Currency 2" xfId="3" xr:uid="{9EF18CAD-1332-49A0-B7C4-66F246659AF4}"/>
    <cellStyle name="Normal" xfId="0" builtinId="0"/>
    <cellStyle name="Normal 2" xfId="1" xr:uid="{4BBB9391-D4BA-4FBA-B3A5-89333779D9B8}"/>
    <cellStyle name="Normal 3" xfId="6" xr:uid="{D046DD08-3D04-4BA0-9017-2C0BC4D6F3AF}"/>
    <cellStyle name="Normal_EXCEL3-2" xfId="5" xr:uid="{4C8AC879-841D-4AB9-A12D-32A8F7378B24}"/>
  </cellStyles>
  <dxfs count="17">
    <dxf>
      <font>
        <strike/>
      </font>
      <fill>
        <patternFill>
          <bgColor rgb="FF92D050"/>
        </patternFill>
      </fill>
    </dxf>
    <dxf>
      <font>
        <strike/>
      </font>
      <fill>
        <patternFill>
          <bgColor rgb="FF92D050"/>
        </patternFill>
      </fill>
    </dxf>
    <dxf>
      <font>
        <strike/>
      </font>
      <fill>
        <patternFill>
          <bgColor rgb="FF92D050"/>
        </patternFill>
      </fill>
    </dxf>
    <dxf>
      <font>
        <strike/>
      </font>
      <fill>
        <patternFill>
          <bgColor rgb="FF92D050"/>
        </patternFill>
      </fill>
    </dxf>
    <dxf>
      <font>
        <strike/>
      </font>
      <fill>
        <patternFill>
          <bgColor rgb="FF92D050"/>
        </patternFill>
      </fill>
    </dxf>
    <dxf>
      <font>
        <b/>
        <i val="0"/>
        <strike val="0"/>
        <condense val="0"/>
        <extend val="0"/>
        <outline val="0"/>
        <shadow val="0"/>
        <u val="none"/>
        <vertAlign val="baseline"/>
        <sz val="12"/>
        <color theme="0"/>
        <name val="Calibri"/>
        <family val="2"/>
        <scheme val="minor"/>
      </font>
      <fill>
        <patternFill patternType="solid">
          <fgColor indexed="64"/>
          <bgColor theme="4" tint="-0.249977111117893"/>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Calibri"/>
        <family val="2"/>
        <scheme val="minor"/>
      </font>
      <numFmt numFmtId="30" formatCode="@"/>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auto="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Calibri"/>
        <family val="2"/>
        <scheme val="minor"/>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bottom style="thin">
          <color indexed="64"/>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7</xdr:col>
      <xdr:colOff>577463</xdr:colOff>
      <xdr:row>2</xdr:row>
      <xdr:rowOff>55659</xdr:rowOff>
    </xdr:from>
    <xdr:to>
      <xdr:col>10</xdr:col>
      <xdr:colOff>577463</xdr:colOff>
      <xdr:row>15</xdr:row>
      <xdr:rowOff>110738</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714AFF87-C8B6-D68C-5D38-9F352B8404C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7919167" y="4267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507559</xdr:colOff>
      <xdr:row>2</xdr:row>
      <xdr:rowOff>71893</xdr:rowOff>
    </xdr:from>
    <xdr:to>
      <xdr:col>7</xdr:col>
      <xdr:colOff>534064</xdr:colOff>
      <xdr:row>15</xdr:row>
      <xdr:rowOff>126972</xdr:rowOff>
    </xdr:to>
    <mc:AlternateContent xmlns:mc="http://schemas.openxmlformats.org/markup-compatibility/2006">
      <mc:Choice xmlns:a14="http://schemas.microsoft.com/office/drawing/2010/main" Requires="a14">
        <xdr:graphicFrame macro="">
          <xdr:nvGraphicFramePr>
            <xdr:cNvPr id="4" name="Month">
              <a:extLst>
                <a:ext uri="{FF2B5EF4-FFF2-40B4-BE49-F238E27FC236}">
                  <a16:creationId xmlns:a16="http://schemas.microsoft.com/office/drawing/2014/main" id="{834DCDEB-1DAB-A577-02E1-2BA439B455D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6046968" y="442954"/>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G:\My%20Drive\Excel%20e-School\Shared%20EES\2.%20Live%20Batches\2026\EESB26EX%20-%20Masud\Exercise%20file_Advanced%20Section.xlsx" TargetMode="External"/><Relationship Id="rId1" Type="http://schemas.openxmlformats.org/officeDocument/2006/relationships/externalLinkPath" Target="file:///G:\My%20Drive\Excel%20e-School\Shared%20EES\2.%20Live%20Batches\2026\EESB26EX%20-%20Masud\Exercise%20file_Advanced%20Sec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F_Function"/>
      <sheetName val="SUMIF Function"/>
      <sheetName val="VLOOKUP Function"/>
      <sheetName val="VLOOKUP Fun Index Match"/>
      <sheetName val="Sheet1"/>
      <sheetName val="Employee List"/>
      <sheetName val="HLOOKUP Function"/>
      <sheetName val="Inventory List"/>
      <sheetName val="INDEX MATCH Functions"/>
      <sheetName val="INDEX MATCH Master Emp List"/>
      <sheetName val="LEFT RIGHT MID Functions"/>
      <sheetName val="SEARCH Function"/>
      <sheetName val="CONCATENATE"/>
      <sheetName val="Formula Auditing"/>
      <sheetName val="Watch Window"/>
      <sheetName val="Worksheet Protection"/>
      <sheetName val="Goal Seek"/>
      <sheetName val="Solver"/>
      <sheetName val="Data Table"/>
      <sheetName val="Scenarios"/>
      <sheetName val="Macro"/>
      <sheetName val="Test Macro"/>
    </sheetNames>
    <sheetDataSet>
      <sheetData sheetId="0">
        <row r="2">
          <cell r="I2">
            <v>340000</v>
          </cell>
        </row>
        <row r="5">
          <cell r="B5">
            <v>105000</v>
          </cell>
        </row>
        <row r="6">
          <cell r="B6">
            <v>59750</v>
          </cell>
        </row>
        <row r="7">
          <cell r="B7">
            <v>74250</v>
          </cell>
        </row>
        <row r="8">
          <cell r="B8">
            <v>95000</v>
          </cell>
        </row>
        <row r="9">
          <cell r="B9">
            <v>81000</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SUD" refreshedDate="46224.949046759262" createdVersion="8" refreshedVersion="8" minRefreshableVersion="3" recordCount="316" xr:uid="{540C16A7-AF68-4B05-BA6A-063A034285F2}">
  <cacheSource type="worksheet">
    <worksheetSource name="Sales"/>
  </cacheSource>
  <cacheFields count="9">
    <cacheField name="Year" numFmtId="0">
      <sharedItems containsSemiMixedTypes="0" containsString="0" containsNumber="1" containsInteger="1" minValue="2023" maxValue="2025" count="3">
        <n v="2023"/>
        <n v="2024"/>
        <n v="2025"/>
      </sharedItems>
    </cacheField>
    <cacheField name="Month" numFmtId="0">
      <sharedItems count="7">
        <s v="January"/>
        <s v="February"/>
        <s v="March"/>
        <s v="June"/>
        <s v="August"/>
        <s v="November"/>
        <s v="December"/>
      </sharedItems>
    </cacheField>
    <cacheField name="Product Name" numFmtId="0">
      <sharedItems count="4">
        <s v="Cake"/>
        <s v="Sweet"/>
        <s v="Chips"/>
        <s v="Biscuit"/>
      </sharedItems>
    </cacheField>
    <cacheField name="Salespersons_x000a_ Name" numFmtId="0">
      <sharedItems/>
    </cacheField>
    <cacheField name="Location" numFmtId="0">
      <sharedItems count="4">
        <s v="Khulna"/>
        <s v="Dhaka"/>
        <s v="Rajshahi"/>
        <s v="Sylhet"/>
      </sharedItems>
    </cacheField>
    <cacheField name="Sales Value" numFmtId="43">
      <sharedItems containsSemiMixedTypes="0" containsString="0" containsNumber="1" minValue="1196.25" maxValue="30000" count="77">
        <n v="3395.5"/>
        <n v="12761.5"/>
        <n v="9943"/>
        <n v="30000"/>
        <n v="9793"/>
        <n v="15596.5"/>
        <n v="5666"/>
        <n v="8318.5"/>
        <n v="6500"/>
        <n v="4553.5"/>
        <n v="5887"/>
        <n v="12122.5"/>
        <n v="14428"/>
        <n v="15000"/>
        <n v="4897"/>
        <n v="9832"/>
        <n v="4000"/>
        <n v="13206.25"/>
        <n v="10268.75"/>
        <n v="12190"/>
        <n v="7233.75"/>
        <n v="13182.5"/>
        <n v="1722.5"/>
        <n v="5483.75"/>
        <n v="3956.25"/>
        <n v="13163.75"/>
        <n v="2248.75"/>
        <n v="1196.25"/>
        <n v="13038.75"/>
        <n v="2972.5"/>
        <n v="6733.75"/>
        <n v="10865"/>
        <n v="6858.75"/>
        <n v="2705"/>
        <n v="8327.5"/>
        <n v="10982.5"/>
        <n v="1622.5"/>
        <n v="7118.75"/>
        <n v="7120"/>
        <n v="7098.75"/>
        <n v="8905"/>
        <n v="8028.75"/>
        <n v="10160"/>
        <n v="4247.5"/>
        <n v="3570"/>
        <n v="11308.75"/>
        <n v="12026.25"/>
        <n v="8360"/>
        <n v="12177.5"/>
        <n v="4355"/>
        <n v="3698.75"/>
        <n v="15647.5"/>
        <n v="8480.5"/>
        <n v="15619"/>
        <n v="1867"/>
        <n v="6380.5"/>
        <n v="4547.5"/>
        <n v="2498.5"/>
        <n v="1235.5"/>
        <n v="15446.5"/>
        <n v="3367"/>
        <n v="7880.5"/>
        <n v="12838"/>
        <n v="8030.5"/>
        <n v="3046"/>
        <n v="12979"/>
        <n v="1747"/>
        <n v="8342.5"/>
        <n v="8344"/>
        <n v="10486"/>
        <n v="11992"/>
        <n v="4084"/>
        <n v="13370.5"/>
        <n v="14231.5"/>
        <n v="14413"/>
        <n v="5026"/>
        <n v="4238.5"/>
      </sharedItems>
    </cacheField>
    <cacheField name="Units" numFmtId="0">
      <sharedItems containsSemiMixedTypes="0" containsString="0" containsNumber="1" containsInteger="1" minValue="-243" maxValue="9365"/>
    </cacheField>
    <cacheField name="Order #" numFmtId="49">
      <sharedItems/>
    </cacheField>
    <cacheField name="Cost" numFmtId="0">
      <sharedItems containsSemiMixedTypes="0" containsString="0" containsNumber="1" containsInteger="1" minValue="100" maxValue="100"/>
    </cacheField>
  </cacheFields>
  <extLst>
    <ext xmlns:x14="http://schemas.microsoft.com/office/spreadsheetml/2009/9/main" uri="{725AE2AE-9491-48be-B2B4-4EB974FC3084}">
      <x14:pivotCacheDefinition pivotCacheId="11471598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6">
  <r>
    <x v="0"/>
    <x v="0"/>
    <x v="0"/>
    <s v="Mojnu"/>
    <x v="0"/>
    <x v="0"/>
    <n v="1197"/>
    <s v="001"/>
    <n v="100"/>
  </r>
  <r>
    <x v="0"/>
    <x v="0"/>
    <x v="0"/>
    <s v="Mojnu"/>
    <x v="0"/>
    <x v="1"/>
    <n v="7441"/>
    <s v="002"/>
    <n v="100"/>
  </r>
  <r>
    <x v="0"/>
    <x v="0"/>
    <x v="1"/>
    <s v="Mojnu"/>
    <x v="0"/>
    <x v="2"/>
    <n v="5562"/>
    <s v="003"/>
    <n v="100"/>
  </r>
  <r>
    <x v="0"/>
    <x v="0"/>
    <x v="0"/>
    <s v="Mojnu"/>
    <x v="0"/>
    <x v="0"/>
    <n v="1197"/>
    <s v="004"/>
    <n v="100"/>
  </r>
  <r>
    <x v="0"/>
    <x v="0"/>
    <x v="0"/>
    <s v="Mojnu"/>
    <x v="0"/>
    <x v="1"/>
    <n v="7441"/>
    <s v="005"/>
    <n v="100"/>
  </r>
  <r>
    <x v="0"/>
    <x v="0"/>
    <x v="1"/>
    <s v="Mojnu"/>
    <x v="0"/>
    <x v="2"/>
    <n v="5562"/>
    <s v="006"/>
    <n v="100"/>
  </r>
  <r>
    <x v="0"/>
    <x v="0"/>
    <x v="1"/>
    <s v="Shamim"/>
    <x v="1"/>
    <x v="3"/>
    <n v="9331"/>
    <s v="007"/>
    <n v="100"/>
  </r>
  <r>
    <x v="0"/>
    <x v="0"/>
    <x v="2"/>
    <s v="Shamim"/>
    <x v="1"/>
    <x v="4"/>
    <n v="5462"/>
    <s v="008"/>
    <n v="100"/>
  </r>
  <r>
    <x v="0"/>
    <x v="0"/>
    <x v="1"/>
    <s v="Shamim"/>
    <x v="1"/>
    <x v="5"/>
    <n v="9331"/>
    <s v="009"/>
    <n v="100"/>
  </r>
  <r>
    <x v="0"/>
    <x v="0"/>
    <x v="2"/>
    <s v="Shamim"/>
    <x v="1"/>
    <x v="4"/>
    <n v="5462"/>
    <s v="010"/>
    <n v="100"/>
  </r>
  <r>
    <x v="0"/>
    <x v="0"/>
    <x v="0"/>
    <s v="Fahim"/>
    <x v="2"/>
    <x v="6"/>
    <n v="5223"/>
    <s v="011"/>
    <n v="100"/>
  </r>
  <r>
    <x v="0"/>
    <x v="0"/>
    <x v="0"/>
    <s v="Fahim"/>
    <x v="2"/>
    <x v="7"/>
    <n v="4479"/>
    <s v="012"/>
    <n v="100"/>
  </r>
  <r>
    <x v="0"/>
    <x v="0"/>
    <x v="0"/>
    <s v="Fahim"/>
    <x v="2"/>
    <x v="8"/>
    <n v="5223"/>
    <s v="013"/>
    <n v="100"/>
  </r>
  <r>
    <x v="0"/>
    <x v="0"/>
    <x v="0"/>
    <s v="Fahim"/>
    <x v="2"/>
    <x v="7"/>
    <n v="4479"/>
    <s v="014"/>
    <n v="100"/>
  </r>
  <r>
    <x v="0"/>
    <x v="0"/>
    <x v="3"/>
    <s v="Pulkit"/>
    <x v="3"/>
    <x v="9"/>
    <n v="1969"/>
    <s v="015"/>
    <n v="100"/>
  </r>
  <r>
    <x v="0"/>
    <x v="0"/>
    <x v="3"/>
    <s v="Pulkit"/>
    <x v="3"/>
    <x v="9"/>
    <n v="1969"/>
    <s v="016"/>
    <n v="100"/>
  </r>
  <r>
    <x v="0"/>
    <x v="0"/>
    <x v="1"/>
    <s v="Nila"/>
    <x v="1"/>
    <x v="5"/>
    <n v="9331"/>
    <s v="017"/>
    <n v="100"/>
  </r>
  <r>
    <x v="0"/>
    <x v="0"/>
    <x v="2"/>
    <s v="Nila"/>
    <x v="1"/>
    <x v="4"/>
    <n v="5462"/>
    <s v="018"/>
    <n v="100"/>
  </r>
  <r>
    <x v="0"/>
    <x v="0"/>
    <x v="1"/>
    <s v="Nila"/>
    <x v="1"/>
    <x v="5"/>
    <n v="9331"/>
    <s v="019"/>
    <n v="100"/>
  </r>
  <r>
    <x v="0"/>
    <x v="0"/>
    <x v="2"/>
    <s v="Nila"/>
    <x v="1"/>
    <x v="4"/>
    <n v="5462"/>
    <s v="020"/>
    <n v="100"/>
  </r>
  <r>
    <x v="0"/>
    <x v="1"/>
    <x v="0"/>
    <s v="Mojnu"/>
    <x v="0"/>
    <x v="10"/>
    <n v="2858"/>
    <s v="021"/>
    <n v="100"/>
  </r>
  <r>
    <x v="0"/>
    <x v="1"/>
    <x v="0"/>
    <s v="Mojnu"/>
    <x v="0"/>
    <x v="10"/>
    <n v="2858"/>
    <s v="022"/>
    <n v="100"/>
  </r>
  <r>
    <x v="0"/>
    <x v="1"/>
    <x v="2"/>
    <s v="Shamim"/>
    <x v="1"/>
    <x v="11"/>
    <n v="7015"/>
    <s v="023"/>
    <n v="100"/>
  </r>
  <r>
    <x v="0"/>
    <x v="1"/>
    <x v="0"/>
    <s v="Shamim"/>
    <x v="1"/>
    <x v="12"/>
    <n v="8552"/>
    <s v="024"/>
    <n v="100"/>
  </r>
  <r>
    <x v="0"/>
    <x v="1"/>
    <x v="2"/>
    <s v="Shamim"/>
    <x v="1"/>
    <x v="13"/>
    <n v="7015"/>
    <s v="025"/>
    <n v="100"/>
  </r>
  <r>
    <x v="0"/>
    <x v="1"/>
    <x v="0"/>
    <s v="Shamim"/>
    <x v="1"/>
    <x v="12"/>
    <n v="8552"/>
    <s v="026"/>
    <n v="100"/>
  </r>
  <r>
    <x v="0"/>
    <x v="1"/>
    <x v="1"/>
    <s v="Fahim"/>
    <x v="2"/>
    <x v="14"/>
    <n v="2198"/>
    <s v="027"/>
    <n v="100"/>
  </r>
  <r>
    <x v="0"/>
    <x v="1"/>
    <x v="1"/>
    <s v="Fahim"/>
    <x v="2"/>
    <x v="15"/>
    <n v="5488"/>
    <s v="028"/>
    <n v="100"/>
  </r>
  <r>
    <x v="0"/>
    <x v="1"/>
    <x v="1"/>
    <s v="Fahim"/>
    <x v="2"/>
    <x v="16"/>
    <n v="2198"/>
    <s v="029"/>
    <n v="100"/>
  </r>
  <r>
    <x v="0"/>
    <x v="1"/>
    <x v="1"/>
    <s v="Fahim"/>
    <x v="2"/>
    <x v="15"/>
    <n v="5488"/>
    <s v="030"/>
    <n v="100"/>
  </r>
  <r>
    <x v="0"/>
    <x v="1"/>
    <x v="2"/>
    <s v="Pulkit"/>
    <x v="3"/>
    <x v="11"/>
    <n v="7015"/>
    <s v="031"/>
    <n v="100"/>
  </r>
  <r>
    <x v="0"/>
    <x v="1"/>
    <x v="1"/>
    <s v="Pulkit"/>
    <x v="3"/>
    <x v="17"/>
    <n v="9365"/>
    <s v="032"/>
    <n v="100"/>
  </r>
  <r>
    <x v="0"/>
    <x v="1"/>
    <x v="2"/>
    <s v="Pulkit"/>
    <x v="3"/>
    <x v="18"/>
    <n v="7015"/>
    <s v="033"/>
    <n v="100"/>
  </r>
  <r>
    <x v="0"/>
    <x v="1"/>
    <x v="1"/>
    <s v="Pulkit"/>
    <x v="3"/>
    <x v="17"/>
    <n v="9365"/>
    <s v="034"/>
    <n v="100"/>
  </r>
  <r>
    <x v="0"/>
    <x v="1"/>
    <x v="0"/>
    <s v="Nila"/>
    <x v="1"/>
    <x v="19"/>
    <n v="8552"/>
    <s v="035"/>
    <n v="100"/>
  </r>
  <r>
    <x v="0"/>
    <x v="1"/>
    <x v="3"/>
    <s v="Nila"/>
    <x v="1"/>
    <x v="20"/>
    <n v="4587"/>
    <s v="036"/>
    <n v="100"/>
  </r>
  <r>
    <x v="0"/>
    <x v="1"/>
    <x v="0"/>
    <s v="Nila"/>
    <x v="1"/>
    <x v="19"/>
    <n v="8552"/>
    <s v="037"/>
    <n v="100"/>
  </r>
  <r>
    <x v="0"/>
    <x v="1"/>
    <x v="3"/>
    <s v="Nila"/>
    <x v="1"/>
    <x v="20"/>
    <n v="4587"/>
    <s v="038"/>
    <n v="100"/>
  </r>
  <r>
    <x v="0"/>
    <x v="2"/>
    <x v="2"/>
    <s v="Mojnu"/>
    <x v="0"/>
    <x v="21"/>
    <n v="9346"/>
    <s v="039"/>
    <n v="100"/>
  </r>
  <r>
    <x v="0"/>
    <x v="2"/>
    <x v="0"/>
    <s v="Mojnu"/>
    <x v="0"/>
    <x v="22"/>
    <n v="178"/>
    <s v="040"/>
    <n v="100"/>
  </r>
  <r>
    <x v="0"/>
    <x v="2"/>
    <x v="2"/>
    <s v="Mojnu"/>
    <x v="0"/>
    <x v="21"/>
    <n v="9346"/>
    <s v="041"/>
    <n v="100"/>
  </r>
  <r>
    <x v="0"/>
    <x v="2"/>
    <x v="0"/>
    <s v="Mojnu"/>
    <x v="0"/>
    <x v="22"/>
    <n v="178"/>
    <s v="042"/>
    <n v="100"/>
  </r>
  <r>
    <x v="0"/>
    <x v="2"/>
    <x v="2"/>
    <s v="Shamim"/>
    <x v="1"/>
    <x v="21"/>
    <n v="9346"/>
    <s v="043"/>
    <n v="100"/>
  </r>
  <r>
    <x v="0"/>
    <x v="2"/>
    <x v="0"/>
    <s v="Shamim"/>
    <x v="1"/>
    <x v="23"/>
    <n v="3187"/>
    <s v="044"/>
    <n v="100"/>
  </r>
  <r>
    <x v="0"/>
    <x v="2"/>
    <x v="2"/>
    <s v="Shamim"/>
    <x v="1"/>
    <x v="21"/>
    <n v="9346"/>
    <s v="045"/>
    <n v="100"/>
  </r>
  <r>
    <x v="0"/>
    <x v="2"/>
    <x v="0"/>
    <s v="Shamim"/>
    <x v="1"/>
    <x v="23"/>
    <n v="3187"/>
    <s v="046"/>
    <n v="100"/>
  </r>
  <r>
    <x v="0"/>
    <x v="2"/>
    <x v="2"/>
    <s v="Fahim"/>
    <x v="2"/>
    <x v="24"/>
    <n v="1965"/>
    <s v="047"/>
    <n v="100"/>
  </r>
  <r>
    <x v="0"/>
    <x v="2"/>
    <x v="1"/>
    <s v="Fahim"/>
    <x v="2"/>
    <x v="25"/>
    <n v="9331"/>
    <s v="048"/>
    <n v="100"/>
  </r>
  <r>
    <x v="0"/>
    <x v="2"/>
    <x v="2"/>
    <s v="Fahim"/>
    <x v="2"/>
    <x v="24"/>
    <n v="1965"/>
    <s v="049"/>
    <n v="100"/>
  </r>
  <r>
    <x v="0"/>
    <x v="2"/>
    <x v="1"/>
    <s v="Fahim"/>
    <x v="2"/>
    <x v="25"/>
    <n v="9331"/>
    <s v="050"/>
    <n v="100"/>
  </r>
  <r>
    <x v="0"/>
    <x v="2"/>
    <x v="1"/>
    <s v="Pulkit"/>
    <x v="3"/>
    <x v="26"/>
    <n v="599"/>
    <s v="051"/>
    <n v="100"/>
  </r>
  <r>
    <x v="0"/>
    <x v="2"/>
    <x v="2"/>
    <s v="Pulkit"/>
    <x v="3"/>
    <x v="27"/>
    <n v="-243"/>
    <s v="052"/>
    <n v="100"/>
  </r>
  <r>
    <x v="0"/>
    <x v="2"/>
    <x v="1"/>
    <s v="Pulkit"/>
    <x v="3"/>
    <x v="26"/>
    <n v="599"/>
    <s v="053"/>
    <n v="100"/>
  </r>
  <r>
    <x v="0"/>
    <x v="2"/>
    <x v="2"/>
    <s v="Pulkit"/>
    <x v="3"/>
    <x v="27"/>
    <n v="-243"/>
    <s v="054"/>
    <n v="100"/>
  </r>
  <r>
    <x v="0"/>
    <x v="2"/>
    <x v="0"/>
    <s v="Nila"/>
    <x v="1"/>
    <x v="23"/>
    <n v="3187"/>
    <s v="055"/>
    <n v="100"/>
  </r>
  <r>
    <x v="0"/>
    <x v="2"/>
    <x v="3"/>
    <s v="Nila"/>
    <x v="1"/>
    <x v="28"/>
    <n v="9231"/>
    <s v="056"/>
    <n v="100"/>
  </r>
  <r>
    <x v="0"/>
    <x v="2"/>
    <x v="0"/>
    <s v="Nila"/>
    <x v="1"/>
    <x v="23"/>
    <n v="3187"/>
    <s v="057"/>
    <n v="100"/>
  </r>
  <r>
    <x v="0"/>
    <x v="2"/>
    <x v="3"/>
    <s v="Nila"/>
    <x v="1"/>
    <x v="28"/>
    <n v="9231"/>
    <s v="058"/>
    <n v="100"/>
  </r>
  <r>
    <x v="0"/>
    <x v="3"/>
    <x v="3"/>
    <s v="Mojnu"/>
    <x v="0"/>
    <x v="29"/>
    <n v="1178"/>
    <s v="059"/>
    <n v="100"/>
  </r>
  <r>
    <x v="0"/>
    <x v="3"/>
    <x v="2"/>
    <s v="Mojnu"/>
    <x v="0"/>
    <x v="30"/>
    <n v="4187"/>
    <s v="060"/>
    <n v="100"/>
  </r>
  <r>
    <x v="0"/>
    <x v="3"/>
    <x v="3"/>
    <s v="Mojnu"/>
    <x v="0"/>
    <x v="29"/>
    <n v="1178"/>
    <s v="061"/>
    <n v="100"/>
  </r>
  <r>
    <x v="0"/>
    <x v="3"/>
    <x v="2"/>
    <s v="Mojnu"/>
    <x v="0"/>
    <x v="30"/>
    <n v="4187"/>
    <s v="062"/>
    <n v="100"/>
  </r>
  <r>
    <x v="0"/>
    <x v="3"/>
    <x v="0"/>
    <s v="Shamim"/>
    <x v="1"/>
    <x v="31"/>
    <n v="7492"/>
    <s v="063"/>
    <n v="100"/>
  </r>
  <r>
    <x v="0"/>
    <x v="3"/>
    <x v="3"/>
    <s v="Shamim"/>
    <x v="1"/>
    <x v="29"/>
    <n v="1178"/>
    <s v="064"/>
    <n v="100"/>
  </r>
  <r>
    <x v="0"/>
    <x v="3"/>
    <x v="0"/>
    <s v="Shamim"/>
    <x v="1"/>
    <x v="32"/>
    <n v="4287"/>
    <s v="065"/>
    <n v="100"/>
  </r>
  <r>
    <x v="0"/>
    <x v="3"/>
    <x v="1"/>
    <s v="Shamim"/>
    <x v="1"/>
    <x v="33"/>
    <n v="964"/>
    <s v="066"/>
    <n v="100"/>
  </r>
  <r>
    <x v="0"/>
    <x v="3"/>
    <x v="0"/>
    <s v="Shamim"/>
    <x v="1"/>
    <x v="31"/>
    <n v="7492"/>
    <s v="067"/>
    <n v="100"/>
  </r>
  <r>
    <x v="0"/>
    <x v="3"/>
    <x v="3"/>
    <s v="Shamim"/>
    <x v="1"/>
    <x v="29"/>
    <n v="1178"/>
    <s v="068"/>
    <n v="100"/>
  </r>
  <r>
    <x v="0"/>
    <x v="3"/>
    <x v="0"/>
    <s v="Shamim"/>
    <x v="1"/>
    <x v="32"/>
    <n v="4287"/>
    <s v="069"/>
    <n v="100"/>
  </r>
  <r>
    <x v="0"/>
    <x v="3"/>
    <x v="1"/>
    <s v="Shamim"/>
    <x v="1"/>
    <x v="33"/>
    <n v="964"/>
    <s v="070"/>
    <n v="100"/>
  </r>
  <r>
    <x v="0"/>
    <x v="3"/>
    <x v="2"/>
    <s v="Fahim"/>
    <x v="2"/>
    <x v="34"/>
    <n v="5462"/>
    <s v="071"/>
    <n v="100"/>
  </r>
  <r>
    <x v="0"/>
    <x v="3"/>
    <x v="2"/>
    <s v="Fahim"/>
    <x v="2"/>
    <x v="18"/>
    <n v="7015"/>
    <s v="072"/>
    <n v="100"/>
  </r>
  <r>
    <x v="0"/>
    <x v="3"/>
    <x v="0"/>
    <s v="Fahim"/>
    <x v="2"/>
    <x v="19"/>
    <n v="8552"/>
    <s v="073"/>
    <n v="100"/>
  </r>
  <r>
    <x v="0"/>
    <x v="3"/>
    <x v="2"/>
    <s v="Fahim"/>
    <x v="2"/>
    <x v="21"/>
    <n v="9346"/>
    <s v="074"/>
    <n v="100"/>
  </r>
  <r>
    <x v="0"/>
    <x v="3"/>
    <x v="3"/>
    <s v="Fahim"/>
    <x v="2"/>
    <x v="29"/>
    <n v="1178"/>
    <s v="075"/>
    <n v="100"/>
  </r>
  <r>
    <x v="0"/>
    <x v="3"/>
    <x v="2"/>
    <s v="Fahim"/>
    <x v="2"/>
    <x v="34"/>
    <n v="5462"/>
    <s v="076"/>
    <n v="100"/>
  </r>
  <r>
    <x v="0"/>
    <x v="3"/>
    <x v="2"/>
    <s v="Fahim"/>
    <x v="2"/>
    <x v="18"/>
    <n v="7015"/>
    <s v="077"/>
    <n v="100"/>
  </r>
  <r>
    <x v="0"/>
    <x v="3"/>
    <x v="0"/>
    <s v="Fahim"/>
    <x v="2"/>
    <x v="19"/>
    <n v="8552"/>
    <s v="078"/>
    <n v="100"/>
  </r>
  <r>
    <x v="0"/>
    <x v="3"/>
    <x v="2"/>
    <s v="Fahim"/>
    <x v="2"/>
    <x v="21"/>
    <n v="9346"/>
    <s v="079"/>
    <n v="100"/>
  </r>
  <r>
    <x v="0"/>
    <x v="3"/>
    <x v="3"/>
    <s v="Fahim"/>
    <x v="2"/>
    <x v="29"/>
    <n v="1178"/>
    <s v="080"/>
    <n v="100"/>
  </r>
  <r>
    <x v="0"/>
    <x v="3"/>
    <x v="0"/>
    <s v="Pulkit"/>
    <x v="3"/>
    <x v="31"/>
    <n v="7492"/>
    <s v="081"/>
    <n v="100"/>
  </r>
  <r>
    <x v="0"/>
    <x v="3"/>
    <x v="0"/>
    <s v="Pulkit"/>
    <x v="3"/>
    <x v="35"/>
    <n v="7586"/>
    <s v="082"/>
    <n v="100"/>
  </r>
  <r>
    <x v="0"/>
    <x v="3"/>
    <x v="0"/>
    <s v="Pulkit"/>
    <x v="3"/>
    <x v="31"/>
    <n v="7492"/>
    <s v="083"/>
    <n v="100"/>
  </r>
  <r>
    <x v="0"/>
    <x v="3"/>
    <x v="0"/>
    <s v="Pulkit"/>
    <x v="3"/>
    <x v="35"/>
    <n v="7586"/>
    <s v="084"/>
    <n v="100"/>
  </r>
  <r>
    <x v="0"/>
    <x v="3"/>
    <x v="0"/>
    <s v="Nila"/>
    <x v="1"/>
    <x v="32"/>
    <n v="4287"/>
    <s v="085"/>
    <n v="100"/>
  </r>
  <r>
    <x v="0"/>
    <x v="3"/>
    <x v="1"/>
    <s v="Nila"/>
    <x v="1"/>
    <x v="33"/>
    <n v="964"/>
    <s v="086"/>
    <n v="100"/>
  </r>
  <r>
    <x v="0"/>
    <x v="3"/>
    <x v="0"/>
    <s v="Nila"/>
    <x v="1"/>
    <x v="32"/>
    <n v="4287"/>
    <s v="087"/>
    <n v="100"/>
  </r>
  <r>
    <x v="0"/>
    <x v="3"/>
    <x v="1"/>
    <s v="Nila"/>
    <x v="1"/>
    <x v="33"/>
    <n v="964"/>
    <s v="088"/>
    <n v="100"/>
  </r>
  <r>
    <x v="0"/>
    <x v="4"/>
    <x v="1"/>
    <s v="Mojnu"/>
    <x v="0"/>
    <x v="36"/>
    <n v="98"/>
    <s v="089"/>
    <n v="100"/>
  </r>
  <r>
    <x v="0"/>
    <x v="4"/>
    <x v="3"/>
    <s v="Mojnu"/>
    <x v="0"/>
    <x v="37"/>
    <n v="4495"/>
    <s v="090"/>
    <n v="100"/>
  </r>
  <r>
    <x v="0"/>
    <x v="4"/>
    <x v="1"/>
    <s v="Mojnu"/>
    <x v="0"/>
    <x v="36"/>
    <n v="98"/>
    <s v="091"/>
    <n v="100"/>
  </r>
  <r>
    <x v="0"/>
    <x v="4"/>
    <x v="3"/>
    <s v="Mojnu"/>
    <x v="0"/>
    <x v="37"/>
    <n v="4495"/>
    <s v="092"/>
    <n v="100"/>
  </r>
  <r>
    <x v="0"/>
    <x v="4"/>
    <x v="3"/>
    <s v="Shamim"/>
    <x v="1"/>
    <x v="38"/>
    <n v="4496"/>
    <s v="093"/>
    <n v="100"/>
  </r>
  <r>
    <x v="0"/>
    <x v="4"/>
    <x v="0"/>
    <s v="Shamim"/>
    <x v="1"/>
    <x v="30"/>
    <n v="4187"/>
    <s v="094"/>
    <n v="100"/>
  </r>
  <r>
    <x v="0"/>
    <x v="4"/>
    <x v="3"/>
    <s v="Shamim"/>
    <x v="1"/>
    <x v="38"/>
    <n v="4496"/>
    <s v="095"/>
    <n v="100"/>
  </r>
  <r>
    <x v="0"/>
    <x v="4"/>
    <x v="0"/>
    <s v="Shamim"/>
    <x v="1"/>
    <x v="30"/>
    <n v="4187"/>
    <s v="096"/>
    <n v="100"/>
  </r>
  <r>
    <x v="0"/>
    <x v="4"/>
    <x v="0"/>
    <s v="Fahim"/>
    <x v="2"/>
    <x v="23"/>
    <n v="3187"/>
    <s v="097"/>
    <n v="100"/>
  </r>
  <r>
    <x v="0"/>
    <x v="4"/>
    <x v="0"/>
    <s v="Fahim"/>
    <x v="2"/>
    <x v="31"/>
    <n v="7492"/>
    <s v="098"/>
    <n v="100"/>
  </r>
  <r>
    <x v="0"/>
    <x v="4"/>
    <x v="0"/>
    <s v="Fahim"/>
    <x v="2"/>
    <x v="23"/>
    <n v="3187"/>
    <s v="099"/>
    <n v="100"/>
  </r>
  <r>
    <x v="0"/>
    <x v="4"/>
    <x v="0"/>
    <s v="Fahim"/>
    <x v="2"/>
    <x v="31"/>
    <n v="7492"/>
    <s v="100"/>
    <n v="100"/>
  </r>
  <r>
    <x v="0"/>
    <x v="4"/>
    <x v="3"/>
    <s v="Pulkit"/>
    <x v="3"/>
    <x v="38"/>
    <n v="4496"/>
    <s v="101"/>
    <n v="100"/>
  </r>
  <r>
    <x v="0"/>
    <x v="4"/>
    <x v="0"/>
    <s v="Pulkit"/>
    <x v="3"/>
    <x v="30"/>
    <n v="4187"/>
    <s v="102"/>
    <n v="100"/>
  </r>
  <r>
    <x v="0"/>
    <x v="4"/>
    <x v="0"/>
    <s v="Pulkit"/>
    <x v="3"/>
    <x v="39"/>
    <n v="4479"/>
    <s v="103"/>
    <n v="100"/>
  </r>
  <r>
    <x v="0"/>
    <x v="4"/>
    <x v="3"/>
    <s v="Pulkit"/>
    <x v="3"/>
    <x v="38"/>
    <n v="4496"/>
    <s v="104"/>
    <n v="100"/>
  </r>
  <r>
    <x v="0"/>
    <x v="4"/>
    <x v="0"/>
    <s v="Pulkit"/>
    <x v="3"/>
    <x v="30"/>
    <n v="4187"/>
    <s v="105"/>
    <n v="100"/>
  </r>
  <r>
    <x v="0"/>
    <x v="4"/>
    <x v="0"/>
    <s v="Pulkit"/>
    <x v="3"/>
    <x v="39"/>
    <n v="4479"/>
    <s v="106"/>
    <n v="100"/>
  </r>
  <r>
    <x v="0"/>
    <x v="4"/>
    <x v="2"/>
    <s v="Nila"/>
    <x v="1"/>
    <x v="30"/>
    <n v="4187"/>
    <s v="107"/>
    <n v="100"/>
  </r>
  <r>
    <x v="0"/>
    <x v="4"/>
    <x v="0"/>
    <s v="Nila"/>
    <x v="1"/>
    <x v="40"/>
    <n v="5924"/>
    <s v="108"/>
    <n v="100"/>
  </r>
  <r>
    <x v="0"/>
    <x v="4"/>
    <x v="2"/>
    <s v="Nila"/>
    <x v="1"/>
    <x v="30"/>
    <n v="4187"/>
    <s v="109"/>
    <n v="100"/>
  </r>
  <r>
    <x v="0"/>
    <x v="4"/>
    <x v="0"/>
    <s v="Nila"/>
    <x v="1"/>
    <x v="40"/>
    <n v="5924"/>
    <s v="110"/>
    <n v="100"/>
  </r>
  <r>
    <x v="0"/>
    <x v="5"/>
    <x v="0"/>
    <s v="Mojnu"/>
    <x v="0"/>
    <x v="41"/>
    <n v="5223"/>
    <s v="111"/>
    <n v="100"/>
  </r>
  <r>
    <x v="0"/>
    <x v="5"/>
    <x v="0"/>
    <s v="Mojnu"/>
    <x v="0"/>
    <x v="42"/>
    <n v="6928"/>
    <s v="112"/>
    <n v="100"/>
  </r>
  <r>
    <x v="0"/>
    <x v="5"/>
    <x v="0"/>
    <s v="Mojnu"/>
    <x v="0"/>
    <x v="41"/>
    <n v="5223"/>
    <s v="113"/>
    <n v="100"/>
  </r>
  <r>
    <x v="0"/>
    <x v="5"/>
    <x v="0"/>
    <s v="Mojnu"/>
    <x v="0"/>
    <x v="42"/>
    <n v="6928"/>
    <s v="114"/>
    <n v="100"/>
  </r>
  <r>
    <x v="0"/>
    <x v="5"/>
    <x v="0"/>
    <s v="Shamim"/>
    <x v="1"/>
    <x v="41"/>
    <n v="5223"/>
    <s v="115"/>
    <n v="100"/>
  </r>
  <r>
    <x v="0"/>
    <x v="5"/>
    <x v="1"/>
    <s v="Shamim"/>
    <x v="1"/>
    <x v="43"/>
    <n v="2198"/>
    <s v="116"/>
    <n v="100"/>
  </r>
  <r>
    <x v="0"/>
    <x v="5"/>
    <x v="0"/>
    <s v="Shamim"/>
    <x v="1"/>
    <x v="41"/>
    <n v="5223"/>
    <s v="117"/>
    <n v="100"/>
  </r>
  <r>
    <x v="0"/>
    <x v="5"/>
    <x v="1"/>
    <s v="Shamim"/>
    <x v="1"/>
    <x v="43"/>
    <n v="2198"/>
    <s v="118"/>
    <n v="100"/>
  </r>
  <r>
    <x v="0"/>
    <x v="5"/>
    <x v="1"/>
    <s v="Fahim"/>
    <x v="2"/>
    <x v="36"/>
    <n v="98"/>
    <s v="119"/>
    <n v="100"/>
  </r>
  <r>
    <x v="0"/>
    <x v="5"/>
    <x v="2"/>
    <s v="Fahim"/>
    <x v="2"/>
    <x v="30"/>
    <n v="4187"/>
    <s v="120"/>
    <n v="100"/>
  </r>
  <r>
    <x v="0"/>
    <x v="5"/>
    <x v="1"/>
    <s v="Fahim"/>
    <x v="2"/>
    <x v="36"/>
    <n v="98"/>
    <s v="121"/>
    <n v="100"/>
  </r>
  <r>
    <x v="0"/>
    <x v="5"/>
    <x v="2"/>
    <s v="Fahim"/>
    <x v="2"/>
    <x v="30"/>
    <n v="4187"/>
    <s v="122"/>
    <n v="100"/>
  </r>
  <r>
    <x v="0"/>
    <x v="5"/>
    <x v="1"/>
    <s v="Pulkit"/>
    <x v="3"/>
    <x v="43"/>
    <n v="2198"/>
    <s v="123"/>
    <n v="100"/>
  </r>
  <r>
    <x v="0"/>
    <x v="5"/>
    <x v="3"/>
    <s v="Pulkit"/>
    <x v="3"/>
    <x v="44"/>
    <n v="1656"/>
    <s v="124"/>
    <n v="100"/>
  </r>
  <r>
    <x v="0"/>
    <x v="5"/>
    <x v="1"/>
    <s v="Pulkit"/>
    <x v="3"/>
    <x v="43"/>
    <n v="2198"/>
    <s v="125"/>
    <n v="100"/>
  </r>
  <r>
    <x v="0"/>
    <x v="5"/>
    <x v="3"/>
    <s v="Pulkit"/>
    <x v="3"/>
    <x v="44"/>
    <n v="1656"/>
    <s v="126"/>
    <n v="100"/>
  </r>
  <r>
    <x v="0"/>
    <x v="5"/>
    <x v="2"/>
    <s v="Nila"/>
    <x v="1"/>
    <x v="45"/>
    <n v="7847"/>
    <s v="127"/>
    <n v="100"/>
  </r>
  <r>
    <x v="0"/>
    <x v="5"/>
    <x v="0"/>
    <s v="Nila"/>
    <x v="1"/>
    <x v="46"/>
    <n v="8421"/>
    <s v="128"/>
    <n v="100"/>
  </r>
  <r>
    <x v="0"/>
    <x v="5"/>
    <x v="2"/>
    <s v="Nila"/>
    <x v="1"/>
    <x v="45"/>
    <n v="7847"/>
    <s v="129"/>
    <n v="100"/>
  </r>
  <r>
    <x v="0"/>
    <x v="5"/>
    <x v="0"/>
    <s v="Nila"/>
    <x v="1"/>
    <x v="46"/>
    <n v="8421"/>
    <s v="130"/>
    <n v="100"/>
  </r>
  <r>
    <x v="0"/>
    <x v="6"/>
    <x v="1"/>
    <s v="Mojnu"/>
    <x v="0"/>
    <x v="47"/>
    <n v="5488"/>
    <s v="131"/>
    <n v="100"/>
  </r>
  <r>
    <x v="0"/>
    <x v="6"/>
    <x v="0"/>
    <s v="Mojnu"/>
    <x v="0"/>
    <x v="48"/>
    <n v="8542"/>
    <s v="132"/>
    <n v="100"/>
  </r>
  <r>
    <x v="0"/>
    <x v="6"/>
    <x v="3"/>
    <s v="Mojnu"/>
    <x v="0"/>
    <x v="49"/>
    <n v="2284"/>
    <s v="133"/>
    <n v="100"/>
  </r>
  <r>
    <x v="0"/>
    <x v="6"/>
    <x v="1"/>
    <s v="Mojnu"/>
    <x v="0"/>
    <x v="47"/>
    <n v="5488"/>
    <s v="134"/>
    <n v="100"/>
  </r>
  <r>
    <x v="0"/>
    <x v="6"/>
    <x v="0"/>
    <s v="Mojnu"/>
    <x v="0"/>
    <x v="48"/>
    <n v="8542"/>
    <s v="135"/>
    <n v="100"/>
  </r>
  <r>
    <x v="0"/>
    <x v="6"/>
    <x v="3"/>
    <s v="Mojnu"/>
    <x v="0"/>
    <x v="49"/>
    <n v="2284"/>
    <s v="136"/>
    <n v="100"/>
  </r>
  <r>
    <x v="0"/>
    <x v="6"/>
    <x v="1"/>
    <s v="Shamim"/>
    <x v="1"/>
    <x v="47"/>
    <n v="5488"/>
    <s v="137"/>
    <n v="100"/>
  </r>
  <r>
    <x v="0"/>
    <x v="6"/>
    <x v="2"/>
    <s v="Shamim"/>
    <x v="1"/>
    <x v="24"/>
    <n v="1965"/>
    <s v="138"/>
    <n v="100"/>
  </r>
  <r>
    <x v="0"/>
    <x v="6"/>
    <x v="1"/>
    <s v="Shamim"/>
    <x v="1"/>
    <x v="47"/>
    <n v="5488"/>
    <s v="139"/>
    <n v="100"/>
  </r>
  <r>
    <x v="0"/>
    <x v="6"/>
    <x v="2"/>
    <s v="Shamim"/>
    <x v="1"/>
    <x v="24"/>
    <n v="1965"/>
    <s v="140"/>
    <n v="100"/>
  </r>
  <r>
    <x v="0"/>
    <x v="6"/>
    <x v="0"/>
    <s v="Fahim"/>
    <x v="2"/>
    <x v="40"/>
    <n v="5924"/>
    <s v="141"/>
    <n v="100"/>
  </r>
  <r>
    <x v="0"/>
    <x v="6"/>
    <x v="3"/>
    <s v="Fahim"/>
    <x v="2"/>
    <x v="37"/>
    <n v="4495"/>
    <s v="142"/>
    <n v="100"/>
  </r>
  <r>
    <x v="0"/>
    <x v="6"/>
    <x v="0"/>
    <s v="Fahim"/>
    <x v="2"/>
    <x v="40"/>
    <n v="5924"/>
    <s v="143"/>
    <n v="100"/>
  </r>
  <r>
    <x v="0"/>
    <x v="6"/>
    <x v="3"/>
    <s v="Fahim"/>
    <x v="2"/>
    <x v="37"/>
    <n v="4495"/>
    <s v="144"/>
    <n v="100"/>
  </r>
  <r>
    <x v="0"/>
    <x v="6"/>
    <x v="2"/>
    <s v="Pulkit"/>
    <x v="3"/>
    <x v="24"/>
    <n v="1965"/>
    <s v="145"/>
    <n v="100"/>
  </r>
  <r>
    <x v="0"/>
    <x v="6"/>
    <x v="0"/>
    <s v="Pulkit"/>
    <x v="3"/>
    <x v="50"/>
    <n v="1759"/>
    <s v="146"/>
    <n v="100"/>
  </r>
  <r>
    <x v="0"/>
    <x v="6"/>
    <x v="2"/>
    <s v="Pulkit"/>
    <x v="3"/>
    <x v="24"/>
    <n v="1965"/>
    <s v="147"/>
    <n v="100"/>
  </r>
  <r>
    <x v="0"/>
    <x v="6"/>
    <x v="0"/>
    <s v="Pulkit"/>
    <x v="3"/>
    <x v="50"/>
    <n v="1759"/>
    <s v="148"/>
    <n v="100"/>
  </r>
  <r>
    <x v="1"/>
    <x v="0"/>
    <x v="0"/>
    <s v="Mojnu"/>
    <x v="0"/>
    <x v="0"/>
    <n v="1197"/>
    <s v="149"/>
    <n v="100"/>
  </r>
  <r>
    <x v="1"/>
    <x v="0"/>
    <x v="0"/>
    <s v="Mojnu"/>
    <x v="0"/>
    <x v="1"/>
    <n v="7441"/>
    <s v="150"/>
    <n v="100"/>
  </r>
  <r>
    <x v="1"/>
    <x v="0"/>
    <x v="1"/>
    <s v="Mojnu"/>
    <x v="0"/>
    <x v="2"/>
    <n v="5562"/>
    <s v="151"/>
    <n v="100"/>
  </r>
  <r>
    <x v="1"/>
    <x v="0"/>
    <x v="0"/>
    <s v="Mojnu"/>
    <x v="0"/>
    <x v="0"/>
    <n v="1197"/>
    <s v="152"/>
    <n v="100"/>
  </r>
  <r>
    <x v="1"/>
    <x v="0"/>
    <x v="0"/>
    <s v="Mojnu"/>
    <x v="0"/>
    <x v="1"/>
    <n v="7441"/>
    <s v="153"/>
    <n v="100"/>
  </r>
  <r>
    <x v="1"/>
    <x v="0"/>
    <x v="1"/>
    <s v="Mojnu"/>
    <x v="0"/>
    <x v="2"/>
    <n v="5562"/>
    <s v="154"/>
    <n v="100"/>
  </r>
  <r>
    <x v="1"/>
    <x v="0"/>
    <x v="1"/>
    <s v="Shamim"/>
    <x v="1"/>
    <x v="5"/>
    <n v="9331"/>
    <s v="155"/>
    <n v="100"/>
  </r>
  <r>
    <x v="1"/>
    <x v="0"/>
    <x v="2"/>
    <s v="Shamim"/>
    <x v="1"/>
    <x v="4"/>
    <n v="5462"/>
    <s v="156"/>
    <n v="100"/>
  </r>
  <r>
    <x v="1"/>
    <x v="0"/>
    <x v="1"/>
    <s v="Shamim"/>
    <x v="1"/>
    <x v="5"/>
    <n v="9331"/>
    <s v="157"/>
    <n v="100"/>
  </r>
  <r>
    <x v="1"/>
    <x v="0"/>
    <x v="2"/>
    <s v="Shamim"/>
    <x v="1"/>
    <x v="4"/>
    <n v="5462"/>
    <s v="158"/>
    <n v="100"/>
  </r>
  <r>
    <x v="1"/>
    <x v="0"/>
    <x v="0"/>
    <s v="Fahim"/>
    <x v="2"/>
    <x v="6"/>
    <n v="5223"/>
    <s v="159"/>
    <n v="100"/>
  </r>
  <r>
    <x v="1"/>
    <x v="0"/>
    <x v="0"/>
    <s v="Fahim"/>
    <x v="2"/>
    <x v="7"/>
    <n v="4479"/>
    <s v="160"/>
    <n v="100"/>
  </r>
  <r>
    <x v="1"/>
    <x v="0"/>
    <x v="0"/>
    <s v="Fahim"/>
    <x v="2"/>
    <x v="6"/>
    <n v="5223"/>
    <s v="161"/>
    <n v="100"/>
  </r>
  <r>
    <x v="1"/>
    <x v="0"/>
    <x v="0"/>
    <s v="Fahim"/>
    <x v="2"/>
    <x v="7"/>
    <n v="4479"/>
    <s v="162"/>
    <n v="100"/>
  </r>
  <r>
    <x v="1"/>
    <x v="0"/>
    <x v="3"/>
    <s v="Pulkit"/>
    <x v="3"/>
    <x v="9"/>
    <n v="1969"/>
    <s v="163"/>
    <n v="100"/>
  </r>
  <r>
    <x v="1"/>
    <x v="0"/>
    <x v="3"/>
    <s v="Pulkit"/>
    <x v="3"/>
    <x v="9"/>
    <n v="1969"/>
    <s v="164"/>
    <n v="100"/>
  </r>
  <r>
    <x v="1"/>
    <x v="0"/>
    <x v="1"/>
    <s v="Nila"/>
    <x v="1"/>
    <x v="5"/>
    <n v="9331"/>
    <s v="165"/>
    <n v="100"/>
  </r>
  <r>
    <x v="1"/>
    <x v="0"/>
    <x v="2"/>
    <s v="Nila"/>
    <x v="1"/>
    <x v="4"/>
    <n v="5462"/>
    <s v="166"/>
    <n v="100"/>
  </r>
  <r>
    <x v="1"/>
    <x v="0"/>
    <x v="1"/>
    <s v="Nila"/>
    <x v="1"/>
    <x v="5"/>
    <n v="9331"/>
    <s v="167"/>
    <n v="100"/>
  </r>
  <r>
    <x v="1"/>
    <x v="0"/>
    <x v="2"/>
    <s v="Nila"/>
    <x v="1"/>
    <x v="4"/>
    <n v="5462"/>
    <s v="168"/>
    <n v="100"/>
  </r>
  <r>
    <x v="1"/>
    <x v="1"/>
    <x v="0"/>
    <s v="Mojnu"/>
    <x v="0"/>
    <x v="10"/>
    <n v="2858"/>
    <s v="169"/>
    <n v="100"/>
  </r>
  <r>
    <x v="1"/>
    <x v="1"/>
    <x v="0"/>
    <s v="Mojnu"/>
    <x v="0"/>
    <x v="10"/>
    <n v="2858"/>
    <s v="170"/>
    <n v="100"/>
  </r>
  <r>
    <x v="1"/>
    <x v="1"/>
    <x v="2"/>
    <s v="Shamim"/>
    <x v="1"/>
    <x v="11"/>
    <n v="7015"/>
    <s v="171"/>
    <n v="100"/>
  </r>
  <r>
    <x v="1"/>
    <x v="1"/>
    <x v="0"/>
    <s v="Shamim"/>
    <x v="1"/>
    <x v="12"/>
    <n v="8552"/>
    <s v="172"/>
    <n v="100"/>
  </r>
  <r>
    <x v="1"/>
    <x v="1"/>
    <x v="2"/>
    <s v="Shamim"/>
    <x v="1"/>
    <x v="11"/>
    <n v="7015"/>
    <s v="173"/>
    <n v="100"/>
  </r>
  <r>
    <x v="1"/>
    <x v="1"/>
    <x v="0"/>
    <s v="Shamim"/>
    <x v="1"/>
    <x v="12"/>
    <n v="8552"/>
    <s v="174"/>
    <n v="100"/>
  </r>
  <r>
    <x v="1"/>
    <x v="1"/>
    <x v="1"/>
    <s v="Fahim"/>
    <x v="2"/>
    <x v="14"/>
    <n v="2198"/>
    <s v="175"/>
    <n v="100"/>
  </r>
  <r>
    <x v="1"/>
    <x v="1"/>
    <x v="1"/>
    <s v="Fahim"/>
    <x v="2"/>
    <x v="15"/>
    <n v="5488"/>
    <s v="176"/>
    <n v="100"/>
  </r>
  <r>
    <x v="1"/>
    <x v="1"/>
    <x v="1"/>
    <s v="Fahim"/>
    <x v="2"/>
    <x v="14"/>
    <n v="2198"/>
    <s v="177"/>
    <n v="100"/>
  </r>
  <r>
    <x v="1"/>
    <x v="1"/>
    <x v="1"/>
    <s v="Fahim"/>
    <x v="2"/>
    <x v="15"/>
    <n v="5488"/>
    <s v="178"/>
    <n v="100"/>
  </r>
  <r>
    <x v="1"/>
    <x v="1"/>
    <x v="2"/>
    <s v="Pulkit"/>
    <x v="3"/>
    <x v="11"/>
    <n v="7015"/>
    <s v="179"/>
    <n v="100"/>
  </r>
  <r>
    <x v="1"/>
    <x v="1"/>
    <x v="1"/>
    <s v="Pulkit"/>
    <x v="3"/>
    <x v="51"/>
    <n v="9365"/>
    <s v="180"/>
    <n v="100"/>
  </r>
  <r>
    <x v="1"/>
    <x v="1"/>
    <x v="2"/>
    <s v="Pulkit"/>
    <x v="3"/>
    <x v="11"/>
    <n v="7015"/>
    <s v="181"/>
    <n v="100"/>
  </r>
  <r>
    <x v="1"/>
    <x v="1"/>
    <x v="1"/>
    <s v="Pulkit"/>
    <x v="3"/>
    <x v="51"/>
    <n v="9365"/>
    <s v="182"/>
    <n v="100"/>
  </r>
  <r>
    <x v="1"/>
    <x v="1"/>
    <x v="0"/>
    <s v="Nila"/>
    <x v="1"/>
    <x v="12"/>
    <n v="8552"/>
    <s v="183"/>
    <n v="100"/>
  </r>
  <r>
    <x v="1"/>
    <x v="1"/>
    <x v="3"/>
    <s v="Nila"/>
    <x v="1"/>
    <x v="52"/>
    <n v="4587"/>
    <s v="184"/>
    <n v="100"/>
  </r>
  <r>
    <x v="1"/>
    <x v="1"/>
    <x v="0"/>
    <s v="Nila"/>
    <x v="1"/>
    <x v="12"/>
    <n v="8552"/>
    <s v="185"/>
    <n v="100"/>
  </r>
  <r>
    <x v="1"/>
    <x v="1"/>
    <x v="3"/>
    <s v="Nila"/>
    <x v="1"/>
    <x v="52"/>
    <n v="4587"/>
    <s v="186"/>
    <n v="100"/>
  </r>
  <r>
    <x v="1"/>
    <x v="2"/>
    <x v="2"/>
    <s v="Mojnu"/>
    <x v="0"/>
    <x v="53"/>
    <n v="9346"/>
    <s v="187"/>
    <n v="100"/>
  </r>
  <r>
    <x v="1"/>
    <x v="2"/>
    <x v="0"/>
    <s v="Mojnu"/>
    <x v="0"/>
    <x v="54"/>
    <n v="178"/>
    <s v="188"/>
    <n v="100"/>
  </r>
  <r>
    <x v="1"/>
    <x v="2"/>
    <x v="2"/>
    <s v="Mojnu"/>
    <x v="0"/>
    <x v="53"/>
    <n v="9346"/>
    <s v="189"/>
    <n v="100"/>
  </r>
  <r>
    <x v="1"/>
    <x v="2"/>
    <x v="0"/>
    <s v="Mojnu"/>
    <x v="0"/>
    <x v="54"/>
    <n v="178"/>
    <s v="190"/>
    <n v="100"/>
  </r>
  <r>
    <x v="1"/>
    <x v="2"/>
    <x v="2"/>
    <s v="Shamim"/>
    <x v="1"/>
    <x v="53"/>
    <n v="9346"/>
    <s v="191"/>
    <n v="100"/>
  </r>
  <r>
    <x v="1"/>
    <x v="2"/>
    <x v="0"/>
    <s v="Shamim"/>
    <x v="1"/>
    <x v="55"/>
    <n v="3187"/>
    <s v="192"/>
    <n v="100"/>
  </r>
  <r>
    <x v="1"/>
    <x v="2"/>
    <x v="2"/>
    <s v="Shamim"/>
    <x v="1"/>
    <x v="53"/>
    <n v="9346"/>
    <s v="193"/>
    <n v="100"/>
  </r>
  <r>
    <x v="1"/>
    <x v="2"/>
    <x v="0"/>
    <s v="Shamim"/>
    <x v="1"/>
    <x v="55"/>
    <n v="3187"/>
    <s v="194"/>
    <n v="100"/>
  </r>
  <r>
    <x v="1"/>
    <x v="2"/>
    <x v="2"/>
    <s v="Fahim"/>
    <x v="2"/>
    <x v="56"/>
    <n v="1965"/>
    <s v="195"/>
    <n v="100"/>
  </r>
  <r>
    <x v="1"/>
    <x v="2"/>
    <x v="1"/>
    <s v="Fahim"/>
    <x v="2"/>
    <x v="5"/>
    <n v="9331"/>
    <s v="196"/>
    <n v="100"/>
  </r>
  <r>
    <x v="1"/>
    <x v="2"/>
    <x v="2"/>
    <s v="Fahim"/>
    <x v="2"/>
    <x v="56"/>
    <n v="1965"/>
    <s v="197"/>
    <n v="100"/>
  </r>
  <r>
    <x v="1"/>
    <x v="2"/>
    <x v="1"/>
    <s v="Fahim"/>
    <x v="2"/>
    <x v="5"/>
    <n v="9331"/>
    <s v="198"/>
    <n v="100"/>
  </r>
  <r>
    <x v="1"/>
    <x v="2"/>
    <x v="1"/>
    <s v="Pulkit"/>
    <x v="3"/>
    <x v="57"/>
    <n v="599"/>
    <s v="199"/>
    <n v="100"/>
  </r>
  <r>
    <x v="1"/>
    <x v="2"/>
    <x v="2"/>
    <s v="Pulkit"/>
    <x v="3"/>
    <x v="58"/>
    <n v="-243"/>
    <s v="200"/>
    <n v="100"/>
  </r>
  <r>
    <x v="1"/>
    <x v="2"/>
    <x v="1"/>
    <s v="Pulkit"/>
    <x v="3"/>
    <x v="57"/>
    <n v="599"/>
    <s v="201"/>
    <n v="100"/>
  </r>
  <r>
    <x v="1"/>
    <x v="2"/>
    <x v="2"/>
    <s v="Pulkit"/>
    <x v="3"/>
    <x v="58"/>
    <n v="-243"/>
    <s v="202"/>
    <n v="100"/>
  </r>
  <r>
    <x v="1"/>
    <x v="2"/>
    <x v="0"/>
    <s v="Nila"/>
    <x v="1"/>
    <x v="55"/>
    <n v="3187"/>
    <s v="203"/>
    <n v="100"/>
  </r>
  <r>
    <x v="1"/>
    <x v="2"/>
    <x v="3"/>
    <s v="Nila"/>
    <x v="1"/>
    <x v="59"/>
    <n v="9231"/>
    <s v="204"/>
    <n v="100"/>
  </r>
  <r>
    <x v="1"/>
    <x v="2"/>
    <x v="0"/>
    <s v="Nila"/>
    <x v="1"/>
    <x v="55"/>
    <n v="3187"/>
    <s v="205"/>
    <n v="100"/>
  </r>
  <r>
    <x v="1"/>
    <x v="2"/>
    <x v="3"/>
    <s v="Nila"/>
    <x v="1"/>
    <x v="59"/>
    <n v="9231"/>
    <s v="206"/>
    <n v="100"/>
  </r>
  <r>
    <x v="1"/>
    <x v="3"/>
    <x v="3"/>
    <s v="Mojnu"/>
    <x v="0"/>
    <x v="60"/>
    <n v="1178"/>
    <s v="207"/>
    <n v="100"/>
  </r>
  <r>
    <x v="1"/>
    <x v="3"/>
    <x v="2"/>
    <s v="Mojnu"/>
    <x v="0"/>
    <x v="61"/>
    <n v="4187"/>
    <s v="208"/>
    <n v="100"/>
  </r>
  <r>
    <x v="1"/>
    <x v="3"/>
    <x v="3"/>
    <s v="Mojnu"/>
    <x v="0"/>
    <x v="60"/>
    <n v="1178"/>
    <s v="209"/>
    <n v="100"/>
  </r>
  <r>
    <x v="1"/>
    <x v="3"/>
    <x v="2"/>
    <s v="Mojnu"/>
    <x v="0"/>
    <x v="61"/>
    <n v="4187"/>
    <s v="210"/>
    <n v="100"/>
  </r>
  <r>
    <x v="1"/>
    <x v="3"/>
    <x v="0"/>
    <s v="Shamim"/>
    <x v="1"/>
    <x v="62"/>
    <n v="7492"/>
    <s v="211"/>
    <n v="100"/>
  </r>
  <r>
    <x v="1"/>
    <x v="3"/>
    <x v="3"/>
    <s v="Shamim"/>
    <x v="1"/>
    <x v="60"/>
    <n v="1178"/>
    <s v="212"/>
    <n v="100"/>
  </r>
  <r>
    <x v="1"/>
    <x v="3"/>
    <x v="0"/>
    <s v="Shamim"/>
    <x v="1"/>
    <x v="63"/>
    <n v="4287"/>
    <s v="213"/>
    <n v="100"/>
  </r>
  <r>
    <x v="1"/>
    <x v="3"/>
    <x v="1"/>
    <s v="Shamim"/>
    <x v="1"/>
    <x v="64"/>
    <n v="964"/>
    <s v="214"/>
    <n v="100"/>
  </r>
  <r>
    <x v="1"/>
    <x v="3"/>
    <x v="0"/>
    <s v="Shamim"/>
    <x v="1"/>
    <x v="62"/>
    <n v="7492"/>
    <s v="215"/>
    <n v="100"/>
  </r>
  <r>
    <x v="1"/>
    <x v="3"/>
    <x v="3"/>
    <s v="Shamim"/>
    <x v="1"/>
    <x v="60"/>
    <n v="1178"/>
    <s v="216"/>
    <n v="100"/>
  </r>
  <r>
    <x v="1"/>
    <x v="3"/>
    <x v="0"/>
    <s v="Shamim"/>
    <x v="1"/>
    <x v="63"/>
    <n v="4287"/>
    <s v="217"/>
    <n v="100"/>
  </r>
  <r>
    <x v="1"/>
    <x v="3"/>
    <x v="1"/>
    <s v="Shamim"/>
    <x v="1"/>
    <x v="64"/>
    <n v="964"/>
    <s v="218"/>
    <n v="100"/>
  </r>
  <r>
    <x v="1"/>
    <x v="3"/>
    <x v="2"/>
    <s v="Fahim"/>
    <x v="2"/>
    <x v="4"/>
    <n v="5462"/>
    <s v="219"/>
    <n v="100"/>
  </r>
  <r>
    <x v="1"/>
    <x v="3"/>
    <x v="2"/>
    <s v="Fahim"/>
    <x v="2"/>
    <x v="11"/>
    <n v="7015"/>
    <s v="220"/>
    <n v="100"/>
  </r>
  <r>
    <x v="1"/>
    <x v="3"/>
    <x v="0"/>
    <s v="Fahim"/>
    <x v="2"/>
    <x v="12"/>
    <n v="8552"/>
    <s v="221"/>
    <n v="100"/>
  </r>
  <r>
    <x v="1"/>
    <x v="3"/>
    <x v="2"/>
    <s v="Fahim"/>
    <x v="2"/>
    <x v="53"/>
    <n v="9346"/>
    <s v="222"/>
    <n v="100"/>
  </r>
  <r>
    <x v="1"/>
    <x v="3"/>
    <x v="3"/>
    <s v="Fahim"/>
    <x v="2"/>
    <x v="60"/>
    <n v="1178"/>
    <s v="223"/>
    <n v="100"/>
  </r>
  <r>
    <x v="1"/>
    <x v="3"/>
    <x v="2"/>
    <s v="Fahim"/>
    <x v="2"/>
    <x v="4"/>
    <n v="5462"/>
    <s v="224"/>
    <n v="100"/>
  </r>
  <r>
    <x v="1"/>
    <x v="3"/>
    <x v="2"/>
    <s v="Fahim"/>
    <x v="2"/>
    <x v="11"/>
    <n v="7015"/>
    <s v="225"/>
    <n v="100"/>
  </r>
  <r>
    <x v="1"/>
    <x v="3"/>
    <x v="0"/>
    <s v="Fahim"/>
    <x v="2"/>
    <x v="12"/>
    <n v="8552"/>
    <s v="226"/>
    <n v="100"/>
  </r>
  <r>
    <x v="1"/>
    <x v="3"/>
    <x v="2"/>
    <s v="Fahim"/>
    <x v="2"/>
    <x v="53"/>
    <n v="9346"/>
    <s v="227"/>
    <n v="100"/>
  </r>
  <r>
    <x v="1"/>
    <x v="3"/>
    <x v="3"/>
    <s v="Fahim"/>
    <x v="2"/>
    <x v="60"/>
    <n v="1178"/>
    <s v="228"/>
    <n v="100"/>
  </r>
  <r>
    <x v="1"/>
    <x v="3"/>
    <x v="0"/>
    <s v="Pulkit"/>
    <x v="3"/>
    <x v="62"/>
    <n v="7492"/>
    <s v="229"/>
    <n v="100"/>
  </r>
  <r>
    <x v="1"/>
    <x v="3"/>
    <x v="0"/>
    <s v="Pulkit"/>
    <x v="3"/>
    <x v="65"/>
    <n v="7586"/>
    <s v="230"/>
    <n v="100"/>
  </r>
  <r>
    <x v="1"/>
    <x v="3"/>
    <x v="0"/>
    <s v="Pulkit"/>
    <x v="3"/>
    <x v="62"/>
    <n v="7492"/>
    <s v="231"/>
    <n v="100"/>
  </r>
  <r>
    <x v="1"/>
    <x v="3"/>
    <x v="0"/>
    <s v="Pulkit"/>
    <x v="3"/>
    <x v="65"/>
    <n v="7586"/>
    <s v="232"/>
    <n v="100"/>
  </r>
  <r>
    <x v="1"/>
    <x v="3"/>
    <x v="0"/>
    <s v="Nila"/>
    <x v="1"/>
    <x v="63"/>
    <n v="4287"/>
    <s v="233"/>
    <n v="100"/>
  </r>
  <r>
    <x v="1"/>
    <x v="3"/>
    <x v="1"/>
    <s v="Nila"/>
    <x v="1"/>
    <x v="64"/>
    <n v="964"/>
    <s v="234"/>
    <n v="100"/>
  </r>
  <r>
    <x v="1"/>
    <x v="3"/>
    <x v="0"/>
    <s v="Nila"/>
    <x v="1"/>
    <x v="63"/>
    <n v="4287"/>
    <s v="235"/>
    <n v="100"/>
  </r>
  <r>
    <x v="1"/>
    <x v="3"/>
    <x v="1"/>
    <s v="Nila"/>
    <x v="1"/>
    <x v="64"/>
    <n v="964"/>
    <s v="236"/>
    <n v="100"/>
  </r>
  <r>
    <x v="1"/>
    <x v="4"/>
    <x v="1"/>
    <s v="Mojnu"/>
    <x v="0"/>
    <x v="66"/>
    <n v="98"/>
    <s v="237"/>
    <n v="100"/>
  </r>
  <r>
    <x v="1"/>
    <x v="4"/>
    <x v="3"/>
    <s v="Mojnu"/>
    <x v="0"/>
    <x v="67"/>
    <n v="4495"/>
    <s v="238"/>
    <n v="100"/>
  </r>
  <r>
    <x v="1"/>
    <x v="4"/>
    <x v="1"/>
    <s v="Mojnu"/>
    <x v="0"/>
    <x v="66"/>
    <n v="98"/>
    <s v="239"/>
    <n v="100"/>
  </r>
  <r>
    <x v="1"/>
    <x v="4"/>
    <x v="3"/>
    <s v="Mojnu"/>
    <x v="0"/>
    <x v="67"/>
    <n v="4495"/>
    <s v="240"/>
    <n v="100"/>
  </r>
  <r>
    <x v="1"/>
    <x v="4"/>
    <x v="3"/>
    <s v="Shamim"/>
    <x v="1"/>
    <x v="68"/>
    <n v="4496"/>
    <s v="241"/>
    <n v="100"/>
  </r>
  <r>
    <x v="1"/>
    <x v="4"/>
    <x v="0"/>
    <s v="Shamim"/>
    <x v="1"/>
    <x v="61"/>
    <n v="4187"/>
    <s v="242"/>
    <n v="100"/>
  </r>
  <r>
    <x v="1"/>
    <x v="4"/>
    <x v="3"/>
    <s v="Shamim"/>
    <x v="1"/>
    <x v="68"/>
    <n v="4496"/>
    <s v="243"/>
    <n v="100"/>
  </r>
  <r>
    <x v="1"/>
    <x v="4"/>
    <x v="0"/>
    <s v="Shamim"/>
    <x v="1"/>
    <x v="61"/>
    <n v="4187"/>
    <s v="244"/>
    <n v="100"/>
  </r>
  <r>
    <x v="1"/>
    <x v="4"/>
    <x v="0"/>
    <s v="Fahim"/>
    <x v="2"/>
    <x v="55"/>
    <n v="3187"/>
    <s v="245"/>
    <n v="100"/>
  </r>
  <r>
    <x v="1"/>
    <x v="4"/>
    <x v="0"/>
    <s v="Fahim"/>
    <x v="2"/>
    <x v="62"/>
    <n v="7492"/>
    <s v="246"/>
    <n v="100"/>
  </r>
  <r>
    <x v="1"/>
    <x v="4"/>
    <x v="0"/>
    <s v="Fahim"/>
    <x v="2"/>
    <x v="55"/>
    <n v="3187"/>
    <s v="247"/>
    <n v="100"/>
  </r>
  <r>
    <x v="1"/>
    <x v="4"/>
    <x v="0"/>
    <s v="Fahim"/>
    <x v="2"/>
    <x v="62"/>
    <n v="7492"/>
    <s v="248"/>
    <n v="100"/>
  </r>
  <r>
    <x v="1"/>
    <x v="4"/>
    <x v="3"/>
    <s v="Pulkit"/>
    <x v="3"/>
    <x v="68"/>
    <n v="4496"/>
    <s v="249"/>
    <n v="100"/>
  </r>
  <r>
    <x v="1"/>
    <x v="4"/>
    <x v="0"/>
    <s v="Pulkit"/>
    <x v="3"/>
    <x v="61"/>
    <n v="4187"/>
    <s v="250"/>
    <n v="100"/>
  </r>
  <r>
    <x v="1"/>
    <x v="4"/>
    <x v="0"/>
    <s v="Pulkit"/>
    <x v="3"/>
    <x v="7"/>
    <n v="4479"/>
    <s v="251"/>
    <n v="100"/>
  </r>
  <r>
    <x v="1"/>
    <x v="4"/>
    <x v="3"/>
    <s v="Pulkit"/>
    <x v="3"/>
    <x v="68"/>
    <n v="4496"/>
    <s v="252"/>
    <n v="100"/>
  </r>
  <r>
    <x v="1"/>
    <x v="4"/>
    <x v="0"/>
    <s v="Pulkit"/>
    <x v="3"/>
    <x v="61"/>
    <n v="4187"/>
    <s v="253"/>
    <n v="100"/>
  </r>
  <r>
    <x v="1"/>
    <x v="4"/>
    <x v="0"/>
    <s v="Pulkit"/>
    <x v="3"/>
    <x v="7"/>
    <n v="4479"/>
    <s v="254"/>
    <n v="100"/>
  </r>
  <r>
    <x v="1"/>
    <x v="4"/>
    <x v="2"/>
    <s v="Nila"/>
    <x v="1"/>
    <x v="61"/>
    <n v="4187"/>
    <s v="255"/>
    <n v="100"/>
  </r>
  <r>
    <x v="1"/>
    <x v="4"/>
    <x v="0"/>
    <s v="Nila"/>
    <x v="1"/>
    <x v="69"/>
    <n v="5924"/>
    <s v="256"/>
    <n v="100"/>
  </r>
  <r>
    <x v="1"/>
    <x v="4"/>
    <x v="2"/>
    <s v="Nila"/>
    <x v="1"/>
    <x v="61"/>
    <n v="4187"/>
    <s v="257"/>
    <n v="100"/>
  </r>
  <r>
    <x v="1"/>
    <x v="4"/>
    <x v="0"/>
    <s v="Nila"/>
    <x v="1"/>
    <x v="69"/>
    <n v="5924"/>
    <s v="258"/>
    <n v="100"/>
  </r>
  <r>
    <x v="1"/>
    <x v="5"/>
    <x v="0"/>
    <s v="Mojnu"/>
    <x v="0"/>
    <x v="6"/>
    <n v="5223"/>
    <s v="259"/>
    <n v="100"/>
  </r>
  <r>
    <x v="1"/>
    <x v="5"/>
    <x v="0"/>
    <s v="Mojnu"/>
    <x v="0"/>
    <x v="70"/>
    <n v="6928"/>
    <s v="260"/>
    <n v="100"/>
  </r>
  <r>
    <x v="1"/>
    <x v="5"/>
    <x v="0"/>
    <s v="Mojnu"/>
    <x v="0"/>
    <x v="6"/>
    <n v="5223"/>
    <s v="261"/>
    <n v="100"/>
  </r>
  <r>
    <x v="1"/>
    <x v="5"/>
    <x v="0"/>
    <s v="Mojnu"/>
    <x v="0"/>
    <x v="70"/>
    <n v="6928"/>
    <s v="262"/>
    <n v="100"/>
  </r>
  <r>
    <x v="1"/>
    <x v="5"/>
    <x v="0"/>
    <s v="Shamim"/>
    <x v="1"/>
    <x v="6"/>
    <n v="5223"/>
    <s v="263"/>
    <n v="100"/>
  </r>
  <r>
    <x v="1"/>
    <x v="5"/>
    <x v="1"/>
    <s v="Shamim"/>
    <x v="1"/>
    <x v="14"/>
    <n v="2198"/>
    <s v="264"/>
    <n v="100"/>
  </r>
  <r>
    <x v="1"/>
    <x v="5"/>
    <x v="0"/>
    <s v="Shamim"/>
    <x v="1"/>
    <x v="6"/>
    <n v="5223"/>
    <s v="265"/>
    <n v="100"/>
  </r>
  <r>
    <x v="1"/>
    <x v="5"/>
    <x v="1"/>
    <s v="Shamim"/>
    <x v="1"/>
    <x v="14"/>
    <n v="2198"/>
    <s v="266"/>
    <n v="100"/>
  </r>
  <r>
    <x v="1"/>
    <x v="5"/>
    <x v="1"/>
    <s v="Fahim"/>
    <x v="2"/>
    <x v="66"/>
    <n v="98"/>
    <s v="267"/>
    <n v="100"/>
  </r>
  <r>
    <x v="1"/>
    <x v="5"/>
    <x v="2"/>
    <s v="Fahim"/>
    <x v="2"/>
    <x v="61"/>
    <n v="4187"/>
    <s v="268"/>
    <n v="100"/>
  </r>
  <r>
    <x v="1"/>
    <x v="5"/>
    <x v="1"/>
    <s v="Fahim"/>
    <x v="2"/>
    <x v="66"/>
    <n v="98"/>
    <s v="269"/>
    <n v="100"/>
  </r>
  <r>
    <x v="1"/>
    <x v="5"/>
    <x v="2"/>
    <s v="Fahim"/>
    <x v="2"/>
    <x v="61"/>
    <n v="4187"/>
    <s v="270"/>
    <n v="100"/>
  </r>
  <r>
    <x v="1"/>
    <x v="5"/>
    <x v="1"/>
    <s v="Pulkit"/>
    <x v="3"/>
    <x v="14"/>
    <n v="2198"/>
    <s v="271"/>
    <n v="100"/>
  </r>
  <r>
    <x v="1"/>
    <x v="5"/>
    <x v="3"/>
    <s v="Pulkit"/>
    <x v="3"/>
    <x v="71"/>
    <n v="1656"/>
    <s v="272"/>
    <n v="100"/>
  </r>
  <r>
    <x v="1"/>
    <x v="5"/>
    <x v="1"/>
    <s v="Pulkit"/>
    <x v="3"/>
    <x v="14"/>
    <n v="2198"/>
    <s v="273"/>
    <n v="100"/>
  </r>
  <r>
    <x v="1"/>
    <x v="5"/>
    <x v="3"/>
    <s v="Pulkit"/>
    <x v="3"/>
    <x v="71"/>
    <n v="1656"/>
    <s v="274"/>
    <n v="100"/>
  </r>
  <r>
    <x v="1"/>
    <x v="5"/>
    <x v="2"/>
    <s v="Nila"/>
    <x v="1"/>
    <x v="72"/>
    <n v="7847"/>
    <s v="275"/>
    <n v="100"/>
  </r>
  <r>
    <x v="1"/>
    <x v="5"/>
    <x v="0"/>
    <s v="Nila"/>
    <x v="1"/>
    <x v="73"/>
    <n v="8421"/>
    <s v="276"/>
    <n v="100"/>
  </r>
  <r>
    <x v="1"/>
    <x v="5"/>
    <x v="2"/>
    <s v="Nila"/>
    <x v="1"/>
    <x v="72"/>
    <n v="7847"/>
    <s v="277"/>
    <n v="100"/>
  </r>
  <r>
    <x v="1"/>
    <x v="5"/>
    <x v="0"/>
    <s v="Nila"/>
    <x v="1"/>
    <x v="73"/>
    <n v="8421"/>
    <s v="278"/>
    <n v="100"/>
  </r>
  <r>
    <x v="1"/>
    <x v="6"/>
    <x v="1"/>
    <s v="Mojnu"/>
    <x v="0"/>
    <x v="15"/>
    <n v="5488"/>
    <s v="279"/>
    <n v="100"/>
  </r>
  <r>
    <x v="1"/>
    <x v="6"/>
    <x v="0"/>
    <s v="Mojnu"/>
    <x v="0"/>
    <x v="74"/>
    <n v="8542"/>
    <s v="280"/>
    <n v="100"/>
  </r>
  <r>
    <x v="1"/>
    <x v="6"/>
    <x v="3"/>
    <s v="Mojnu"/>
    <x v="0"/>
    <x v="75"/>
    <n v="2284"/>
    <s v="281"/>
    <n v="100"/>
  </r>
  <r>
    <x v="1"/>
    <x v="6"/>
    <x v="1"/>
    <s v="Mojnu"/>
    <x v="0"/>
    <x v="15"/>
    <n v="5488"/>
    <s v="282"/>
    <n v="100"/>
  </r>
  <r>
    <x v="1"/>
    <x v="6"/>
    <x v="0"/>
    <s v="Mojnu"/>
    <x v="0"/>
    <x v="74"/>
    <n v="8542"/>
    <s v="283"/>
    <n v="100"/>
  </r>
  <r>
    <x v="1"/>
    <x v="6"/>
    <x v="3"/>
    <s v="Mojnu"/>
    <x v="0"/>
    <x v="75"/>
    <n v="2284"/>
    <s v="284"/>
    <n v="100"/>
  </r>
  <r>
    <x v="1"/>
    <x v="6"/>
    <x v="1"/>
    <s v="Shamim"/>
    <x v="1"/>
    <x v="15"/>
    <n v="5488"/>
    <s v="285"/>
    <n v="100"/>
  </r>
  <r>
    <x v="1"/>
    <x v="6"/>
    <x v="2"/>
    <s v="Shamim"/>
    <x v="1"/>
    <x v="56"/>
    <n v="1965"/>
    <s v="286"/>
    <n v="100"/>
  </r>
  <r>
    <x v="1"/>
    <x v="6"/>
    <x v="1"/>
    <s v="Shamim"/>
    <x v="1"/>
    <x v="15"/>
    <n v="5488"/>
    <s v="287"/>
    <n v="100"/>
  </r>
  <r>
    <x v="1"/>
    <x v="6"/>
    <x v="2"/>
    <s v="Shamim"/>
    <x v="1"/>
    <x v="56"/>
    <n v="1965"/>
    <s v="288"/>
    <n v="100"/>
  </r>
  <r>
    <x v="1"/>
    <x v="6"/>
    <x v="0"/>
    <s v="Fahim"/>
    <x v="2"/>
    <x v="69"/>
    <n v="5924"/>
    <s v="289"/>
    <n v="100"/>
  </r>
  <r>
    <x v="1"/>
    <x v="6"/>
    <x v="3"/>
    <s v="Fahim"/>
    <x v="2"/>
    <x v="67"/>
    <n v="4495"/>
    <s v="290"/>
    <n v="100"/>
  </r>
  <r>
    <x v="1"/>
    <x v="6"/>
    <x v="0"/>
    <s v="Fahim"/>
    <x v="2"/>
    <x v="69"/>
    <n v="5924"/>
    <s v="291"/>
    <n v="100"/>
  </r>
  <r>
    <x v="1"/>
    <x v="6"/>
    <x v="3"/>
    <s v="Fahim"/>
    <x v="2"/>
    <x v="67"/>
    <n v="4495"/>
    <s v="292"/>
    <n v="100"/>
  </r>
  <r>
    <x v="1"/>
    <x v="6"/>
    <x v="2"/>
    <s v="Pulkit"/>
    <x v="3"/>
    <x v="56"/>
    <n v="1965"/>
    <s v="293"/>
    <n v="100"/>
  </r>
  <r>
    <x v="1"/>
    <x v="6"/>
    <x v="0"/>
    <s v="Pulkit"/>
    <x v="3"/>
    <x v="76"/>
    <n v="1759"/>
    <s v="294"/>
    <n v="100"/>
  </r>
  <r>
    <x v="1"/>
    <x v="6"/>
    <x v="2"/>
    <s v="Pulkit"/>
    <x v="3"/>
    <x v="56"/>
    <n v="1965"/>
    <s v="295"/>
    <n v="100"/>
  </r>
  <r>
    <x v="1"/>
    <x v="6"/>
    <x v="0"/>
    <s v="Pulkit"/>
    <x v="3"/>
    <x v="76"/>
    <n v="1759"/>
    <s v="296"/>
    <n v="100"/>
  </r>
  <r>
    <x v="2"/>
    <x v="0"/>
    <x v="0"/>
    <s v="Mojnu"/>
    <x v="0"/>
    <x v="0"/>
    <n v="1197"/>
    <s v="297"/>
    <n v="100"/>
  </r>
  <r>
    <x v="2"/>
    <x v="0"/>
    <x v="0"/>
    <s v="Mojnu"/>
    <x v="0"/>
    <x v="1"/>
    <n v="7441"/>
    <s v="298"/>
    <n v="100"/>
  </r>
  <r>
    <x v="2"/>
    <x v="0"/>
    <x v="1"/>
    <s v="Mojnu"/>
    <x v="0"/>
    <x v="2"/>
    <n v="5562"/>
    <s v="299"/>
    <n v="100"/>
  </r>
  <r>
    <x v="2"/>
    <x v="0"/>
    <x v="0"/>
    <s v="Mojnu"/>
    <x v="0"/>
    <x v="0"/>
    <n v="1197"/>
    <s v="300"/>
    <n v="100"/>
  </r>
  <r>
    <x v="2"/>
    <x v="0"/>
    <x v="0"/>
    <s v="Mojnu"/>
    <x v="0"/>
    <x v="1"/>
    <n v="7441"/>
    <s v="301"/>
    <n v="100"/>
  </r>
  <r>
    <x v="2"/>
    <x v="0"/>
    <x v="1"/>
    <s v="Mojnu"/>
    <x v="0"/>
    <x v="2"/>
    <n v="5562"/>
    <s v="302"/>
    <n v="100"/>
  </r>
  <r>
    <x v="2"/>
    <x v="0"/>
    <x v="1"/>
    <s v="Shamim"/>
    <x v="1"/>
    <x v="5"/>
    <n v="9331"/>
    <s v="303"/>
    <n v="100"/>
  </r>
  <r>
    <x v="2"/>
    <x v="0"/>
    <x v="2"/>
    <s v="Shamim"/>
    <x v="1"/>
    <x v="4"/>
    <n v="5462"/>
    <s v="304"/>
    <n v="100"/>
  </r>
  <r>
    <x v="2"/>
    <x v="0"/>
    <x v="1"/>
    <s v="Shamim"/>
    <x v="1"/>
    <x v="5"/>
    <n v="9331"/>
    <s v="305"/>
    <n v="100"/>
  </r>
  <r>
    <x v="2"/>
    <x v="0"/>
    <x v="2"/>
    <s v="Shamim"/>
    <x v="1"/>
    <x v="4"/>
    <n v="5462"/>
    <s v="306"/>
    <n v="100"/>
  </r>
  <r>
    <x v="2"/>
    <x v="0"/>
    <x v="0"/>
    <s v="Fahim"/>
    <x v="2"/>
    <x v="6"/>
    <n v="5223"/>
    <s v="307"/>
    <n v="100"/>
  </r>
  <r>
    <x v="2"/>
    <x v="0"/>
    <x v="0"/>
    <s v="Fahim"/>
    <x v="2"/>
    <x v="7"/>
    <n v="4479"/>
    <s v="308"/>
    <n v="100"/>
  </r>
  <r>
    <x v="2"/>
    <x v="0"/>
    <x v="0"/>
    <s v="Fahim"/>
    <x v="2"/>
    <x v="6"/>
    <n v="5223"/>
    <s v="309"/>
    <n v="100"/>
  </r>
  <r>
    <x v="2"/>
    <x v="0"/>
    <x v="0"/>
    <s v="Fahim"/>
    <x v="2"/>
    <x v="7"/>
    <n v="4479"/>
    <s v="310"/>
    <n v="100"/>
  </r>
  <r>
    <x v="2"/>
    <x v="0"/>
    <x v="3"/>
    <s v="Pulkit"/>
    <x v="3"/>
    <x v="9"/>
    <n v="1969"/>
    <s v="311"/>
    <n v="100"/>
  </r>
  <r>
    <x v="2"/>
    <x v="0"/>
    <x v="3"/>
    <s v="Pulkit"/>
    <x v="3"/>
    <x v="9"/>
    <n v="1969"/>
    <s v="312"/>
    <n v="100"/>
  </r>
  <r>
    <x v="2"/>
    <x v="0"/>
    <x v="1"/>
    <s v="Nila"/>
    <x v="1"/>
    <x v="5"/>
    <n v="9331"/>
    <s v="313"/>
    <n v="100"/>
  </r>
  <r>
    <x v="2"/>
    <x v="0"/>
    <x v="2"/>
    <s v="Nila"/>
    <x v="1"/>
    <x v="4"/>
    <n v="5462"/>
    <s v="314"/>
    <n v="100"/>
  </r>
  <r>
    <x v="2"/>
    <x v="0"/>
    <x v="1"/>
    <s v="Nila"/>
    <x v="1"/>
    <x v="5"/>
    <n v="9331"/>
    <s v="315"/>
    <n v="100"/>
  </r>
  <r>
    <x v="2"/>
    <x v="0"/>
    <x v="2"/>
    <s v="Nila"/>
    <x v="1"/>
    <x v="4"/>
    <n v="5462"/>
    <s v="316"/>
    <n v="1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F5F6E1-0350-4093-84BB-DD287EC945FE}" name="Prd_Sales" cacheId="37" applyNumberFormats="0" applyBorderFormats="0" applyFontFormats="0" applyPatternFormats="0" applyAlignmentFormats="0" applyWidthHeightFormats="1" dataCaption="Values" updatedVersion="8" minRefreshableVersion="3" itemPrintTitles="1" createdVersion="8" indent="0" compact="0" outline="1" outlineData="1" compactData="0" multipleFieldFilters="0">
  <location ref="A3:D11" firstHeaderRow="0" firstDataRow="1" firstDataCol="1"/>
  <pivotFields count="9">
    <pivotField compact="0" showAll="0" defaultSubtotal="0">
      <items count="3">
        <item x="0"/>
        <item x="1"/>
        <item x="2"/>
      </items>
      <extLst>
        <ext xmlns:x14="http://schemas.microsoft.com/office/spreadsheetml/2009/9/main" uri="{2946ED86-A175-432a-8AC1-64E0C546D7DE}">
          <x14:pivotField fillDownLabels="1"/>
        </ext>
      </extLst>
    </pivotField>
    <pivotField axis="axisRow" compact="0" multipleItemSelectionAllowed="1"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showAll="0" defaultSubtotal="0">
      <items count="4">
        <item x="3"/>
        <item x="0"/>
        <item x="2"/>
        <item x="1"/>
      </items>
      <extLst>
        <ext xmlns:x14="http://schemas.microsoft.com/office/spreadsheetml/2009/9/main" uri="{2946ED86-A175-432a-8AC1-64E0C546D7DE}">
          <x14:pivotField fillDownLabels="1"/>
        </ext>
      </extLst>
    </pivotField>
    <pivotField compact="0" showAll="0" defaultSubtotal="0">
      <extLst>
        <ext xmlns:x14="http://schemas.microsoft.com/office/spreadsheetml/2009/9/main" uri="{2946ED86-A175-432a-8AC1-64E0C546D7DE}">
          <x14:pivotField fillDownLabels="1"/>
        </ext>
      </extLst>
    </pivotField>
    <pivotField compact="0" multipleItemSelectionAllowed="1" showAll="0" defaultSubtotal="0">
      <items count="4">
        <item x="1"/>
        <item x="0"/>
        <item x="2"/>
        <item x="3"/>
      </items>
      <extLst>
        <ext xmlns:x14="http://schemas.microsoft.com/office/spreadsheetml/2009/9/main" uri="{2946ED86-A175-432a-8AC1-64E0C546D7DE}">
          <x14:pivotField fillDownLabels="1"/>
        </ext>
      </extLst>
    </pivotField>
    <pivotField dataField="1" compact="0" numFmtId="43" showAll="0" defaultSubtotal="0">
      <items count="77">
        <item x="27"/>
        <item x="58"/>
        <item x="36"/>
        <item x="22"/>
        <item x="66"/>
        <item x="54"/>
        <item x="26"/>
        <item x="57"/>
        <item x="33"/>
        <item x="29"/>
        <item x="64"/>
        <item x="60"/>
        <item x="0"/>
        <item x="44"/>
        <item x="50"/>
        <item x="24"/>
        <item x="16"/>
        <item x="71"/>
        <item x="76"/>
        <item x="43"/>
        <item x="49"/>
        <item x="56"/>
        <item x="9"/>
        <item x="14"/>
        <item x="75"/>
        <item x="23"/>
        <item x="6"/>
        <item x="10"/>
        <item x="55"/>
        <item x="8"/>
        <item x="30"/>
        <item x="32"/>
        <item x="39"/>
        <item x="37"/>
        <item x="38"/>
        <item x="20"/>
        <item x="61"/>
        <item x="41"/>
        <item x="63"/>
        <item x="7"/>
        <item x="34"/>
        <item x="67"/>
        <item x="68"/>
        <item x="47"/>
        <item x="52"/>
        <item x="40"/>
        <item x="4"/>
        <item x="15"/>
        <item x="2"/>
        <item x="42"/>
        <item x="18"/>
        <item x="69"/>
        <item x="31"/>
        <item x="35"/>
        <item x="45"/>
        <item x="70"/>
        <item x="46"/>
        <item x="11"/>
        <item x="48"/>
        <item x="19"/>
        <item x="1"/>
        <item x="62"/>
        <item x="65"/>
        <item x="28"/>
        <item x="25"/>
        <item x="21"/>
        <item x="17"/>
        <item x="72"/>
        <item x="73"/>
        <item x="74"/>
        <item x="12"/>
        <item x="13"/>
        <item x="59"/>
        <item x="5"/>
        <item x="53"/>
        <item x="51"/>
        <item x="3"/>
      </items>
      <extLst>
        <ext xmlns:x14="http://schemas.microsoft.com/office/spreadsheetml/2009/9/main" uri="{2946ED86-A175-432a-8AC1-64E0C546D7DE}">
          <x14:pivotField fillDownLabels="1"/>
        </ext>
      </extLst>
    </pivotField>
    <pivotField dataField="1" compact="0" showAll="0" defaultSubtotal="0">
      <extLst>
        <ext xmlns:x14="http://schemas.microsoft.com/office/spreadsheetml/2009/9/main" uri="{2946ED86-A175-432a-8AC1-64E0C546D7DE}">
          <x14:pivotField fillDownLabels="1"/>
        </ext>
      </extLst>
    </pivotField>
    <pivotField compact="0" showAll="0" defaultSubtotal="0">
      <extLst>
        <ext xmlns:x14="http://schemas.microsoft.com/office/spreadsheetml/2009/9/main" uri="{2946ED86-A175-432a-8AC1-64E0C546D7DE}">
          <x14:pivotField fillDownLabels="1"/>
        </ext>
      </extLst>
    </pivotField>
    <pivotField dataField="1" compact="0" subtotalTop="0" showAll="0" defaultSubtotal="0">
      <extLst>
        <ext xmlns:x14="http://schemas.microsoft.com/office/spreadsheetml/2009/9/main" uri="{2946ED86-A175-432a-8AC1-64E0C546D7DE}">
          <x14:pivotField fillDownLabels="1"/>
        </ext>
      </extLst>
    </pivotField>
  </pivotFields>
  <rowFields count="1">
    <field x="1"/>
  </rowFields>
  <rowItems count="8">
    <i>
      <x/>
    </i>
    <i>
      <x v="1"/>
    </i>
    <i>
      <x v="2"/>
    </i>
    <i>
      <x v="3"/>
    </i>
    <i>
      <x v="4"/>
    </i>
    <i>
      <x v="5"/>
    </i>
    <i>
      <x v="6"/>
    </i>
    <i t="grand">
      <x/>
    </i>
  </rowItems>
  <colFields count="1">
    <field x="-2"/>
  </colFields>
  <colItems count="3">
    <i>
      <x/>
    </i>
    <i i="1">
      <x v="1"/>
    </i>
    <i i="2">
      <x v="2"/>
    </i>
  </colItems>
  <dataFields count="3">
    <dataField name="Sum of Sales Value" fld="5" baseField="0" baseItem="0" numFmtId="43"/>
    <dataField name="Sum of Units" fld="6" baseField="0" baseItem="0"/>
    <dataField name="Sum of Cost" fld="8" baseField="0" baseItem="0"/>
  </dataField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358A62-A1FC-40E6-A6C7-74E43CB6E842}" name="PivotTable6"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5:L10" firstHeaderRow="1" firstDataRow="1" firstDataCol="1"/>
  <pivotFields count="9">
    <pivotField showAll="0"/>
    <pivotField showAll="0"/>
    <pivotField showAll="0"/>
    <pivotField showAll="0"/>
    <pivotField axis="axisRow" showAll="0">
      <items count="5">
        <item x="1"/>
        <item x="0"/>
        <item x="2"/>
        <item x="3"/>
        <item t="default"/>
      </items>
    </pivotField>
    <pivotField dataField="1" numFmtId="43" showAll="0"/>
    <pivotField showAll="0"/>
    <pivotField showAll="0"/>
    <pivotField showAll="0"/>
  </pivotFields>
  <rowFields count="1">
    <field x="4"/>
  </rowFields>
  <rowItems count="5">
    <i>
      <x/>
    </i>
    <i>
      <x v="1"/>
    </i>
    <i>
      <x v="2"/>
    </i>
    <i>
      <x v="3"/>
    </i>
    <i t="grand">
      <x/>
    </i>
  </rowItems>
  <colItems count="1">
    <i/>
  </colItems>
  <dataFields count="1">
    <dataField name="Sum of Sales Value" fld="5" baseField="0" baseItem="0" numFmtId="4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AD31D50-228D-4ED4-A8DC-0D668A84B930}" sourceName="Year">
  <pivotTables>
    <pivotTable tabId="14" name="Prd_Sales"/>
  </pivotTables>
  <data>
    <tabular pivotCacheId="1147159877">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3A7ED22-DD32-4667-95FE-BAE2AE745BDB}" sourceName="Month">
  <pivotTables>
    <pivotTable tabId="14" name="Prd_Sales"/>
  </pivotTables>
  <data>
    <tabular pivotCacheId="1147159877">
      <items count="7">
        <i x="0" s="1"/>
        <i x="1" s="1"/>
        <i x="2" s="1"/>
        <i x="3" s="1"/>
        <i x="4" s="1"/>
        <i x="5"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43F3C66C-A866-49CC-A349-4D6E930F0AF3}" cache="Slicer_Year" caption="Year" rowHeight="234950"/>
  <slicer name="Month" xr10:uid="{011772E4-0C23-4742-8FFE-804405E31591}" cache="Slicer_Month" caption="Month"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8AC76E-925D-4AE9-A07F-1D3A643FB5DF}" name="Sales" displayName="Sales" ref="A4:I320" totalsRowShown="0" headerRowDxfId="5" headerRowBorderDxfId="15" tableBorderDxfId="16" totalsRowBorderDxfId="14" headerRowCellStyle="Normal_EXCEL3-2">
  <autoFilter ref="A4:I320" xr:uid="{178AC76E-925D-4AE9-A07F-1D3A643FB5DF}"/>
  <tableColumns count="9">
    <tableColumn id="1" xr3:uid="{41A12C24-F54F-4473-AFFB-83E378D4EB38}" name="Year" dataDxfId="13" dataCellStyle="Normal_EXCEL3-2"/>
    <tableColumn id="2" xr3:uid="{1452B043-A1EA-4926-A676-406414AB1312}" name="Month" dataDxfId="12" dataCellStyle="Normal_EXCEL3-2"/>
    <tableColumn id="3" xr3:uid="{38050BB3-68BA-44EC-BA1C-76DAF72F6D95}" name="Product Name" dataDxfId="11" dataCellStyle="Normal_EXCEL3-2"/>
    <tableColumn id="4" xr3:uid="{F7AF2322-483D-4214-8C6F-20E93E1FF357}" name="Salespersons_x000a_ Name" dataDxfId="10" dataCellStyle="Normal_EXCEL3-2"/>
    <tableColumn id="5" xr3:uid="{29C86BAB-3859-4B5E-B872-DCA31363B0F1}" name="Location" dataDxfId="9" dataCellStyle="Normal_EXCEL3-2"/>
    <tableColumn id="6" xr3:uid="{D2EA3D05-80A6-4A6C-BEE8-10A3FACEB705}" name="Sales Value" dataDxfId="8" dataCellStyle="Comma"/>
    <tableColumn id="7" xr3:uid="{0D89D450-D9F0-4765-9776-58B67105CE1A}" name="Units" dataDxfId="7" dataCellStyle="Normal_EXCEL3-2"/>
    <tableColumn id="8" xr3:uid="{711EF12D-52AA-43CD-B214-B4F2B2E43B1C}" name="Order #" dataDxfId="6" dataCellStyle="Normal_EXCEL3-2"/>
    <tableColumn id="10" xr3:uid="{46F428A4-37EC-4E13-983C-A02084F6E413}" name="Cos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 Id="rId6" Type="http://schemas.microsoft.com/office/2011/relationships/webextension" Target="webextension6.xml"/><Relationship Id="rId5" Type="http://schemas.microsoft.com/office/2011/relationships/webextension" Target="webextension5.xml"/><Relationship Id="rId4" Type="http://schemas.microsoft.com/office/2011/relationships/webextension" Target="webextension4.xml"/></Relationships>
</file>

<file path=xl/webextensions/taskpanes.xml><?xml version="1.0" encoding="utf-8"?>
<wetp:taskpanes xmlns:wetp="http://schemas.microsoft.com/office/webextensions/taskpanes/2010/11">
  <wetp:taskpane dockstate="right" visibility="0" width="438" row="12">
    <wetp:webextensionref xmlns:r="http://schemas.openxmlformats.org/officeDocument/2006/relationships" r:id="rId1"/>
  </wetp:taskpane>
  <wetp:taskpane dockstate="right" visibility="0" width="438" row="10">
    <wetp:webextensionref xmlns:r="http://schemas.openxmlformats.org/officeDocument/2006/relationships" r:id="rId2"/>
  </wetp:taskpane>
  <wetp:taskpane dockstate="right" visibility="0" width="438" row="11">
    <wetp:webextensionref xmlns:r="http://schemas.openxmlformats.org/officeDocument/2006/relationships" r:id="rId3"/>
  </wetp:taskpane>
  <wetp:taskpane dockstate="right" visibility="0" width="438" row="12">
    <wetp:webextensionref xmlns:r="http://schemas.openxmlformats.org/officeDocument/2006/relationships" r:id="rId4"/>
  </wetp:taskpane>
  <wetp:taskpane dockstate="right" visibility="0" width="438" row="12">
    <wetp:webextensionref xmlns:r="http://schemas.openxmlformats.org/officeDocument/2006/relationships" r:id="rId5"/>
  </wetp:taskpane>
  <wetp:taskpane dockstate="right" visibility="0" width="438" row="13">
    <wetp:webextensionref xmlns:r="http://schemas.openxmlformats.org/officeDocument/2006/relationships" r:id="rId6"/>
  </wetp:taskpane>
</wetp:taskpanes>
</file>

<file path=xl/webextensions/webextension1.xml><?xml version="1.0" encoding="utf-8"?>
<we:webextension xmlns:we="http://schemas.microsoft.com/office/webextensions/webextension/2010/11" id="{689920E7-696A-43AB-92E3-4ABE1330480A}">
  <we:reference id="WA200005669" version="2.0.0.0" store="Omex" storeType="OMEX"/>
  <we:alternateReferences>
    <we:reference id="WA200005669" version="2.0.0.0" store="WA200005669" storeType="OMEX"/>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CA23618E-3F4A-4297-9223-DB332061BF71}">
  <we:reference id="wa200005271" version="2.5.5.0" store="en-US" storeType="OMEX"/>
  <we:alternateReferences>
    <we:reference id="WA200005271" version="2.5.5.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s>_xldudf_AI_WEB</we:customFunctionIds>
      </we:customFunctionIdList>
    </a:ext>
  </we:extLst>
</we:webextension>
</file>

<file path=xl/webextensions/webextension3.xml><?xml version="1.0" encoding="utf-8"?>
<we:webextension xmlns:we="http://schemas.microsoft.com/office/webextensions/webextension/2010/11" id="{516E6113-E905-46FB-8B2E-A544A1C6C5CA}">
  <we:reference id="wa200005502" version="1.0.0.13" store="en-US" storeType="OMEX"/>
  <we:alternateReferences>
    <we:reference id="WA200005502" version="1.0.0.13" store="WA200005502" storeType="OMEX"/>
  </we:alternateReferences>
  <we:properties>
    <we:property name="docId" value="&quot;oFqqd3bSG2iykIbU9MG08&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4.xml><?xml version="1.0" encoding="utf-8"?>
<we:webextension xmlns:we="http://schemas.microsoft.com/office/webextensions/webextension/2010/11" id="{9817D2E8-161B-4B69-9F8F-1E898D4E8CE7}">
  <we:reference id="wa200009404" version="1.0.0.8" store="en-US" storeType="OMEX"/>
  <we:alternateReferences>
    <we:reference id="WA200009404" version="1.0.0.8" store="WA200009404" storeType="OMEX"/>
  </we:alternateReferences>
  <we:properties>
    <we:property name="claude.fileId" value="&quot;144ab488-0fb7-4670-a477-bec88bc985f3&quot;"/>
  </we:properties>
  <we:bindings/>
  <we:snapshot xmlns:r="http://schemas.openxmlformats.org/officeDocument/2006/relationships"/>
</we:webextension>
</file>

<file path=xl/webextensions/webextension5.xml><?xml version="1.0" encoding="utf-8"?>
<we:webextension xmlns:we="http://schemas.microsoft.com/office/webextensions/webextension/2010/11" id="{9A066658-7DAF-4989-BC81-DFB641C5D28E}">
  <we:reference id="wa200010102" version="1.1.0.1" store="en-US" storeType="OMEX"/>
  <we:alternateReferences>
    <we:reference id="WA200010102" version="1.1.0.1" store="WA200010102" storeType="OMEX"/>
  </we:alternateReferences>
  <we:properties>
    <we:property name="o11_document_id" value="&quot;957dafd7-4242-42c1-9c3c-b255a6c41fe5&quot;"/>
  </we:properties>
  <we:bindings/>
  <we:snapshot xmlns:r="http://schemas.openxmlformats.org/officeDocument/2006/relationships"/>
</we:webextension>
</file>

<file path=xl/webextensions/webextension6.xml><?xml version="1.0" encoding="utf-8"?>
<we:webextension xmlns:we="http://schemas.microsoft.com/office/webextensions/webextension/2010/11" id="{4387E2E0-B2F3-4742-9B9A-6489B28C6C31}">
  <we:reference id="wa200006007" version="1.2.3.0" store="en-US" storeType="OMEX"/>
  <we:alternateReferences>
    <we:reference id="WA200006007" version="1.2.3.0" store="WA200006007"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_xldudf_COPILOTR2</we:customFunctionIds>
      </we:customFunctionIdList>
    </a:ext>
  </we:extLst>
</we:webextension>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B33C5-46E0-42FE-9411-5941989C5BD4}">
  <dimension ref="B1:I12"/>
  <sheetViews>
    <sheetView workbookViewId="0">
      <selection activeCell="B4" sqref="B4:B7"/>
    </sheetView>
  </sheetViews>
  <sheetFormatPr defaultRowHeight="14.4" x14ac:dyDescent="0.3"/>
  <cols>
    <col min="1" max="1" width="8.88671875" style="2"/>
    <col min="2" max="2" width="65.5546875" style="2" bestFit="1" customWidth="1"/>
    <col min="3" max="3" width="12.33203125" style="2" customWidth="1"/>
    <col min="4" max="8" width="8.88671875" style="2"/>
    <col min="9" max="9" width="40.33203125" style="2" customWidth="1"/>
    <col min="10" max="16384" width="8.88671875" style="2"/>
  </cols>
  <sheetData>
    <row r="1" spans="2:9" ht="23.4" x14ac:dyDescent="0.3">
      <c r="B1" s="39" t="s">
        <v>23</v>
      </c>
      <c r="C1" s="39"/>
    </row>
    <row r="2" spans="2:9" ht="21" x14ac:dyDescent="0.3">
      <c r="B2" s="3" t="s">
        <v>15</v>
      </c>
      <c r="C2" s="3" t="s">
        <v>16</v>
      </c>
    </row>
    <row r="3" spans="2:9" ht="21" x14ac:dyDescent="0.3">
      <c r="B3" s="4" t="s">
        <v>24</v>
      </c>
      <c r="C3" s="5" t="s">
        <v>382</v>
      </c>
    </row>
    <row r="4" spans="2:9" ht="21" x14ac:dyDescent="0.3">
      <c r="B4" s="4" t="s">
        <v>25</v>
      </c>
      <c r="C4" s="5"/>
      <c r="I4" s="6"/>
    </row>
    <row r="5" spans="2:9" ht="42" x14ac:dyDescent="0.3">
      <c r="B5" s="4" t="s">
        <v>26</v>
      </c>
      <c r="C5" s="5"/>
      <c r="I5" s="7"/>
    </row>
    <row r="6" spans="2:9" ht="42" x14ac:dyDescent="0.3">
      <c r="B6" s="4" t="s">
        <v>27</v>
      </c>
      <c r="C6" s="5"/>
      <c r="I6" s="7"/>
    </row>
    <row r="7" spans="2:9" ht="21" x14ac:dyDescent="0.3">
      <c r="B7" s="4" t="s">
        <v>28</v>
      </c>
      <c r="C7" s="5"/>
    </row>
    <row r="8" spans="2:9" ht="21" x14ac:dyDescent="0.3">
      <c r="B8" s="8"/>
      <c r="C8" s="5"/>
    </row>
    <row r="9" spans="2:9" ht="21" x14ac:dyDescent="0.3">
      <c r="B9" s="8"/>
      <c r="C9" s="5"/>
    </row>
    <row r="10" spans="2:9" ht="21" x14ac:dyDescent="0.3">
      <c r="C10" s="5"/>
    </row>
    <row r="12" spans="2:9" ht="21" x14ac:dyDescent="0.3">
      <c r="C12" s="6"/>
      <c r="D12" s="7"/>
      <c r="E12" s="7"/>
    </row>
  </sheetData>
  <mergeCells count="1">
    <mergeCell ref="B1:C1"/>
  </mergeCells>
  <conditionalFormatting sqref="B9">
    <cfRule type="expression" dxfId="4" priority="7">
      <formula>#REF!="Done"</formula>
    </cfRule>
  </conditionalFormatting>
  <conditionalFormatting sqref="B3:C8">
    <cfRule type="expression" dxfId="3" priority="2">
      <formula>$C3="Done"</formula>
    </cfRule>
  </conditionalFormatting>
  <conditionalFormatting sqref="C9:C10">
    <cfRule type="expression" dxfId="2" priority="5">
      <formula>$D9="Done"</formula>
    </cfRule>
  </conditionalFormatting>
  <conditionalFormatting sqref="C12">
    <cfRule type="expression" dxfId="1" priority="3">
      <formula>$D12="Done"</formula>
    </cfRule>
  </conditionalFormatting>
  <conditionalFormatting sqref="I4">
    <cfRule type="expression" dxfId="0" priority="1">
      <formula>$D4="Done"</formula>
    </cfRule>
  </conditionalFormatting>
  <dataValidations count="1">
    <dataValidation type="list" allowBlank="1" showInputMessage="1" showErrorMessage="1" sqref="C3:C10" xr:uid="{3F84AB3E-8A46-457F-8138-E5637CC2E5B3}">
      <formula1>"Done, Not Done"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D6FB1-F99B-43F9-A529-30157BB88E50}">
  <dimension ref="A1:D20"/>
  <sheetViews>
    <sheetView tabSelected="1" topLeftCell="A9" zoomScale="160" zoomScaleNormal="160" workbookViewId="0">
      <selection activeCell="B20" sqref="B20"/>
    </sheetView>
  </sheetViews>
  <sheetFormatPr defaultRowHeight="14.4" x14ac:dyDescent="0.3"/>
  <cols>
    <col min="1" max="1" width="20.44140625" customWidth="1"/>
    <col min="2" max="2" width="10" bestFit="1" customWidth="1"/>
    <col min="4" max="4" width="17.77734375" bestFit="1" customWidth="1"/>
  </cols>
  <sheetData>
    <row r="1" spans="1:4" ht="15" thickBot="1" x14ac:dyDescent="0.35">
      <c r="A1" s="35" t="s">
        <v>376</v>
      </c>
    </row>
    <row r="2" spans="1:4" x14ac:dyDescent="0.3">
      <c r="A2" s="23" t="s">
        <v>368</v>
      </c>
      <c r="B2" s="24">
        <v>207303.23616414602</v>
      </c>
      <c r="C2" s="25"/>
      <c r="D2" s="26" t="s">
        <v>369</v>
      </c>
    </row>
    <row r="3" spans="1:4" ht="15" thickBot="1" x14ac:dyDescent="0.35">
      <c r="A3" s="23" t="s">
        <v>370</v>
      </c>
      <c r="B3" s="27">
        <v>0.08</v>
      </c>
      <c r="C3" s="25"/>
      <c r="D3" s="28">
        <f>-PMT(B3/12,B4,B2)</f>
        <v>1600</v>
      </c>
    </row>
    <row r="4" spans="1:4" x14ac:dyDescent="0.3">
      <c r="A4" s="23" t="s">
        <v>371</v>
      </c>
      <c r="B4" s="29">
        <v>300</v>
      </c>
      <c r="C4" s="25"/>
      <c r="D4" s="25"/>
    </row>
    <row r="7" spans="1:4" x14ac:dyDescent="0.3">
      <c r="A7" s="35" t="s">
        <v>378</v>
      </c>
    </row>
    <row r="8" spans="1:4" x14ac:dyDescent="0.3">
      <c r="A8" s="30" t="s">
        <v>372</v>
      </c>
      <c r="B8" s="30" t="s">
        <v>373</v>
      </c>
      <c r="C8" s="30" t="s">
        <v>374</v>
      </c>
      <c r="D8" s="30" t="s">
        <v>375</v>
      </c>
    </row>
    <row r="9" spans="1:4" x14ac:dyDescent="0.3">
      <c r="A9" s="31">
        <v>40</v>
      </c>
      <c r="B9" s="31">
        <v>130</v>
      </c>
      <c r="C9" s="31">
        <v>30</v>
      </c>
      <c r="D9" s="32">
        <f>SUM(A9:C9)</f>
        <v>200</v>
      </c>
    </row>
    <row r="12" spans="1:4" x14ac:dyDescent="0.3">
      <c r="A12" s="35" t="s">
        <v>377</v>
      </c>
    </row>
    <row r="13" spans="1:4" x14ac:dyDescent="0.3">
      <c r="A13" s="30" t="s">
        <v>0</v>
      </c>
      <c r="B13" s="30" t="s">
        <v>379</v>
      </c>
      <c r="D13" s="30" t="s">
        <v>380</v>
      </c>
    </row>
    <row r="14" spans="1:4" x14ac:dyDescent="0.3">
      <c r="A14" s="31" t="s">
        <v>10</v>
      </c>
      <c r="B14" s="33">
        <v>45</v>
      </c>
      <c r="D14" s="32">
        <f>SUM(B14:B20)</f>
        <v>293</v>
      </c>
    </row>
    <row r="15" spans="1:4" x14ac:dyDescent="0.3">
      <c r="A15" s="1" t="s">
        <v>7</v>
      </c>
      <c r="B15" s="34">
        <v>73</v>
      </c>
    </row>
    <row r="16" spans="1:4" x14ac:dyDescent="0.3">
      <c r="A16" s="1" t="s">
        <v>14</v>
      </c>
      <c r="B16" s="34"/>
      <c r="D16" s="30" t="s">
        <v>381</v>
      </c>
    </row>
    <row r="17" spans="1:4" x14ac:dyDescent="0.3">
      <c r="A17" s="1" t="s">
        <v>12</v>
      </c>
      <c r="B17" s="34">
        <v>67</v>
      </c>
      <c r="D17" s="32">
        <f>AVERAGE(B14:B20)</f>
        <v>58.6</v>
      </c>
    </row>
    <row r="18" spans="1:4" x14ac:dyDescent="0.3">
      <c r="A18" s="1" t="s">
        <v>5</v>
      </c>
      <c r="B18" s="34">
        <v>45</v>
      </c>
      <c r="D18" s="40"/>
    </row>
    <row r="19" spans="1:4" x14ac:dyDescent="0.3">
      <c r="A19" s="1" t="s">
        <v>3</v>
      </c>
      <c r="B19" s="34">
        <v>63</v>
      </c>
      <c r="D19" s="32"/>
    </row>
    <row r="20" spans="1:4" x14ac:dyDescent="0.3">
      <c r="A20" s="1" t="s">
        <v>9</v>
      </c>
      <c r="B20" s="36"/>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9059C-A8F4-427A-87FF-04A42A7DB09B}">
  <dimension ref="A1:N82"/>
  <sheetViews>
    <sheetView zoomScale="115" zoomScaleNormal="115" workbookViewId="0">
      <selection activeCell="B7" sqref="B7"/>
    </sheetView>
  </sheetViews>
  <sheetFormatPr defaultRowHeight="14.4" x14ac:dyDescent="0.3"/>
  <cols>
    <col min="1" max="1" width="18.109375" customWidth="1"/>
    <col min="2" max="2" width="21.77734375" style="32" customWidth="1"/>
    <col min="3" max="3" width="18" customWidth="1"/>
    <col min="4" max="4" width="11.5546875" bestFit="1" customWidth="1"/>
    <col min="5" max="5" width="11.44140625" bestFit="1" customWidth="1"/>
    <col min="6" max="7" width="13.109375" bestFit="1" customWidth="1"/>
  </cols>
  <sheetData>
    <row r="1" spans="1:14" x14ac:dyDescent="0.3">
      <c r="B1"/>
    </row>
    <row r="3" spans="1:14" x14ac:dyDescent="0.3">
      <c r="A3" s="49" t="s">
        <v>0</v>
      </c>
      <c r="B3" t="s">
        <v>385</v>
      </c>
      <c r="C3" t="s">
        <v>386</v>
      </c>
      <c r="D3" t="s">
        <v>389</v>
      </c>
    </row>
    <row r="4" spans="1:14" x14ac:dyDescent="0.3">
      <c r="A4" t="s">
        <v>35</v>
      </c>
      <c r="B4" s="40">
        <v>587739.5</v>
      </c>
      <c r="C4" s="51">
        <v>332742</v>
      </c>
      <c r="D4" s="51">
        <v>6000</v>
      </c>
      <c r="I4" s="46"/>
      <c r="J4" s="47"/>
      <c r="K4" s="47"/>
      <c r="L4" s="47"/>
      <c r="M4" s="47"/>
      <c r="N4" s="47"/>
    </row>
    <row r="5" spans="1:14" x14ac:dyDescent="0.3">
      <c r="A5" t="s">
        <v>65</v>
      </c>
      <c r="B5" s="40">
        <v>379654.75</v>
      </c>
      <c r="C5" s="51">
        <v>222520</v>
      </c>
      <c r="D5" s="51">
        <v>3600</v>
      </c>
      <c r="I5" s="46"/>
      <c r="J5" s="47"/>
      <c r="K5" s="47"/>
      <c r="L5" s="47"/>
      <c r="M5" s="47"/>
      <c r="N5" s="47"/>
    </row>
    <row r="6" spans="1:14" x14ac:dyDescent="0.3">
      <c r="A6" t="s">
        <v>84</v>
      </c>
      <c r="B6" s="40">
        <v>315698.5</v>
      </c>
      <c r="C6" s="51">
        <v>184508</v>
      </c>
      <c r="D6" s="51">
        <v>4000</v>
      </c>
      <c r="I6" s="46"/>
      <c r="J6" s="48"/>
      <c r="K6" s="48"/>
      <c r="L6" s="48"/>
      <c r="M6" s="48"/>
      <c r="N6" s="48"/>
    </row>
    <row r="7" spans="1:14" x14ac:dyDescent="0.3">
      <c r="A7" t="s">
        <v>105</v>
      </c>
      <c r="B7" s="40">
        <v>484424</v>
      </c>
      <c r="C7" s="51">
        <v>284672</v>
      </c>
      <c r="D7" s="51">
        <v>6000</v>
      </c>
      <c r="I7" s="46"/>
      <c r="J7" s="48"/>
      <c r="K7" s="48"/>
      <c r="L7" s="48"/>
      <c r="M7" s="48"/>
      <c r="N7" s="48"/>
    </row>
    <row r="8" spans="1:14" x14ac:dyDescent="0.3">
      <c r="A8" t="s">
        <v>136</v>
      </c>
      <c r="B8" s="40">
        <v>327954</v>
      </c>
      <c r="C8" s="51">
        <v>188912</v>
      </c>
      <c r="D8" s="51">
        <v>4400</v>
      </c>
      <c r="I8" s="46"/>
      <c r="J8" s="48"/>
      <c r="K8" s="48"/>
      <c r="L8" s="48"/>
      <c r="M8" s="48"/>
      <c r="N8" s="48"/>
    </row>
    <row r="9" spans="1:14" x14ac:dyDescent="0.3">
      <c r="A9" t="s">
        <v>159</v>
      </c>
      <c r="B9" s="40">
        <v>288810.5</v>
      </c>
      <c r="C9" s="51">
        <v>175916</v>
      </c>
      <c r="D9" s="51">
        <v>4000</v>
      </c>
      <c r="I9" s="46"/>
      <c r="J9" s="48"/>
      <c r="K9" s="48"/>
      <c r="L9" s="48"/>
      <c r="M9" s="48"/>
      <c r="N9" s="48"/>
    </row>
    <row r="10" spans="1:14" x14ac:dyDescent="0.3">
      <c r="A10" t="s">
        <v>180</v>
      </c>
      <c r="B10" s="40">
        <v>264305</v>
      </c>
      <c r="C10" s="51">
        <v>151640</v>
      </c>
      <c r="D10" s="51">
        <v>3600</v>
      </c>
      <c r="I10" s="46"/>
      <c r="J10" s="48"/>
      <c r="K10" s="48"/>
      <c r="L10" s="48"/>
      <c r="M10" s="48"/>
      <c r="N10" s="48"/>
    </row>
    <row r="11" spans="1:14" x14ac:dyDescent="0.3">
      <c r="A11" t="s">
        <v>384</v>
      </c>
      <c r="B11" s="40">
        <v>2648586.25</v>
      </c>
      <c r="C11" s="51">
        <v>1540910</v>
      </c>
      <c r="D11" s="51">
        <v>31600</v>
      </c>
      <c r="I11" s="46"/>
      <c r="J11" s="48"/>
      <c r="K11" s="48"/>
      <c r="L11" s="48"/>
      <c r="M11" s="48"/>
      <c r="N11" s="48"/>
    </row>
    <row r="12" spans="1:14" x14ac:dyDescent="0.3">
      <c r="B12"/>
      <c r="I12" s="46"/>
      <c r="J12" s="48"/>
      <c r="K12" s="48"/>
      <c r="L12" s="48"/>
      <c r="M12" s="48"/>
      <c r="N12" s="48"/>
    </row>
    <row r="13" spans="1:14" x14ac:dyDescent="0.3">
      <c r="B13"/>
      <c r="I13" s="46"/>
      <c r="J13" s="48"/>
      <c r="K13" s="48"/>
      <c r="L13" s="48"/>
      <c r="M13" s="48"/>
      <c r="N13" s="48"/>
    </row>
    <row r="14" spans="1:14" x14ac:dyDescent="0.3">
      <c r="B14"/>
    </row>
    <row r="15" spans="1:14" x14ac:dyDescent="0.3">
      <c r="B15"/>
    </row>
    <row r="16" spans="1:14" x14ac:dyDescent="0.3">
      <c r="B16"/>
    </row>
    <row r="17" spans="2:2" x14ac:dyDescent="0.3">
      <c r="B17"/>
    </row>
    <row r="18" spans="2:2" x14ac:dyDescent="0.3">
      <c r="B18"/>
    </row>
    <row r="19" spans="2:2" x14ac:dyDescent="0.3">
      <c r="B19"/>
    </row>
    <row r="20" spans="2:2" x14ac:dyDescent="0.3">
      <c r="B20"/>
    </row>
    <row r="21" spans="2:2" x14ac:dyDescent="0.3">
      <c r="B21"/>
    </row>
    <row r="22" spans="2:2" x14ac:dyDescent="0.3">
      <c r="B22"/>
    </row>
    <row r="23" spans="2:2" x14ac:dyDescent="0.3">
      <c r="B23"/>
    </row>
    <row r="24" spans="2:2" x14ac:dyDescent="0.3">
      <c r="B24"/>
    </row>
    <row r="25" spans="2:2" x14ac:dyDescent="0.3">
      <c r="B25"/>
    </row>
    <row r="26" spans="2:2" x14ac:dyDescent="0.3">
      <c r="B26"/>
    </row>
    <row r="27" spans="2:2" x14ac:dyDescent="0.3">
      <c r="B27"/>
    </row>
    <row r="28" spans="2:2" x14ac:dyDescent="0.3">
      <c r="B28"/>
    </row>
    <row r="29" spans="2:2" x14ac:dyDescent="0.3">
      <c r="B29"/>
    </row>
    <row r="30" spans="2:2" x14ac:dyDescent="0.3">
      <c r="B30"/>
    </row>
    <row r="31" spans="2:2" x14ac:dyDescent="0.3">
      <c r="B31"/>
    </row>
    <row r="32" spans="2:2" x14ac:dyDescent="0.3">
      <c r="B32"/>
    </row>
    <row r="33" spans="2:2" x14ac:dyDescent="0.3">
      <c r="B33"/>
    </row>
    <row r="34" spans="2:2" x14ac:dyDescent="0.3">
      <c r="B34"/>
    </row>
    <row r="35" spans="2:2" x14ac:dyDescent="0.3">
      <c r="B35"/>
    </row>
    <row r="36" spans="2:2" x14ac:dyDescent="0.3">
      <c r="B36"/>
    </row>
    <row r="37" spans="2:2" x14ac:dyDescent="0.3">
      <c r="B37"/>
    </row>
    <row r="38" spans="2:2" x14ac:dyDescent="0.3">
      <c r="B38"/>
    </row>
    <row r="39" spans="2:2" x14ac:dyDescent="0.3">
      <c r="B39"/>
    </row>
    <row r="40" spans="2:2" x14ac:dyDescent="0.3">
      <c r="B40"/>
    </row>
    <row r="41" spans="2:2" x14ac:dyDescent="0.3">
      <c r="B41"/>
    </row>
    <row r="42" spans="2:2" x14ac:dyDescent="0.3">
      <c r="B42"/>
    </row>
    <row r="43" spans="2:2" x14ac:dyDescent="0.3">
      <c r="B43"/>
    </row>
    <row r="44" spans="2:2" x14ac:dyDescent="0.3">
      <c r="B44"/>
    </row>
    <row r="45" spans="2:2" x14ac:dyDescent="0.3">
      <c r="B45"/>
    </row>
    <row r="46" spans="2:2" x14ac:dyDescent="0.3">
      <c r="B46"/>
    </row>
    <row r="47" spans="2:2" x14ac:dyDescent="0.3">
      <c r="B47"/>
    </row>
    <row r="48" spans="2:2" x14ac:dyDescent="0.3">
      <c r="B48"/>
    </row>
    <row r="49" spans="2:2" x14ac:dyDescent="0.3">
      <c r="B49"/>
    </row>
    <row r="50" spans="2:2" x14ac:dyDescent="0.3">
      <c r="B50"/>
    </row>
    <row r="51" spans="2:2" x14ac:dyDescent="0.3">
      <c r="B51"/>
    </row>
    <row r="52" spans="2:2" x14ac:dyDescent="0.3">
      <c r="B52"/>
    </row>
    <row r="53" spans="2:2" x14ac:dyDescent="0.3">
      <c r="B53"/>
    </row>
    <row r="54" spans="2:2" x14ac:dyDescent="0.3">
      <c r="B54"/>
    </row>
    <row r="55" spans="2:2" x14ac:dyDescent="0.3">
      <c r="B55"/>
    </row>
    <row r="56" spans="2:2" x14ac:dyDescent="0.3">
      <c r="B56"/>
    </row>
    <row r="57" spans="2:2" x14ac:dyDescent="0.3">
      <c r="B57"/>
    </row>
    <row r="58" spans="2:2" x14ac:dyDescent="0.3">
      <c r="B58"/>
    </row>
    <row r="59" spans="2:2" x14ac:dyDescent="0.3">
      <c r="B59"/>
    </row>
    <row r="60" spans="2:2" x14ac:dyDescent="0.3">
      <c r="B60"/>
    </row>
    <row r="61" spans="2:2" x14ac:dyDescent="0.3">
      <c r="B61"/>
    </row>
    <row r="62" spans="2:2" x14ac:dyDescent="0.3">
      <c r="B62"/>
    </row>
    <row r="63" spans="2:2" x14ac:dyDescent="0.3">
      <c r="B63"/>
    </row>
    <row r="64" spans="2:2" x14ac:dyDescent="0.3">
      <c r="B64"/>
    </row>
    <row r="65" spans="2:2" x14ac:dyDescent="0.3">
      <c r="B65"/>
    </row>
    <row r="66" spans="2:2" x14ac:dyDescent="0.3">
      <c r="B66"/>
    </row>
    <row r="67" spans="2:2" x14ac:dyDescent="0.3">
      <c r="B67"/>
    </row>
    <row r="68" spans="2:2" x14ac:dyDescent="0.3">
      <c r="B68"/>
    </row>
    <row r="69" spans="2:2" x14ac:dyDescent="0.3">
      <c r="B69"/>
    </row>
    <row r="70" spans="2:2" x14ac:dyDescent="0.3">
      <c r="B70"/>
    </row>
    <row r="71" spans="2:2" x14ac:dyDescent="0.3">
      <c r="B71"/>
    </row>
    <row r="72" spans="2:2" x14ac:dyDescent="0.3">
      <c r="B72"/>
    </row>
    <row r="73" spans="2:2" x14ac:dyDescent="0.3">
      <c r="B73"/>
    </row>
    <row r="74" spans="2:2" x14ac:dyDescent="0.3">
      <c r="B74"/>
    </row>
    <row r="75" spans="2:2" x14ac:dyDescent="0.3">
      <c r="B75"/>
    </row>
    <row r="76" spans="2:2" x14ac:dyDescent="0.3">
      <c r="B76"/>
    </row>
    <row r="77" spans="2:2" x14ac:dyDescent="0.3">
      <c r="B77"/>
    </row>
    <row r="78" spans="2:2" x14ac:dyDescent="0.3">
      <c r="B78"/>
    </row>
    <row r="79" spans="2:2" x14ac:dyDescent="0.3">
      <c r="B79"/>
    </row>
    <row r="80" spans="2:2" x14ac:dyDescent="0.3">
      <c r="B80"/>
    </row>
    <row r="81" spans="2:2" x14ac:dyDescent="0.3">
      <c r="B81"/>
    </row>
    <row r="82" spans="2:2" x14ac:dyDescent="0.3">
      <c r="B82"/>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49A44-0688-4FDE-A43F-45C926C57976}">
  <dimension ref="A1"/>
  <sheetViews>
    <sheetView topLeftCell="A2" workbookViewId="0">
      <selection activeCell="D2" sqref="D2:Q27"/>
    </sheetView>
  </sheetViews>
  <sheetFormatPr defaultRowHeight="14.4" x14ac:dyDescent="0.3"/>
  <cols>
    <col min="4" max="9" width="17.77734375" customWidth="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20"/>
  <sheetViews>
    <sheetView zoomScale="110" zoomScaleNormal="110" workbookViewId="0">
      <selection activeCell="H13" sqref="H13"/>
    </sheetView>
  </sheetViews>
  <sheetFormatPr defaultRowHeight="14.4" x14ac:dyDescent="0.3"/>
  <cols>
    <col min="1" max="1" width="9.5546875" style="1" customWidth="1"/>
    <col min="2" max="2" width="14.6640625" customWidth="1"/>
    <col min="3" max="3" width="15.44140625" style="1" customWidth="1"/>
    <col min="4" max="4" width="14.21875" customWidth="1"/>
    <col min="5" max="5" width="10.109375" customWidth="1"/>
    <col min="6" max="6" width="13.5546875" customWidth="1"/>
    <col min="7" max="7" width="12.21875" bestFit="1" customWidth="1"/>
    <col min="8" max="8" width="9.21875" customWidth="1"/>
    <col min="9" max="9" width="11.44140625" bestFit="1" customWidth="1"/>
    <col min="11" max="11" width="12.5546875" bestFit="1" customWidth="1"/>
    <col min="12" max="12" width="17" bestFit="1" customWidth="1"/>
  </cols>
  <sheetData>
    <row r="1" spans="1:12" ht="18" x14ac:dyDescent="0.35">
      <c r="A1" s="37" t="s">
        <v>29</v>
      </c>
      <c r="B1" s="37"/>
      <c r="C1" s="37"/>
      <c r="D1" s="37"/>
      <c r="E1" s="37"/>
      <c r="F1" s="37"/>
      <c r="G1" s="37"/>
      <c r="H1" s="37"/>
    </row>
    <row r="2" spans="1:12" ht="18" x14ac:dyDescent="0.35">
      <c r="A2" s="38" t="s">
        <v>367</v>
      </c>
      <c r="B2" s="38"/>
      <c r="C2" s="38"/>
      <c r="D2" s="38"/>
      <c r="E2" s="38"/>
      <c r="F2" s="38"/>
      <c r="G2" s="38"/>
      <c r="H2" s="38"/>
    </row>
    <row r="3" spans="1:12" ht="4.8" customHeight="1" x14ac:dyDescent="0.3">
      <c r="A3" s="9"/>
      <c r="B3" s="10"/>
      <c r="C3" s="9"/>
      <c r="D3" s="10"/>
      <c r="E3" s="11"/>
      <c r="F3" s="12"/>
      <c r="G3" s="11"/>
      <c r="H3" s="13"/>
    </row>
    <row r="4" spans="1:12" ht="31.2" x14ac:dyDescent="0.3">
      <c r="A4" s="14" t="s">
        <v>30</v>
      </c>
      <c r="B4" s="15" t="s">
        <v>0</v>
      </c>
      <c r="C4" s="15" t="s">
        <v>31</v>
      </c>
      <c r="D4" s="15" t="s">
        <v>32</v>
      </c>
      <c r="E4" s="15" t="s">
        <v>21</v>
      </c>
      <c r="F4" s="16" t="s">
        <v>33</v>
      </c>
      <c r="G4" s="15" t="s">
        <v>20</v>
      </c>
      <c r="H4" s="17" t="s">
        <v>34</v>
      </c>
      <c r="I4" s="15" t="s">
        <v>388</v>
      </c>
    </row>
    <row r="5" spans="1:12" ht="15.6" x14ac:dyDescent="0.3">
      <c r="A5" s="18">
        <v>2023</v>
      </c>
      <c r="B5" s="19" t="s">
        <v>35</v>
      </c>
      <c r="C5" s="19" t="s">
        <v>36</v>
      </c>
      <c r="D5" s="19" t="s">
        <v>37</v>
      </c>
      <c r="E5" s="20" t="s">
        <v>17</v>
      </c>
      <c r="F5" s="21">
        <v>3395.5</v>
      </c>
      <c r="G5" s="20">
        <v>1197</v>
      </c>
      <c r="H5" s="22" t="s">
        <v>38</v>
      </c>
      <c r="I5">
        <v>100</v>
      </c>
      <c r="K5" s="49" t="s">
        <v>383</v>
      </c>
      <c r="L5" t="s">
        <v>385</v>
      </c>
    </row>
    <row r="6" spans="1:12" ht="15.6" x14ac:dyDescent="0.3">
      <c r="A6" s="18">
        <v>2023</v>
      </c>
      <c r="B6" s="19" t="s">
        <v>35</v>
      </c>
      <c r="C6" s="19" t="s">
        <v>36</v>
      </c>
      <c r="D6" s="19" t="s">
        <v>37</v>
      </c>
      <c r="E6" s="20" t="s">
        <v>17</v>
      </c>
      <c r="F6" s="21">
        <v>12761.5</v>
      </c>
      <c r="G6" s="20">
        <v>7441</v>
      </c>
      <c r="H6" s="22" t="s">
        <v>39</v>
      </c>
      <c r="I6">
        <v>100</v>
      </c>
      <c r="K6" s="50" t="s">
        <v>19</v>
      </c>
      <c r="L6" s="40">
        <v>1146609</v>
      </c>
    </row>
    <row r="7" spans="1:12" ht="15.6" x14ac:dyDescent="0.3">
      <c r="A7" s="18">
        <v>2023</v>
      </c>
      <c r="B7" s="19" t="s">
        <v>35</v>
      </c>
      <c r="C7" s="19" t="s">
        <v>40</v>
      </c>
      <c r="D7" s="19" t="s">
        <v>37</v>
      </c>
      <c r="E7" s="20" t="s">
        <v>17</v>
      </c>
      <c r="F7" s="21">
        <v>9943</v>
      </c>
      <c r="G7" s="20">
        <v>5562</v>
      </c>
      <c r="H7" s="22" t="s">
        <v>41</v>
      </c>
      <c r="I7">
        <v>100</v>
      </c>
      <c r="K7" s="50" t="s">
        <v>17</v>
      </c>
      <c r="L7" s="40">
        <v>504519.5</v>
      </c>
    </row>
    <row r="8" spans="1:12" ht="15.6" x14ac:dyDescent="0.3">
      <c r="A8" s="18">
        <v>2023</v>
      </c>
      <c r="B8" s="19" t="s">
        <v>35</v>
      </c>
      <c r="C8" s="19" t="s">
        <v>36</v>
      </c>
      <c r="D8" s="19" t="s">
        <v>37</v>
      </c>
      <c r="E8" s="20" t="s">
        <v>17</v>
      </c>
      <c r="F8" s="21">
        <v>3395.5</v>
      </c>
      <c r="G8" s="20">
        <v>1197</v>
      </c>
      <c r="H8" s="22" t="s">
        <v>42</v>
      </c>
      <c r="I8">
        <v>100</v>
      </c>
      <c r="K8" s="50" t="s">
        <v>18</v>
      </c>
      <c r="L8" s="40">
        <v>598636</v>
      </c>
    </row>
    <row r="9" spans="1:12" ht="15.6" x14ac:dyDescent="0.3">
      <c r="A9" s="18">
        <v>2023</v>
      </c>
      <c r="B9" s="19" t="s">
        <v>35</v>
      </c>
      <c r="C9" s="19" t="s">
        <v>36</v>
      </c>
      <c r="D9" s="19" t="s">
        <v>37</v>
      </c>
      <c r="E9" s="20" t="s">
        <v>17</v>
      </c>
      <c r="F9" s="21">
        <v>12761.5</v>
      </c>
      <c r="G9" s="20">
        <v>7441</v>
      </c>
      <c r="H9" s="22" t="s">
        <v>43</v>
      </c>
      <c r="I9">
        <v>100</v>
      </c>
      <c r="K9" s="50" t="s">
        <v>58</v>
      </c>
      <c r="L9" s="40">
        <v>398821.75</v>
      </c>
    </row>
    <row r="10" spans="1:12" ht="15.6" x14ac:dyDescent="0.3">
      <c r="A10" s="18">
        <v>2023</v>
      </c>
      <c r="B10" s="19" t="s">
        <v>35</v>
      </c>
      <c r="C10" s="19" t="s">
        <v>40</v>
      </c>
      <c r="D10" s="19" t="s">
        <v>37</v>
      </c>
      <c r="E10" s="20" t="s">
        <v>17</v>
      </c>
      <c r="F10" s="21">
        <v>9943</v>
      </c>
      <c r="G10" s="20">
        <v>5562</v>
      </c>
      <c r="H10" s="22" t="s">
        <v>44</v>
      </c>
      <c r="I10">
        <v>100</v>
      </c>
      <c r="K10" s="50" t="s">
        <v>384</v>
      </c>
      <c r="L10" s="40">
        <v>2648586.25</v>
      </c>
    </row>
    <row r="11" spans="1:12" ht="15.6" x14ac:dyDescent="0.3">
      <c r="A11" s="18">
        <v>2023</v>
      </c>
      <c r="B11" s="19" t="s">
        <v>35</v>
      </c>
      <c r="C11" s="19" t="s">
        <v>40</v>
      </c>
      <c r="D11" s="19" t="s">
        <v>45</v>
      </c>
      <c r="E11" s="20" t="s">
        <v>19</v>
      </c>
      <c r="F11" s="21">
        <v>30000</v>
      </c>
      <c r="G11" s="20">
        <v>9331</v>
      </c>
      <c r="H11" s="22" t="s">
        <v>46</v>
      </c>
      <c r="I11">
        <v>100</v>
      </c>
    </row>
    <row r="12" spans="1:12" ht="15.6" x14ac:dyDescent="0.3">
      <c r="A12" s="18">
        <v>2023</v>
      </c>
      <c r="B12" s="19" t="s">
        <v>35</v>
      </c>
      <c r="C12" s="19" t="s">
        <v>47</v>
      </c>
      <c r="D12" s="19" t="s">
        <v>45</v>
      </c>
      <c r="E12" s="20" t="s">
        <v>19</v>
      </c>
      <c r="F12" s="21">
        <v>9793</v>
      </c>
      <c r="G12" s="20">
        <v>5462</v>
      </c>
      <c r="H12" s="22" t="s">
        <v>48</v>
      </c>
      <c r="I12">
        <v>100</v>
      </c>
    </row>
    <row r="13" spans="1:12" ht="15.6" x14ac:dyDescent="0.3">
      <c r="A13" s="18">
        <v>2023</v>
      </c>
      <c r="B13" s="19" t="s">
        <v>35</v>
      </c>
      <c r="C13" s="19" t="s">
        <v>40</v>
      </c>
      <c r="D13" s="19" t="s">
        <v>45</v>
      </c>
      <c r="E13" s="20" t="s">
        <v>19</v>
      </c>
      <c r="F13" s="21">
        <v>15596.5</v>
      </c>
      <c r="G13" s="20">
        <v>9331</v>
      </c>
      <c r="H13" s="22" t="s">
        <v>49</v>
      </c>
      <c r="I13">
        <v>100</v>
      </c>
    </row>
    <row r="14" spans="1:12" ht="15.6" x14ac:dyDescent="0.3">
      <c r="A14" s="18">
        <v>2023</v>
      </c>
      <c r="B14" s="19" t="s">
        <v>35</v>
      </c>
      <c r="C14" s="19" t="s">
        <v>47</v>
      </c>
      <c r="D14" s="19" t="s">
        <v>45</v>
      </c>
      <c r="E14" s="20" t="s">
        <v>19</v>
      </c>
      <c r="F14" s="21">
        <v>9793</v>
      </c>
      <c r="G14" s="20">
        <v>5462</v>
      </c>
      <c r="H14" s="22" t="s">
        <v>50</v>
      </c>
      <c r="I14">
        <v>100</v>
      </c>
    </row>
    <row r="15" spans="1:12" ht="15.6" x14ac:dyDescent="0.3">
      <c r="A15" s="18">
        <v>2023</v>
      </c>
      <c r="B15" s="19" t="s">
        <v>35</v>
      </c>
      <c r="C15" s="19" t="s">
        <v>36</v>
      </c>
      <c r="D15" s="19" t="s">
        <v>51</v>
      </c>
      <c r="E15" s="20" t="s">
        <v>18</v>
      </c>
      <c r="F15" s="21">
        <v>5666</v>
      </c>
      <c r="G15" s="20">
        <v>5223</v>
      </c>
      <c r="H15" s="22" t="s">
        <v>52</v>
      </c>
      <c r="I15">
        <v>100</v>
      </c>
    </row>
    <row r="16" spans="1:12" ht="15.6" x14ac:dyDescent="0.3">
      <c r="A16" s="18">
        <v>2023</v>
      </c>
      <c r="B16" s="19" t="s">
        <v>35</v>
      </c>
      <c r="C16" s="19" t="s">
        <v>36</v>
      </c>
      <c r="D16" s="19" t="s">
        <v>51</v>
      </c>
      <c r="E16" s="20" t="s">
        <v>18</v>
      </c>
      <c r="F16" s="21">
        <v>8318.5</v>
      </c>
      <c r="G16" s="20">
        <v>4479</v>
      </c>
      <c r="H16" s="22" t="s">
        <v>53</v>
      </c>
      <c r="I16">
        <v>100</v>
      </c>
    </row>
    <row r="17" spans="1:9" ht="15.6" x14ac:dyDescent="0.3">
      <c r="A17" s="18">
        <v>2023</v>
      </c>
      <c r="B17" s="19" t="s">
        <v>35</v>
      </c>
      <c r="C17" s="19" t="s">
        <v>36</v>
      </c>
      <c r="D17" s="19" t="s">
        <v>51</v>
      </c>
      <c r="E17" s="20" t="s">
        <v>18</v>
      </c>
      <c r="F17" s="21">
        <v>6500</v>
      </c>
      <c r="G17" s="20">
        <v>5223</v>
      </c>
      <c r="H17" s="22" t="s">
        <v>54</v>
      </c>
      <c r="I17">
        <v>100</v>
      </c>
    </row>
    <row r="18" spans="1:9" ht="15.6" x14ac:dyDescent="0.3">
      <c r="A18" s="18">
        <v>2023</v>
      </c>
      <c r="B18" s="19" t="s">
        <v>35</v>
      </c>
      <c r="C18" s="19" t="s">
        <v>36</v>
      </c>
      <c r="D18" s="19" t="s">
        <v>51</v>
      </c>
      <c r="E18" s="20" t="s">
        <v>18</v>
      </c>
      <c r="F18" s="21">
        <v>8318.5</v>
      </c>
      <c r="G18" s="20">
        <v>4479</v>
      </c>
      <c r="H18" s="22" t="s">
        <v>55</v>
      </c>
      <c r="I18">
        <v>100</v>
      </c>
    </row>
    <row r="19" spans="1:9" ht="15.6" x14ac:dyDescent="0.3">
      <c r="A19" s="18">
        <v>2023</v>
      </c>
      <c r="B19" s="19" t="s">
        <v>35</v>
      </c>
      <c r="C19" s="19" t="s">
        <v>56</v>
      </c>
      <c r="D19" s="19" t="s">
        <v>57</v>
      </c>
      <c r="E19" s="20" t="s">
        <v>58</v>
      </c>
      <c r="F19" s="21">
        <v>4553.5</v>
      </c>
      <c r="G19" s="20">
        <v>1969</v>
      </c>
      <c r="H19" s="22" t="s">
        <v>59</v>
      </c>
      <c r="I19">
        <v>100</v>
      </c>
    </row>
    <row r="20" spans="1:9" ht="15.6" x14ac:dyDescent="0.3">
      <c r="A20" s="18">
        <v>2023</v>
      </c>
      <c r="B20" s="19" t="s">
        <v>35</v>
      </c>
      <c r="C20" s="19" t="s">
        <v>56</v>
      </c>
      <c r="D20" s="19" t="s">
        <v>57</v>
      </c>
      <c r="E20" s="20" t="s">
        <v>58</v>
      </c>
      <c r="F20" s="21">
        <v>4553.5</v>
      </c>
      <c r="G20" s="20">
        <v>1969</v>
      </c>
      <c r="H20" s="22" t="s">
        <v>60</v>
      </c>
      <c r="I20">
        <v>100</v>
      </c>
    </row>
    <row r="21" spans="1:9" ht="15.6" x14ac:dyDescent="0.3">
      <c r="A21" s="18">
        <v>2023</v>
      </c>
      <c r="B21" s="19" t="s">
        <v>35</v>
      </c>
      <c r="C21" s="19" t="s">
        <v>40</v>
      </c>
      <c r="D21" s="19" t="s">
        <v>22</v>
      </c>
      <c r="E21" s="20" t="s">
        <v>19</v>
      </c>
      <c r="F21" s="21">
        <v>15596.5</v>
      </c>
      <c r="G21" s="20">
        <v>9331</v>
      </c>
      <c r="H21" s="22" t="s">
        <v>61</v>
      </c>
      <c r="I21">
        <v>100</v>
      </c>
    </row>
    <row r="22" spans="1:9" ht="15.6" x14ac:dyDescent="0.3">
      <c r="A22" s="18">
        <v>2023</v>
      </c>
      <c r="B22" s="19" t="s">
        <v>35</v>
      </c>
      <c r="C22" s="19" t="s">
        <v>47</v>
      </c>
      <c r="D22" s="19" t="s">
        <v>22</v>
      </c>
      <c r="E22" s="20" t="s">
        <v>19</v>
      </c>
      <c r="F22" s="21">
        <v>9793</v>
      </c>
      <c r="G22" s="20">
        <v>5462</v>
      </c>
      <c r="H22" s="22" t="s">
        <v>62</v>
      </c>
      <c r="I22">
        <v>100</v>
      </c>
    </row>
    <row r="23" spans="1:9" ht="15.6" x14ac:dyDescent="0.3">
      <c r="A23" s="18">
        <v>2023</v>
      </c>
      <c r="B23" s="19" t="s">
        <v>35</v>
      </c>
      <c r="C23" s="19" t="s">
        <v>40</v>
      </c>
      <c r="D23" s="19" t="s">
        <v>22</v>
      </c>
      <c r="E23" s="20" t="s">
        <v>19</v>
      </c>
      <c r="F23" s="21">
        <v>15596.5</v>
      </c>
      <c r="G23" s="20">
        <v>9331</v>
      </c>
      <c r="H23" s="22" t="s">
        <v>63</v>
      </c>
      <c r="I23">
        <v>100</v>
      </c>
    </row>
    <row r="24" spans="1:9" ht="15.6" x14ac:dyDescent="0.3">
      <c r="A24" s="18">
        <v>2023</v>
      </c>
      <c r="B24" s="19" t="s">
        <v>35</v>
      </c>
      <c r="C24" s="19" t="s">
        <v>47</v>
      </c>
      <c r="D24" s="19" t="s">
        <v>22</v>
      </c>
      <c r="E24" s="20" t="s">
        <v>19</v>
      </c>
      <c r="F24" s="21">
        <v>9793</v>
      </c>
      <c r="G24" s="20">
        <v>5462</v>
      </c>
      <c r="H24" s="22" t="s">
        <v>64</v>
      </c>
      <c r="I24">
        <v>100</v>
      </c>
    </row>
    <row r="25" spans="1:9" ht="15.6" x14ac:dyDescent="0.3">
      <c r="A25" s="18">
        <v>2023</v>
      </c>
      <c r="B25" s="19" t="s">
        <v>65</v>
      </c>
      <c r="C25" s="19" t="s">
        <v>36</v>
      </c>
      <c r="D25" s="19" t="s">
        <v>37</v>
      </c>
      <c r="E25" s="20" t="s">
        <v>17</v>
      </c>
      <c r="F25" s="21">
        <v>5887</v>
      </c>
      <c r="G25" s="20">
        <v>2858</v>
      </c>
      <c r="H25" s="22" t="s">
        <v>66</v>
      </c>
      <c r="I25">
        <v>100</v>
      </c>
    </row>
    <row r="26" spans="1:9" ht="15.6" x14ac:dyDescent="0.3">
      <c r="A26" s="18">
        <v>2023</v>
      </c>
      <c r="B26" s="19" t="s">
        <v>65</v>
      </c>
      <c r="C26" s="19" t="s">
        <v>36</v>
      </c>
      <c r="D26" s="19" t="s">
        <v>37</v>
      </c>
      <c r="E26" s="20" t="s">
        <v>17</v>
      </c>
      <c r="F26" s="21">
        <v>5887</v>
      </c>
      <c r="G26" s="20">
        <v>2858</v>
      </c>
      <c r="H26" s="22" t="s">
        <v>67</v>
      </c>
      <c r="I26">
        <v>100</v>
      </c>
    </row>
    <row r="27" spans="1:9" ht="15.6" x14ac:dyDescent="0.3">
      <c r="A27" s="18">
        <v>2023</v>
      </c>
      <c r="B27" s="19" t="s">
        <v>65</v>
      </c>
      <c r="C27" s="19" t="s">
        <v>47</v>
      </c>
      <c r="D27" s="19" t="s">
        <v>45</v>
      </c>
      <c r="E27" s="20" t="s">
        <v>19</v>
      </c>
      <c r="F27" s="21">
        <v>12122.5</v>
      </c>
      <c r="G27" s="20">
        <v>7015</v>
      </c>
      <c r="H27" s="22" t="s">
        <v>68</v>
      </c>
      <c r="I27">
        <v>100</v>
      </c>
    </row>
    <row r="28" spans="1:9" ht="15.6" x14ac:dyDescent="0.3">
      <c r="A28" s="18">
        <v>2023</v>
      </c>
      <c r="B28" s="19" t="s">
        <v>65</v>
      </c>
      <c r="C28" s="19" t="s">
        <v>36</v>
      </c>
      <c r="D28" s="19" t="s">
        <v>45</v>
      </c>
      <c r="E28" s="20" t="s">
        <v>19</v>
      </c>
      <c r="F28" s="21">
        <v>14428</v>
      </c>
      <c r="G28" s="20">
        <v>8552</v>
      </c>
      <c r="H28" s="22" t="s">
        <v>69</v>
      </c>
      <c r="I28">
        <v>100</v>
      </c>
    </row>
    <row r="29" spans="1:9" ht="15.6" x14ac:dyDescent="0.3">
      <c r="A29" s="18">
        <v>2023</v>
      </c>
      <c r="B29" s="19" t="s">
        <v>65</v>
      </c>
      <c r="C29" s="19" t="s">
        <v>47</v>
      </c>
      <c r="D29" s="19" t="s">
        <v>45</v>
      </c>
      <c r="E29" s="20" t="s">
        <v>19</v>
      </c>
      <c r="F29" s="21">
        <v>15000</v>
      </c>
      <c r="G29" s="20">
        <v>7015</v>
      </c>
      <c r="H29" s="22" t="s">
        <v>70</v>
      </c>
      <c r="I29">
        <v>100</v>
      </c>
    </row>
    <row r="30" spans="1:9" ht="15.6" x14ac:dyDescent="0.3">
      <c r="A30" s="18">
        <v>2023</v>
      </c>
      <c r="B30" s="19" t="s">
        <v>65</v>
      </c>
      <c r="C30" s="19" t="s">
        <v>36</v>
      </c>
      <c r="D30" s="19" t="s">
        <v>45</v>
      </c>
      <c r="E30" s="20" t="s">
        <v>19</v>
      </c>
      <c r="F30" s="21">
        <v>14428</v>
      </c>
      <c r="G30" s="20">
        <v>8552</v>
      </c>
      <c r="H30" s="22" t="s">
        <v>71</v>
      </c>
      <c r="I30">
        <v>100</v>
      </c>
    </row>
    <row r="31" spans="1:9" ht="15.6" x14ac:dyDescent="0.3">
      <c r="A31" s="18">
        <v>2023</v>
      </c>
      <c r="B31" s="19" t="s">
        <v>65</v>
      </c>
      <c r="C31" s="19" t="s">
        <v>40</v>
      </c>
      <c r="D31" s="19" t="s">
        <v>51</v>
      </c>
      <c r="E31" s="20" t="s">
        <v>18</v>
      </c>
      <c r="F31" s="21">
        <v>4897</v>
      </c>
      <c r="G31" s="20">
        <v>2198</v>
      </c>
      <c r="H31" s="22" t="s">
        <v>72</v>
      </c>
      <c r="I31">
        <v>100</v>
      </c>
    </row>
    <row r="32" spans="1:9" ht="15.6" x14ac:dyDescent="0.3">
      <c r="A32" s="18">
        <v>2023</v>
      </c>
      <c r="B32" s="19" t="s">
        <v>65</v>
      </c>
      <c r="C32" s="19" t="s">
        <v>40</v>
      </c>
      <c r="D32" s="19" t="s">
        <v>51</v>
      </c>
      <c r="E32" s="20" t="s">
        <v>18</v>
      </c>
      <c r="F32" s="21">
        <v>9832</v>
      </c>
      <c r="G32" s="20">
        <v>5488</v>
      </c>
      <c r="H32" s="22" t="s">
        <v>73</v>
      </c>
      <c r="I32">
        <v>100</v>
      </c>
    </row>
    <row r="33" spans="1:9" ht="15.6" x14ac:dyDescent="0.3">
      <c r="A33" s="18">
        <v>2023</v>
      </c>
      <c r="B33" s="19" t="s">
        <v>65</v>
      </c>
      <c r="C33" s="19" t="s">
        <v>40</v>
      </c>
      <c r="D33" s="19" t="s">
        <v>51</v>
      </c>
      <c r="E33" s="20" t="s">
        <v>18</v>
      </c>
      <c r="F33" s="21">
        <v>4000</v>
      </c>
      <c r="G33" s="20">
        <v>2198</v>
      </c>
      <c r="H33" s="22" t="s">
        <v>74</v>
      </c>
      <c r="I33">
        <v>100</v>
      </c>
    </row>
    <row r="34" spans="1:9" ht="15.6" x14ac:dyDescent="0.3">
      <c r="A34" s="18">
        <v>2023</v>
      </c>
      <c r="B34" s="19" t="s">
        <v>65</v>
      </c>
      <c r="C34" s="19" t="s">
        <v>40</v>
      </c>
      <c r="D34" s="19" t="s">
        <v>51</v>
      </c>
      <c r="E34" s="20" t="s">
        <v>18</v>
      </c>
      <c r="F34" s="21">
        <v>9832</v>
      </c>
      <c r="G34" s="20">
        <v>5488</v>
      </c>
      <c r="H34" s="22" t="s">
        <v>75</v>
      </c>
      <c r="I34">
        <v>100</v>
      </c>
    </row>
    <row r="35" spans="1:9" ht="15.6" x14ac:dyDescent="0.3">
      <c r="A35" s="18">
        <v>2023</v>
      </c>
      <c r="B35" s="19" t="s">
        <v>65</v>
      </c>
      <c r="C35" s="19" t="s">
        <v>47</v>
      </c>
      <c r="D35" s="19" t="s">
        <v>57</v>
      </c>
      <c r="E35" s="20" t="s">
        <v>58</v>
      </c>
      <c r="F35" s="21">
        <v>12122.5</v>
      </c>
      <c r="G35" s="20">
        <v>7015</v>
      </c>
      <c r="H35" s="22" t="s">
        <v>76</v>
      </c>
      <c r="I35">
        <v>100</v>
      </c>
    </row>
    <row r="36" spans="1:9" ht="15.6" x14ac:dyDescent="0.3">
      <c r="A36" s="18">
        <v>2023</v>
      </c>
      <c r="B36" s="19" t="s">
        <v>65</v>
      </c>
      <c r="C36" s="19" t="s">
        <v>40</v>
      </c>
      <c r="D36" s="19" t="s">
        <v>57</v>
      </c>
      <c r="E36" s="20" t="s">
        <v>58</v>
      </c>
      <c r="F36" s="21">
        <v>13206.25</v>
      </c>
      <c r="G36" s="20">
        <v>9365</v>
      </c>
      <c r="H36" s="22" t="s">
        <v>77</v>
      </c>
      <c r="I36">
        <v>100</v>
      </c>
    </row>
    <row r="37" spans="1:9" ht="15.6" x14ac:dyDescent="0.3">
      <c r="A37" s="18">
        <v>2023</v>
      </c>
      <c r="B37" s="19" t="s">
        <v>65</v>
      </c>
      <c r="C37" s="19" t="s">
        <v>47</v>
      </c>
      <c r="D37" s="19" t="s">
        <v>57</v>
      </c>
      <c r="E37" s="20" t="s">
        <v>58</v>
      </c>
      <c r="F37" s="21">
        <v>10268.75</v>
      </c>
      <c r="G37" s="20">
        <v>7015</v>
      </c>
      <c r="H37" s="22" t="s">
        <v>78</v>
      </c>
      <c r="I37">
        <v>100</v>
      </c>
    </row>
    <row r="38" spans="1:9" ht="15.6" x14ac:dyDescent="0.3">
      <c r="A38" s="18">
        <v>2023</v>
      </c>
      <c r="B38" s="19" t="s">
        <v>65</v>
      </c>
      <c r="C38" s="19" t="s">
        <v>40</v>
      </c>
      <c r="D38" s="19" t="s">
        <v>57</v>
      </c>
      <c r="E38" s="20" t="s">
        <v>58</v>
      </c>
      <c r="F38" s="21">
        <v>13206.25</v>
      </c>
      <c r="G38" s="20">
        <v>9365</v>
      </c>
      <c r="H38" s="22" t="s">
        <v>79</v>
      </c>
      <c r="I38">
        <v>100</v>
      </c>
    </row>
    <row r="39" spans="1:9" ht="15.6" x14ac:dyDescent="0.3">
      <c r="A39" s="18">
        <v>2023</v>
      </c>
      <c r="B39" s="19" t="s">
        <v>65</v>
      </c>
      <c r="C39" s="19" t="s">
        <v>36</v>
      </c>
      <c r="D39" s="19" t="s">
        <v>22</v>
      </c>
      <c r="E39" s="20" t="s">
        <v>19</v>
      </c>
      <c r="F39" s="21">
        <v>12190</v>
      </c>
      <c r="G39" s="20">
        <v>8552</v>
      </c>
      <c r="H39" s="22" t="s">
        <v>80</v>
      </c>
      <c r="I39">
        <v>100</v>
      </c>
    </row>
    <row r="40" spans="1:9" ht="15.6" x14ac:dyDescent="0.3">
      <c r="A40" s="18">
        <v>2023</v>
      </c>
      <c r="B40" s="19" t="s">
        <v>65</v>
      </c>
      <c r="C40" s="19" t="s">
        <v>56</v>
      </c>
      <c r="D40" s="19" t="s">
        <v>22</v>
      </c>
      <c r="E40" s="20" t="s">
        <v>19</v>
      </c>
      <c r="F40" s="21">
        <v>7233.75</v>
      </c>
      <c r="G40" s="20">
        <v>4587</v>
      </c>
      <c r="H40" s="22" t="s">
        <v>81</v>
      </c>
      <c r="I40">
        <v>100</v>
      </c>
    </row>
    <row r="41" spans="1:9" ht="15.6" x14ac:dyDescent="0.3">
      <c r="A41" s="18">
        <v>2023</v>
      </c>
      <c r="B41" s="19" t="s">
        <v>65</v>
      </c>
      <c r="C41" s="19" t="s">
        <v>36</v>
      </c>
      <c r="D41" s="19" t="s">
        <v>22</v>
      </c>
      <c r="E41" s="20" t="s">
        <v>19</v>
      </c>
      <c r="F41" s="21">
        <v>12190</v>
      </c>
      <c r="G41" s="20">
        <v>8552</v>
      </c>
      <c r="H41" s="22" t="s">
        <v>82</v>
      </c>
      <c r="I41">
        <v>100</v>
      </c>
    </row>
    <row r="42" spans="1:9" ht="15.6" x14ac:dyDescent="0.3">
      <c r="A42" s="18">
        <v>2023</v>
      </c>
      <c r="B42" s="19" t="s">
        <v>65</v>
      </c>
      <c r="C42" s="19" t="s">
        <v>56</v>
      </c>
      <c r="D42" s="19" t="s">
        <v>22</v>
      </c>
      <c r="E42" s="20" t="s">
        <v>19</v>
      </c>
      <c r="F42" s="21">
        <v>7233.75</v>
      </c>
      <c r="G42" s="20">
        <v>4587</v>
      </c>
      <c r="H42" s="22" t="s">
        <v>83</v>
      </c>
      <c r="I42">
        <v>100</v>
      </c>
    </row>
    <row r="43" spans="1:9" ht="15.6" x14ac:dyDescent="0.3">
      <c r="A43" s="18">
        <v>2023</v>
      </c>
      <c r="B43" s="19" t="s">
        <v>84</v>
      </c>
      <c r="C43" s="19" t="s">
        <v>47</v>
      </c>
      <c r="D43" s="19" t="s">
        <v>37</v>
      </c>
      <c r="E43" s="20" t="s">
        <v>17</v>
      </c>
      <c r="F43" s="21">
        <v>13182.5</v>
      </c>
      <c r="G43" s="20">
        <v>9346</v>
      </c>
      <c r="H43" s="22" t="s">
        <v>85</v>
      </c>
      <c r="I43">
        <v>100</v>
      </c>
    </row>
    <row r="44" spans="1:9" ht="15.6" x14ac:dyDescent="0.3">
      <c r="A44" s="18">
        <v>2023</v>
      </c>
      <c r="B44" s="19" t="s">
        <v>84</v>
      </c>
      <c r="C44" s="19" t="s">
        <v>36</v>
      </c>
      <c r="D44" s="19" t="s">
        <v>37</v>
      </c>
      <c r="E44" s="20" t="s">
        <v>17</v>
      </c>
      <c r="F44" s="21">
        <v>1722.5</v>
      </c>
      <c r="G44" s="20">
        <v>178</v>
      </c>
      <c r="H44" s="22" t="s">
        <v>86</v>
      </c>
      <c r="I44">
        <v>100</v>
      </c>
    </row>
    <row r="45" spans="1:9" ht="15.6" x14ac:dyDescent="0.3">
      <c r="A45" s="18">
        <v>2023</v>
      </c>
      <c r="B45" s="19" t="s">
        <v>84</v>
      </c>
      <c r="C45" s="19" t="s">
        <v>47</v>
      </c>
      <c r="D45" s="19" t="s">
        <v>37</v>
      </c>
      <c r="E45" s="20" t="s">
        <v>17</v>
      </c>
      <c r="F45" s="21">
        <v>13182.5</v>
      </c>
      <c r="G45" s="20">
        <v>9346</v>
      </c>
      <c r="H45" s="22" t="s">
        <v>87</v>
      </c>
      <c r="I45">
        <v>100</v>
      </c>
    </row>
    <row r="46" spans="1:9" ht="15.6" x14ac:dyDescent="0.3">
      <c r="A46" s="18">
        <v>2023</v>
      </c>
      <c r="B46" s="19" t="s">
        <v>84</v>
      </c>
      <c r="C46" s="19" t="s">
        <v>36</v>
      </c>
      <c r="D46" s="19" t="s">
        <v>37</v>
      </c>
      <c r="E46" s="20" t="s">
        <v>17</v>
      </c>
      <c r="F46" s="21">
        <v>1722.5</v>
      </c>
      <c r="G46" s="20">
        <v>178</v>
      </c>
      <c r="H46" s="22" t="s">
        <v>88</v>
      </c>
      <c r="I46">
        <v>100</v>
      </c>
    </row>
    <row r="47" spans="1:9" ht="15.6" x14ac:dyDescent="0.3">
      <c r="A47" s="18">
        <v>2023</v>
      </c>
      <c r="B47" s="19" t="s">
        <v>84</v>
      </c>
      <c r="C47" s="19" t="s">
        <v>47</v>
      </c>
      <c r="D47" s="19" t="s">
        <v>45</v>
      </c>
      <c r="E47" s="20" t="s">
        <v>19</v>
      </c>
      <c r="F47" s="21">
        <v>13182.5</v>
      </c>
      <c r="G47" s="20">
        <v>9346</v>
      </c>
      <c r="H47" s="22" t="s">
        <v>89</v>
      </c>
      <c r="I47">
        <v>100</v>
      </c>
    </row>
    <row r="48" spans="1:9" ht="15.6" x14ac:dyDescent="0.3">
      <c r="A48" s="18">
        <v>2023</v>
      </c>
      <c r="B48" s="19" t="s">
        <v>84</v>
      </c>
      <c r="C48" s="19" t="s">
        <v>36</v>
      </c>
      <c r="D48" s="19" t="s">
        <v>45</v>
      </c>
      <c r="E48" s="20" t="s">
        <v>19</v>
      </c>
      <c r="F48" s="21">
        <v>5483.75</v>
      </c>
      <c r="G48" s="20">
        <v>3187</v>
      </c>
      <c r="H48" s="22" t="s">
        <v>90</v>
      </c>
      <c r="I48">
        <v>100</v>
      </c>
    </row>
    <row r="49" spans="1:9" ht="15.6" x14ac:dyDescent="0.3">
      <c r="A49" s="18">
        <v>2023</v>
      </c>
      <c r="B49" s="19" t="s">
        <v>84</v>
      </c>
      <c r="C49" s="19" t="s">
        <v>47</v>
      </c>
      <c r="D49" s="19" t="s">
        <v>45</v>
      </c>
      <c r="E49" s="20" t="s">
        <v>19</v>
      </c>
      <c r="F49" s="21">
        <v>13182.5</v>
      </c>
      <c r="G49" s="20">
        <v>9346</v>
      </c>
      <c r="H49" s="22" t="s">
        <v>91</v>
      </c>
      <c r="I49">
        <v>100</v>
      </c>
    </row>
    <row r="50" spans="1:9" ht="15.6" x14ac:dyDescent="0.3">
      <c r="A50" s="18">
        <v>2023</v>
      </c>
      <c r="B50" s="19" t="s">
        <v>84</v>
      </c>
      <c r="C50" s="19" t="s">
        <v>36</v>
      </c>
      <c r="D50" s="19" t="s">
        <v>45</v>
      </c>
      <c r="E50" s="20" t="s">
        <v>19</v>
      </c>
      <c r="F50" s="21">
        <v>5483.75</v>
      </c>
      <c r="G50" s="20">
        <v>3187</v>
      </c>
      <c r="H50" s="22" t="s">
        <v>92</v>
      </c>
      <c r="I50">
        <v>100</v>
      </c>
    </row>
    <row r="51" spans="1:9" ht="15.6" x14ac:dyDescent="0.3">
      <c r="A51" s="18">
        <v>2023</v>
      </c>
      <c r="B51" s="19" t="s">
        <v>84</v>
      </c>
      <c r="C51" s="19" t="s">
        <v>47</v>
      </c>
      <c r="D51" s="19" t="s">
        <v>51</v>
      </c>
      <c r="E51" s="20" t="s">
        <v>18</v>
      </c>
      <c r="F51" s="21">
        <v>3956.25</v>
      </c>
      <c r="G51" s="20">
        <v>1965</v>
      </c>
      <c r="H51" s="22" t="s">
        <v>93</v>
      </c>
      <c r="I51">
        <v>100</v>
      </c>
    </row>
    <row r="52" spans="1:9" ht="15.6" x14ac:dyDescent="0.3">
      <c r="A52" s="18">
        <v>2023</v>
      </c>
      <c r="B52" s="19" t="s">
        <v>84</v>
      </c>
      <c r="C52" s="19" t="s">
        <v>40</v>
      </c>
      <c r="D52" s="19" t="s">
        <v>51</v>
      </c>
      <c r="E52" s="20" t="s">
        <v>18</v>
      </c>
      <c r="F52" s="21">
        <v>13163.75</v>
      </c>
      <c r="G52" s="20">
        <v>9331</v>
      </c>
      <c r="H52" s="22" t="s">
        <v>94</v>
      </c>
      <c r="I52">
        <v>100</v>
      </c>
    </row>
    <row r="53" spans="1:9" ht="15.6" x14ac:dyDescent="0.3">
      <c r="A53" s="18">
        <v>2023</v>
      </c>
      <c r="B53" s="19" t="s">
        <v>84</v>
      </c>
      <c r="C53" s="19" t="s">
        <v>47</v>
      </c>
      <c r="D53" s="19" t="s">
        <v>51</v>
      </c>
      <c r="E53" s="20" t="s">
        <v>18</v>
      </c>
      <c r="F53" s="21">
        <v>3956.25</v>
      </c>
      <c r="G53" s="20">
        <v>1965</v>
      </c>
      <c r="H53" s="22" t="s">
        <v>95</v>
      </c>
      <c r="I53">
        <v>100</v>
      </c>
    </row>
    <row r="54" spans="1:9" ht="15.6" x14ac:dyDescent="0.3">
      <c r="A54" s="18">
        <v>2023</v>
      </c>
      <c r="B54" s="19" t="s">
        <v>84</v>
      </c>
      <c r="C54" s="19" t="s">
        <v>40</v>
      </c>
      <c r="D54" s="19" t="s">
        <v>51</v>
      </c>
      <c r="E54" s="20" t="s">
        <v>18</v>
      </c>
      <c r="F54" s="21">
        <v>13163.75</v>
      </c>
      <c r="G54" s="20">
        <v>9331</v>
      </c>
      <c r="H54" s="22" t="s">
        <v>96</v>
      </c>
      <c r="I54">
        <v>100</v>
      </c>
    </row>
    <row r="55" spans="1:9" ht="15.6" x14ac:dyDescent="0.3">
      <c r="A55" s="18">
        <v>2023</v>
      </c>
      <c r="B55" s="19" t="s">
        <v>84</v>
      </c>
      <c r="C55" s="19" t="s">
        <v>40</v>
      </c>
      <c r="D55" s="19" t="s">
        <v>57</v>
      </c>
      <c r="E55" s="20" t="s">
        <v>58</v>
      </c>
      <c r="F55" s="21">
        <v>2248.75</v>
      </c>
      <c r="G55" s="20">
        <v>599</v>
      </c>
      <c r="H55" s="22" t="s">
        <v>97</v>
      </c>
      <c r="I55">
        <v>100</v>
      </c>
    </row>
    <row r="56" spans="1:9" ht="15.6" x14ac:dyDescent="0.3">
      <c r="A56" s="18">
        <v>2023</v>
      </c>
      <c r="B56" s="19" t="s">
        <v>84</v>
      </c>
      <c r="C56" s="19" t="s">
        <v>47</v>
      </c>
      <c r="D56" s="19" t="s">
        <v>57</v>
      </c>
      <c r="E56" s="20" t="s">
        <v>58</v>
      </c>
      <c r="F56" s="21">
        <v>1196.25</v>
      </c>
      <c r="G56" s="20">
        <v>-243</v>
      </c>
      <c r="H56" s="22" t="s">
        <v>98</v>
      </c>
      <c r="I56">
        <v>100</v>
      </c>
    </row>
    <row r="57" spans="1:9" ht="15.6" x14ac:dyDescent="0.3">
      <c r="A57" s="18">
        <v>2023</v>
      </c>
      <c r="B57" s="19" t="s">
        <v>84</v>
      </c>
      <c r="C57" s="19" t="s">
        <v>40</v>
      </c>
      <c r="D57" s="19" t="s">
        <v>57</v>
      </c>
      <c r="E57" s="20" t="s">
        <v>58</v>
      </c>
      <c r="F57" s="21">
        <v>2248.75</v>
      </c>
      <c r="G57" s="20">
        <v>599</v>
      </c>
      <c r="H57" s="22" t="s">
        <v>99</v>
      </c>
      <c r="I57">
        <v>100</v>
      </c>
    </row>
    <row r="58" spans="1:9" ht="15.6" x14ac:dyDescent="0.3">
      <c r="A58" s="18">
        <v>2023</v>
      </c>
      <c r="B58" s="19" t="s">
        <v>84</v>
      </c>
      <c r="C58" s="19" t="s">
        <v>47</v>
      </c>
      <c r="D58" s="19" t="s">
        <v>57</v>
      </c>
      <c r="E58" s="20" t="s">
        <v>58</v>
      </c>
      <c r="F58" s="21">
        <v>1196.25</v>
      </c>
      <c r="G58" s="20">
        <v>-243</v>
      </c>
      <c r="H58" s="22" t="s">
        <v>100</v>
      </c>
      <c r="I58">
        <v>100</v>
      </c>
    </row>
    <row r="59" spans="1:9" ht="15.6" x14ac:dyDescent="0.3">
      <c r="A59" s="18">
        <v>2023</v>
      </c>
      <c r="B59" s="19" t="s">
        <v>84</v>
      </c>
      <c r="C59" s="19" t="s">
        <v>36</v>
      </c>
      <c r="D59" s="19" t="s">
        <v>22</v>
      </c>
      <c r="E59" s="20" t="s">
        <v>19</v>
      </c>
      <c r="F59" s="21">
        <v>5483.75</v>
      </c>
      <c r="G59" s="20">
        <v>3187</v>
      </c>
      <c r="H59" s="22" t="s">
        <v>101</v>
      </c>
      <c r="I59">
        <v>100</v>
      </c>
    </row>
    <row r="60" spans="1:9" ht="15.6" x14ac:dyDescent="0.3">
      <c r="A60" s="18">
        <v>2023</v>
      </c>
      <c r="B60" s="19" t="s">
        <v>84</v>
      </c>
      <c r="C60" s="19" t="s">
        <v>56</v>
      </c>
      <c r="D60" s="19" t="s">
        <v>22</v>
      </c>
      <c r="E60" s="20" t="s">
        <v>19</v>
      </c>
      <c r="F60" s="21">
        <v>13038.75</v>
      </c>
      <c r="G60" s="20">
        <v>9231</v>
      </c>
      <c r="H60" s="22" t="s">
        <v>102</v>
      </c>
      <c r="I60">
        <v>100</v>
      </c>
    </row>
    <row r="61" spans="1:9" ht="15.6" x14ac:dyDescent="0.3">
      <c r="A61" s="18">
        <v>2023</v>
      </c>
      <c r="B61" s="19" t="s">
        <v>84</v>
      </c>
      <c r="C61" s="19" t="s">
        <v>36</v>
      </c>
      <c r="D61" s="19" t="s">
        <v>22</v>
      </c>
      <c r="E61" s="20" t="s">
        <v>19</v>
      </c>
      <c r="F61" s="21">
        <v>5483.75</v>
      </c>
      <c r="G61" s="20">
        <v>3187</v>
      </c>
      <c r="H61" s="22" t="s">
        <v>103</v>
      </c>
      <c r="I61">
        <v>100</v>
      </c>
    </row>
    <row r="62" spans="1:9" ht="15.6" x14ac:dyDescent="0.3">
      <c r="A62" s="18">
        <v>2023</v>
      </c>
      <c r="B62" s="19" t="s">
        <v>84</v>
      </c>
      <c r="C62" s="19" t="s">
        <v>56</v>
      </c>
      <c r="D62" s="19" t="s">
        <v>22</v>
      </c>
      <c r="E62" s="20" t="s">
        <v>19</v>
      </c>
      <c r="F62" s="21">
        <v>13038.75</v>
      </c>
      <c r="G62" s="20">
        <v>9231</v>
      </c>
      <c r="H62" s="22" t="s">
        <v>104</v>
      </c>
      <c r="I62">
        <v>100</v>
      </c>
    </row>
    <row r="63" spans="1:9" ht="15.6" x14ac:dyDescent="0.3">
      <c r="A63" s="18">
        <v>2023</v>
      </c>
      <c r="B63" s="19" t="s">
        <v>105</v>
      </c>
      <c r="C63" s="19" t="s">
        <v>56</v>
      </c>
      <c r="D63" s="19" t="s">
        <v>37</v>
      </c>
      <c r="E63" s="20" t="s">
        <v>17</v>
      </c>
      <c r="F63" s="21">
        <v>2972.5</v>
      </c>
      <c r="G63" s="20">
        <v>1178</v>
      </c>
      <c r="H63" s="22" t="s">
        <v>106</v>
      </c>
      <c r="I63">
        <v>100</v>
      </c>
    </row>
    <row r="64" spans="1:9" ht="15.6" x14ac:dyDescent="0.3">
      <c r="A64" s="18">
        <v>2023</v>
      </c>
      <c r="B64" s="19" t="s">
        <v>105</v>
      </c>
      <c r="C64" s="19" t="s">
        <v>47</v>
      </c>
      <c r="D64" s="19" t="s">
        <v>37</v>
      </c>
      <c r="E64" s="20" t="s">
        <v>17</v>
      </c>
      <c r="F64" s="21">
        <v>6733.75</v>
      </c>
      <c r="G64" s="20">
        <v>4187</v>
      </c>
      <c r="H64" s="22" t="s">
        <v>107</v>
      </c>
      <c r="I64">
        <v>100</v>
      </c>
    </row>
    <row r="65" spans="1:9" ht="15.6" x14ac:dyDescent="0.3">
      <c r="A65" s="18">
        <v>2023</v>
      </c>
      <c r="B65" s="19" t="s">
        <v>105</v>
      </c>
      <c r="C65" s="19" t="s">
        <v>56</v>
      </c>
      <c r="D65" s="19" t="s">
        <v>37</v>
      </c>
      <c r="E65" s="20" t="s">
        <v>17</v>
      </c>
      <c r="F65" s="21">
        <v>2972.5</v>
      </c>
      <c r="G65" s="20">
        <v>1178</v>
      </c>
      <c r="H65" s="22" t="s">
        <v>108</v>
      </c>
      <c r="I65">
        <v>100</v>
      </c>
    </row>
    <row r="66" spans="1:9" ht="15.6" x14ac:dyDescent="0.3">
      <c r="A66" s="18">
        <v>2023</v>
      </c>
      <c r="B66" s="19" t="s">
        <v>105</v>
      </c>
      <c r="C66" s="19" t="s">
        <v>47</v>
      </c>
      <c r="D66" s="19" t="s">
        <v>37</v>
      </c>
      <c r="E66" s="20" t="s">
        <v>17</v>
      </c>
      <c r="F66" s="21">
        <v>6733.75</v>
      </c>
      <c r="G66" s="20">
        <v>4187</v>
      </c>
      <c r="H66" s="22" t="s">
        <v>109</v>
      </c>
      <c r="I66">
        <v>100</v>
      </c>
    </row>
    <row r="67" spans="1:9" ht="15.6" x14ac:dyDescent="0.3">
      <c r="A67" s="18">
        <v>2023</v>
      </c>
      <c r="B67" s="19" t="s">
        <v>105</v>
      </c>
      <c r="C67" s="19" t="s">
        <v>36</v>
      </c>
      <c r="D67" s="19" t="s">
        <v>45</v>
      </c>
      <c r="E67" s="20" t="s">
        <v>19</v>
      </c>
      <c r="F67" s="21">
        <v>10865</v>
      </c>
      <c r="G67" s="20">
        <v>7492</v>
      </c>
      <c r="H67" s="22" t="s">
        <v>110</v>
      </c>
      <c r="I67">
        <v>100</v>
      </c>
    </row>
    <row r="68" spans="1:9" ht="15.6" x14ac:dyDescent="0.3">
      <c r="A68" s="18">
        <v>2023</v>
      </c>
      <c r="B68" s="19" t="s">
        <v>105</v>
      </c>
      <c r="C68" s="19" t="s">
        <v>56</v>
      </c>
      <c r="D68" s="19" t="s">
        <v>45</v>
      </c>
      <c r="E68" s="20" t="s">
        <v>19</v>
      </c>
      <c r="F68" s="21">
        <v>2972.5</v>
      </c>
      <c r="G68" s="20">
        <v>1178</v>
      </c>
      <c r="H68" s="22" t="s">
        <v>111</v>
      </c>
      <c r="I68">
        <v>100</v>
      </c>
    </row>
    <row r="69" spans="1:9" ht="15.6" x14ac:dyDescent="0.3">
      <c r="A69" s="18">
        <v>2023</v>
      </c>
      <c r="B69" s="19" t="s">
        <v>105</v>
      </c>
      <c r="C69" s="19" t="s">
        <v>36</v>
      </c>
      <c r="D69" s="19" t="s">
        <v>45</v>
      </c>
      <c r="E69" s="20" t="s">
        <v>19</v>
      </c>
      <c r="F69" s="21">
        <v>6858.75</v>
      </c>
      <c r="G69" s="20">
        <v>4287</v>
      </c>
      <c r="H69" s="22" t="s">
        <v>112</v>
      </c>
      <c r="I69">
        <v>100</v>
      </c>
    </row>
    <row r="70" spans="1:9" ht="15.6" x14ac:dyDescent="0.3">
      <c r="A70" s="18">
        <v>2023</v>
      </c>
      <c r="B70" s="19" t="s">
        <v>105</v>
      </c>
      <c r="C70" s="19" t="s">
        <v>40</v>
      </c>
      <c r="D70" s="19" t="s">
        <v>45</v>
      </c>
      <c r="E70" s="20" t="s">
        <v>19</v>
      </c>
      <c r="F70" s="21">
        <v>2705</v>
      </c>
      <c r="G70" s="20">
        <v>964</v>
      </c>
      <c r="H70" s="22" t="s">
        <v>113</v>
      </c>
      <c r="I70">
        <v>100</v>
      </c>
    </row>
    <row r="71" spans="1:9" ht="15.6" x14ac:dyDescent="0.3">
      <c r="A71" s="18">
        <v>2023</v>
      </c>
      <c r="B71" s="19" t="s">
        <v>105</v>
      </c>
      <c r="C71" s="19" t="s">
        <v>36</v>
      </c>
      <c r="D71" s="19" t="s">
        <v>45</v>
      </c>
      <c r="E71" s="20" t="s">
        <v>19</v>
      </c>
      <c r="F71" s="21">
        <v>10865</v>
      </c>
      <c r="G71" s="20">
        <v>7492</v>
      </c>
      <c r="H71" s="22" t="s">
        <v>114</v>
      </c>
      <c r="I71">
        <v>100</v>
      </c>
    </row>
    <row r="72" spans="1:9" ht="15.6" x14ac:dyDescent="0.3">
      <c r="A72" s="18">
        <v>2023</v>
      </c>
      <c r="B72" s="19" t="s">
        <v>105</v>
      </c>
      <c r="C72" s="19" t="s">
        <v>56</v>
      </c>
      <c r="D72" s="19" t="s">
        <v>45</v>
      </c>
      <c r="E72" s="20" t="s">
        <v>19</v>
      </c>
      <c r="F72" s="21">
        <v>2972.5</v>
      </c>
      <c r="G72" s="20">
        <v>1178</v>
      </c>
      <c r="H72" s="22" t="s">
        <v>115</v>
      </c>
      <c r="I72">
        <v>100</v>
      </c>
    </row>
    <row r="73" spans="1:9" ht="15.6" x14ac:dyDescent="0.3">
      <c r="A73" s="18">
        <v>2023</v>
      </c>
      <c r="B73" s="19" t="s">
        <v>105</v>
      </c>
      <c r="C73" s="19" t="s">
        <v>36</v>
      </c>
      <c r="D73" s="19" t="s">
        <v>45</v>
      </c>
      <c r="E73" s="20" t="s">
        <v>19</v>
      </c>
      <c r="F73" s="21">
        <v>6858.75</v>
      </c>
      <c r="G73" s="20">
        <v>4287</v>
      </c>
      <c r="H73" s="22" t="s">
        <v>116</v>
      </c>
      <c r="I73">
        <v>100</v>
      </c>
    </row>
    <row r="74" spans="1:9" ht="15.6" x14ac:dyDescent="0.3">
      <c r="A74" s="18">
        <v>2023</v>
      </c>
      <c r="B74" s="19" t="s">
        <v>105</v>
      </c>
      <c r="C74" s="19" t="s">
        <v>40</v>
      </c>
      <c r="D74" s="19" t="s">
        <v>45</v>
      </c>
      <c r="E74" s="20" t="s">
        <v>19</v>
      </c>
      <c r="F74" s="21">
        <v>2705</v>
      </c>
      <c r="G74" s="20">
        <v>964</v>
      </c>
      <c r="H74" s="22" t="s">
        <v>117</v>
      </c>
      <c r="I74">
        <v>100</v>
      </c>
    </row>
    <row r="75" spans="1:9" ht="15.6" x14ac:dyDescent="0.3">
      <c r="A75" s="18">
        <v>2023</v>
      </c>
      <c r="B75" s="19" t="s">
        <v>105</v>
      </c>
      <c r="C75" s="19" t="s">
        <v>47</v>
      </c>
      <c r="D75" s="19" t="s">
        <v>51</v>
      </c>
      <c r="E75" s="20" t="s">
        <v>18</v>
      </c>
      <c r="F75" s="21">
        <v>8327.5</v>
      </c>
      <c r="G75" s="20">
        <v>5462</v>
      </c>
      <c r="H75" s="22" t="s">
        <v>118</v>
      </c>
      <c r="I75">
        <v>100</v>
      </c>
    </row>
    <row r="76" spans="1:9" ht="15.6" x14ac:dyDescent="0.3">
      <c r="A76" s="18">
        <v>2023</v>
      </c>
      <c r="B76" s="19" t="s">
        <v>105</v>
      </c>
      <c r="C76" s="19" t="s">
        <v>47</v>
      </c>
      <c r="D76" s="19" t="s">
        <v>51</v>
      </c>
      <c r="E76" s="20" t="s">
        <v>18</v>
      </c>
      <c r="F76" s="21">
        <v>10268.75</v>
      </c>
      <c r="G76" s="20">
        <v>7015</v>
      </c>
      <c r="H76" s="22" t="s">
        <v>119</v>
      </c>
      <c r="I76">
        <v>100</v>
      </c>
    </row>
    <row r="77" spans="1:9" ht="15.6" x14ac:dyDescent="0.3">
      <c r="A77" s="18">
        <v>2023</v>
      </c>
      <c r="B77" s="19" t="s">
        <v>105</v>
      </c>
      <c r="C77" s="19" t="s">
        <v>36</v>
      </c>
      <c r="D77" s="19" t="s">
        <v>51</v>
      </c>
      <c r="E77" s="20" t="s">
        <v>18</v>
      </c>
      <c r="F77" s="21">
        <v>12190</v>
      </c>
      <c r="G77" s="20">
        <v>8552</v>
      </c>
      <c r="H77" s="22" t="s">
        <v>120</v>
      </c>
      <c r="I77">
        <v>100</v>
      </c>
    </row>
    <row r="78" spans="1:9" ht="15.6" x14ac:dyDescent="0.3">
      <c r="A78" s="18">
        <v>2023</v>
      </c>
      <c r="B78" s="19" t="s">
        <v>105</v>
      </c>
      <c r="C78" s="19" t="s">
        <v>47</v>
      </c>
      <c r="D78" s="19" t="s">
        <v>51</v>
      </c>
      <c r="E78" s="20" t="s">
        <v>18</v>
      </c>
      <c r="F78" s="21">
        <v>13182.5</v>
      </c>
      <c r="G78" s="20">
        <v>9346</v>
      </c>
      <c r="H78" s="22" t="s">
        <v>121</v>
      </c>
      <c r="I78">
        <v>100</v>
      </c>
    </row>
    <row r="79" spans="1:9" ht="15.6" x14ac:dyDescent="0.3">
      <c r="A79" s="18">
        <v>2023</v>
      </c>
      <c r="B79" s="19" t="s">
        <v>105</v>
      </c>
      <c r="C79" s="19" t="s">
        <v>56</v>
      </c>
      <c r="D79" s="19" t="s">
        <v>51</v>
      </c>
      <c r="E79" s="20" t="s">
        <v>18</v>
      </c>
      <c r="F79" s="21">
        <v>2972.5</v>
      </c>
      <c r="G79" s="20">
        <v>1178</v>
      </c>
      <c r="H79" s="22" t="s">
        <v>122</v>
      </c>
      <c r="I79">
        <v>100</v>
      </c>
    </row>
    <row r="80" spans="1:9" ht="15.6" x14ac:dyDescent="0.3">
      <c r="A80" s="18">
        <v>2023</v>
      </c>
      <c r="B80" s="19" t="s">
        <v>105</v>
      </c>
      <c r="C80" s="19" t="s">
        <v>47</v>
      </c>
      <c r="D80" s="19" t="s">
        <v>51</v>
      </c>
      <c r="E80" s="20" t="s">
        <v>18</v>
      </c>
      <c r="F80" s="21">
        <v>8327.5</v>
      </c>
      <c r="G80" s="20">
        <v>5462</v>
      </c>
      <c r="H80" s="22" t="s">
        <v>123</v>
      </c>
      <c r="I80">
        <v>100</v>
      </c>
    </row>
    <row r="81" spans="1:9" ht="15.6" x14ac:dyDescent="0.3">
      <c r="A81" s="18">
        <v>2023</v>
      </c>
      <c r="B81" s="19" t="s">
        <v>105</v>
      </c>
      <c r="C81" s="19" t="s">
        <v>47</v>
      </c>
      <c r="D81" s="19" t="s">
        <v>51</v>
      </c>
      <c r="E81" s="20" t="s">
        <v>18</v>
      </c>
      <c r="F81" s="21">
        <v>10268.75</v>
      </c>
      <c r="G81" s="20">
        <v>7015</v>
      </c>
      <c r="H81" s="22" t="s">
        <v>124</v>
      </c>
      <c r="I81">
        <v>100</v>
      </c>
    </row>
    <row r="82" spans="1:9" ht="15.6" x14ac:dyDescent="0.3">
      <c r="A82" s="18">
        <v>2023</v>
      </c>
      <c r="B82" s="19" t="s">
        <v>105</v>
      </c>
      <c r="C82" s="19" t="s">
        <v>36</v>
      </c>
      <c r="D82" s="19" t="s">
        <v>51</v>
      </c>
      <c r="E82" s="20" t="s">
        <v>18</v>
      </c>
      <c r="F82" s="21">
        <v>12190</v>
      </c>
      <c r="G82" s="20">
        <v>8552</v>
      </c>
      <c r="H82" s="22" t="s">
        <v>125</v>
      </c>
      <c r="I82">
        <v>100</v>
      </c>
    </row>
    <row r="83" spans="1:9" ht="15.6" x14ac:dyDescent="0.3">
      <c r="A83" s="18">
        <v>2023</v>
      </c>
      <c r="B83" s="19" t="s">
        <v>105</v>
      </c>
      <c r="C83" s="19" t="s">
        <v>47</v>
      </c>
      <c r="D83" s="19" t="s">
        <v>51</v>
      </c>
      <c r="E83" s="20" t="s">
        <v>18</v>
      </c>
      <c r="F83" s="21">
        <v>13182.5</v>
      </c>
      <c r="G83" s="20">
        <v>9346</v>
      </c>
      <c r="H83" s="22" t="s">
        <v>126</v>
      </c>
      <c r="I83">
        <v>100</v>
      </c>
    </row>
    <row r="84" spans="1:9" ht="15.6" x14ac:dyDescent="0.3">
      <c r="A84" s="18">
        <v>2023</v>
      </c>
      <c r="B84" s="19" t="s">
        <v>105</v>
      </c>
      <c r="C84" s="19" t="s">
        <v>56</v>
      </c>
      <c r="D84" s="19" t="s">
        <v>51</v>
      </c>
      <c r="E84" s="20" t="s">
        <v>18</v>
      </c>
      <c r="F84" s="21">
        <v>2972.5</v>
      </c>
      <c r="G84" s="20">
        <v>1178</v>
      </c>
      <c r="H84" s="22" t="s">
        <v>127</v>
      </c>
      <c r="I84">
        <v>100</v>
      </c>
    </row>
    <row r="85" spans="1:9" ht="15.6" x14ac:dyDescent="0.3">
      <c r="A85" s="18">
        <v>2023</v>
      </c>
      <c r="B85" s="19" t="s">
        <v>105</v>
      </c>
      <c r="C85" s="19" t="s">
        <v>36</v>
      </c>
      <c r="D85" s="19" t="s">
        <v>57</v>
      </c>
      <c r="E85" s="20" t="s">
        <v>58</v>
      </c>
      <c r="F85" s="21">
        <v>10865</v>
      </c>
      <c r="G85" s="20">
        <v>7492</v>
      </c>
      <c r="H85" s="22" t="s">
        <v>128</v>
      </c>
      <c r="I85">
        <v>100</v>
      </c>
    </row>
    <row r="86" spans="1:9" ht="15.6" x14ac:dyDescent="0.3">
      <c r="A86" s="18">
        <v>2023</v>
      </c>
      <c r="B86" s="19" t="s">
        <v>105</v>
      </c>
      <c r="C86" s="19" t="s">
        <v>36</v>
      </c>
      <c r="D86" s="19" t="s">
        <v>57</v>
      </c>
      <c r="E86" s="20" t="s">
        <v>58</v>
      </c>
      <c r="F86" s="21">
        <v>10982.5</v>
      </c>
      <c r="G86" s="20">
        <v>7586</v>
      </c>
      <c r="H86" s="22" t="s">
        <v>129</v>
      </c>
      <c r="I86">
        <v>100</v>
      </c>
    </row>
    <row r="87" spans="1:9" ht="15.6" x14ac:dyDescent="0.3">
      <c r="A87" s="18">
        <v>2023</v>
      </c>
      <c r="B87" s="19" t="s">
        <v>105</v>
      </c>
      <c r="C87" s="19" t="s">
        <v>36</v>
      </c>
      <c r="D87" s="19" t="s">
        <v>57</v>
      </c>
      <c r="E87" s="20" t="s">
        <v>58</v>
      </c>
      <c r="F87" s="21">
        <v>10865</v>
      </c>
      <c r="G87" s="20">
        <v>7492</v>
      </c>
      <c r="H87" s="22" t="s">
        <v>130</v>
      </c>
      <c r="I87">
        <v>100</v>
      </c>
    </row>
    <row r="88" spans="1:9" ht="15.6" x14ac:dyDescent="0.3">
      <c r="A88" s="18">
        <v>2023</v>
      </c>
      <c r="B88" s="19" t="s">
        <v>105</v>
      </c>
      <c r="C88" s="19" t="s">
        <v>36</v>
      </c>
      <c r="D88" s="19" t="s">
        <v>57</v>
      </c>
      <c r="E88" s="20" t="s">
        <v>58</v>
      </c>
      <c r="F88" s="21">
        <v>10982.5</v>
      </c>
      <c r="G88" s="20">
        <v>7586</v>
      </c>
      <c r="H88" s="22" t="s">
        <v>131</v>
      </c>
      <c r="I88">
        <v>100</v>
      </c>
    </row>
    <row r="89" spans="1:9" ht="15.6" x14ac:dyDescent="0.3">
      <c r="A89" s="18">
        <v>2023</v>
      </c>
      <c r="B89" s="19" t="s">
        <v>105</v>
      </c>
      <c r="C89" s="19" t="s">
        <v>36</v>
      </c>
      <c r="D89" s="19" t="s">
        <v>22</v>
      </c>
      <c r="E89" s="20" t="s">
        <v>19</v>
      </c>
      <c r="F89" s="21">
        <v>6858.75</v>
      </c>
      <c r="G89" s="20">
        <v>4287</v>
      </c>
      <c r="H89" s="22" t="s">
        <v>132</v>
      </c>
      <c r="I89">
        <v>100</v>
      </c>
    </row>
    <row r="90" spans="1:9" ht="15.6" x14ac:dyDescent="0.3">
      <c r="A90" s="18">
        <v>2023</v>
      </c>
      <c r="B90" s="19" t="s">
        <v>105</v>
      </c>
      <c r="C90" s="19" t="s">
        <v>40</v>
      </c>
      <c r="D90" s="19" t="s">
        <v>22</v>
      </c>
      <c r="E90" s="20" t="s">
        <v>19</v>
      </c>
      <c r="F90" s="21">
        <v>2705</v>
      </c>
      <c r="G90" s="20">
        <v>964</v>
      </c>
      <c r="H90" s="22" t="s">
        <v>133</v>
      </c>
      <c r="I90">
        <v>100</v>
      </c>
    </row>
    <row r="91" spans="1:9" ht="15.6" x14ac:dyDescent="0.3">
      <c r="A91" s="18">
        <v>2023</v>
      </c>
      <c r="B91" s="19" t="s">
        <v>105</v>
      </c>
      <c r="C91" s="19" t="s">
        <v>36</v>
      </c>
      <c r="D91" s="19" t="s">
        <v>22</v>
      </c>
      <c r="E91" s="20" t="s">
        <v>19</v>
      </c>
      <c r="F91" s="21">
        <v>6858.75</v>
      </c>
      <c r="G91" s="20">
        <v>4287</v>
      </c>
      <c r="H91" s="22" t="s">
        <v>134</v>
      </c>
      <c r="I91">
        <v>100</v>
      </c>
    </row>
    <row r="92" spans="1:9" ht="15.6" x14ac:dyDescent="0.3">
      <c r="A92" s="18">
        <v>2023</v>
      </c>
      <c r="B92" s="19" t="s">
        <v>105</v>
      </c>
      <c r="C92" s="19" t="s">
        <v>40</v>
      </c>
      <c r="D92" s="19" t="s">
        <v>22</v>
      </c>
      <c r="E92" s="20" t="s">
        <v>19</v>
      </c>
      <c r="F92" s="21">
        <v>2705</v>
      </c>
      <c r="G92" s="20">
        <v>964</v>
      </c>
      <c r="H92" s="22" t="s">
        <v>135</v>
      </c>
      <c r="I92">
        <v>100</v>
      </c>
    </row>
    <row r="93" spans="1:9" ht="15.6" x14ac:dyDescent="0.3">
      <c r="A93" s="18">
        <v>2023</v>
      </c>
      <c r="B93" s="19" t="s">
        <v>136</v>
      </c>
      <c r="C93" s="19" t="s">
        <v>40</v>
      </c>
      <c r="D93" s="19" t="s">
        <v>37</v>
      </c>
      <c r="E93" s="20" t="s">
        <v>17</v>
      </c>
      <c r="F93" s="21">
        <v>1622.5</v>
      </c>
      <c r="G93" s="20">
        <v>98</v>
      </c>
      <c r="H93" s="22" t="s">
        <v>137</v>
      </c>
      <c r="I93">
        <v>100</v>
      </c>
    </row>
    <row r="94" spans="1:9" ht="15.6" x14ac:dyDescent="0.3">
      <c r="A94" s="18">
        <v>2023</v>
      </c>
      <c r="B94" s="19" t="s">
        <v>136</v>
      </c>
      <c r="C94" s="19" t="s">
        <v>56</v>
      </c>
      <c r="D94" s="19" t="s">
        <v>37</v>
      </c>
      <c r="E94" s="20" t="s">
        <v>17</v>
      </c>
      <c r="F94" s="21">
        <v>7118.75</v>
      </c>
      <c r="G94" s="20">
        <v>4495</v>
      </c>
      <c r="H94" s="22" t="s">
        <v>138</v>
      </c>
      <c r="I94">
        <v>100</v>
      </c>
    </row>
    <row r="95" spans="1:9" ht="15.6" x14ac:dyDescent="0.3">
      <c r="A95" s="18">
        <v>2023</v>
      </c>
      <c r="B95" s="19" t="s">
        <v>136</v>
      </c>
      <c r="C95" s="19" t="s">
        <v>40</v>
      </c>
      <c r="D95" s="19" t="s">
        <v>37</v>
      </c>
      <c r="E95" s="20" t="s">
        <v>17</v>
      </c>
      <c r="F95" s="21">
        <v>1622.5</v>
      </c>
      <c r="G95" s="20">
        <v>98</v>
      </c>
      <c r="H95" s="22" t="s">
        <v>139</v>
      </c>
      <c r="I95">
        <v>100</v>
      </c>
    </row>
    <row r="96" spans="1:9" ht="15.6" x14ac:dyDescent="0.3">
      <c r="A96" s="18">
        <v>2023</v>
      </c>
      <c r="B96" s="19" t="s">
        <v>136</v>
      </c>
      <c r="C96" s="19" t="s">
        <v>56</v>
      </c>
      <c r="D96" s="19" t="s">
        <v>37</v>
      </c>
      <c r="E96" s="20" t="s">
        <v>17</v>
      </c>
      <c r="F96" s="21">
        <v>7118.75</v>
      </c>
      <c r="G96" s="20">
        <v>4495</v>
      </c>
      <c r="H96" s="22" t="s">
        <v>140</v>
      </c>
      <c r="I96">
        <v>100</v>
      </c>
    </row>
    <row r="97" spans="1:9" ht="15.6" x14ac:dyDescent="0.3">
      <c r="A97" s="18">
        <v>2023</v>
      </c>
      <c r="B97" s="19" t="s">
        <v>136</v>
      </c>
      <c r="C97" s="19" t="s">
        <v>56</v>
      </c>
      <c r="D97" s="19" t="s">
        <v>45</v>
      </c>
      <c r="E97" s="20" t="s">
        <v>19</v>
      </c>
      <c r="F97" s="21">
        <v>7120</v>
      </c>
      <c r="G97" s="20">
        <v>4496</v>
      </c>
      <c r="H97" s="22" t="s">
        <v>141</v>
      </c>
      <c r="I97">
        <v>100</v>
      </c>
    </row>
    <row r="98" spans="1:9" ht="15.6" x14ac:dyDescent="0.3">
      <c r="A98" s="18">
        <v>2023</v>
      </c>
      <c r="B98" s="19" t="s">
        <v>136</v>
      </c>
      <c r="C98" s="19" t="s">
        <v>36</v>
      </c>
      <c r="D98" s="19" t="s">
        <v>45</v>
      </c>
      <c r="E98" s="20" t="s">
        <v>19</v>
      </c>
      <c r="F98" s="21">
        <v>6733.75</v>
      </c>
      <c r="G98" s="20">
        <v>4187</v>
      </c>
      <c r="H98" s="22" t="s">
        <v>142</v>
      </c>
      <c r="I98">
        <v>100</v>
      </c>
    </row>
    <row r="99" spans="1:9" ht="15.6" x14ac:dyDescent="0.3">
      <c r="A99" s="18">
        <v>2023</v>
      </c>
      <c r="B99" s="19" t="s">
        <v>136</v>
      </c>
      <c r="C99" s="19" t="s">
        <v>56</v>
      </c>
      <c r="D99" s="19" t="s">
        <v>45</v>
      </c>
      <c r="E99" s="20" t="s">
        <v>19</v>
      </c>
      <c r="F99" s="21">
        <v>7120</v>
      </c>
      <c r="G99" s="20">
        <v>4496</v>
      </c>
      <c r="H99" s="22" t="s">
        <v>143</v>
      </c>
      <c r="I99">
        <v>100</v>
      </c>
    </row>
    <row r="100" spans="1:9" ht="15.6" x14ac:dyDescent="0.3">
      <c r="A100" s="18">
        <v>2023</v>
      </c>
      <c r="B100" s="19" t="s">
        <v>136</v>
      </c>
      <c r="C100" s="19" t="s">
        <v>36</v>
      </c>
      <c r="D100" s="19" t="s">
        <v>45</v>
      </c>
      <c r="E100" s="20" t="s">
        <v>19</v>
      </c>
      <c r="F100" s="21">
        <v>6733.75</v>
      </c>
      <c r="G100" s="20">
        <v>4187</v>
      </c>
      <c r="H100" s="22" t="s">
        <v>144</v>
      </c>
      <c r="I100">
        <v>100</v>
      </c>
    </row>
    <row r="101" spans="1:9" ht="15.6" x14ac:dyDescent="0.3">
      <c r="A101" s="18">
        <v>2023</v>
      </c>
      <c r="B101" s="19" t="s">
        <v>136</v>
      </c>
      <c r="C101" s="19" t="s">
        <v>36</v>
      </c>
      <c r="D101" s="19" t="s">
        <v>51</v>
      </c>
      <c r="E101" s="20" t="s">
        <v>18</v>
      </c>
      <c r="F101" s="21">
        <v>5483.75</v>
      </c>
      <c r="G101" s="20">
        <v>3187</v>
      </c>
      <c r="H101" s="22" t="s">
        <v>145</v>
      </c>
      <c r="I101">
        <v>100</v>
      </c>
    </row>
    <row r="102" spans="1:9" ht="15.6" x14ac:dyDescent="0.3">
      <c r="A102" s="18">
        <v>2023</v>
      </c>
      <c r="B102" s="19" t="s">
        <v>136</v>
      </c>
      <c r="C102" s="19" t="s">
        <v>36</v>
      </c>
      <c r="D102" s="19" t="s">
        <v>51</v>
      </c>
      <c r="E102" s="20" t="s">
        <v>18</v>
      </c>
      <c r="F102" s="21">
        <v>10865</v>
      </c>
      <c r="G102" s="20">
        <v>7492</v>
      </c>
      <c r="H102" s="22" t="s">
        <v>146</v>
      </c>
      <c r="I102">
        <v>100</v>
      </c>
    </row>
    <row r="103" spans="1:9" ht="15.6" x14ac:dyDescent="0.3">
      <c r="A103" s="18">
        <v>2023</v>
      </c>
      <c r="B103" s="19" t="s">
        <v>136</v>
      </c>
      <c r="C103" s="19" t="s">
        <v>36</v>
      </c>
      <c r="D103" s="19" t="s">
        <v>51</v>
      </c>
      <c r="E103" s="20" t="s">
        <v>18</v>
      </c>
      <c r="F103" s="21">
        <v>5483.75</v>
      </c>
      <c r="G103" s="20">
        <v>3187</v>
      </c>
      <c r="H103" s="22" t="s">
        <v>147</v>
      </c>
      <c r="I103">
        <v>100</v>
      </c>
    </row>
    <row r="104" spans="1:9" ht="15.6" x14ac:dyDescent="0.3">
      <c r="A104" s="18">
        <v>2023</v>
      </c>
      <c r="B104" s="19" t="s">
        <v>136</v>
      </c>
      <c r="C104" s="19" t="s">
        <v>36</v>
      </c>
      <c r="D104" s="19" t="s">
        <v>51</v>
      </c>
      <c r="E104" s="20" t="s">
        <v>18</v>
      </c>
      <c r="F104" s="21">
        <v>10865</v>
      </c>
      <c r="G104" s="20">
        <v>7492</v>
      </c>
      <c r="H104" s="22" t="s">
        <v>148</v>
      </c>
      <c r="I104">
        <v>100</v>
      </c>
    </row>
    <row r="105" spans="1:9" ht="15.6" x14ac:dyDescent="0.3">
      <c r="A105" s="18">
        <v>2023</v>
      </c>
      <c r="B105" s="19" t="s">
        <v>136</v>
      </c>
      <c r="C105" s="19" t="s">
        <v>56</v>
      </c>
      <c r="D105" s="19" t="s">
        <v>57</v>
      </c>
      <c r="E105" s="20" t="s">
        <v>58</v>
      </c>
      <c r="F105" s="21">
        <v>7120</v>
      </c>
      <c r="G105" s="20">
        <v>4496</v>
      </c>
      <c r="H105" s="22" t="s">
        <v>149</v>
      </c>
      <c r="I105">
        <v>100</v>
      </c>
    </row>
    <row r="106" spans="1:9" ht="15.6" x14ac:dyDescent="0.3">
      <c r="A106" s="18">
        <v>2023</v>
      </c>
      <c r="B106" s="19" t="s">
        <v>136</v>
      </c>
      <c r="C106" s="19" t="s">
        <v>36</v>
      </c>
      <c r="D106" s="19" t="s">
        <v>57</v>
      </c>
      <c r="E106" s="20" t="s">
        <v>58</v>
      </c>
      <c r="F106" s="21">
        <v>6733.75</v>
      </c>
      <c r="G106" s="20">
        <v>4187</v>
      </c>
      <c r="H106" s="22" t="s">
        <v>150</v>
      </c>
      <c r="I106">
        <v>100</v>
      </c>
    </row>
    <row r="107" spans="1:9" ht="15.6" x14ac:dyDescent="0.3">
      <c r="A107" s="18">
        <v>2023</v>
      </c>
      <c r="B107" s="19" t="s">
        <v>136</v>
      </c>
      <c r="C107" s="19" t="s">
        <v>36</v>
      </c>
      <c r="D107" s="19" t="s">
        <v>57</v>
      </c>
      <c r="E107" s="20" t="s">
        <v>58</v>
      </c>
      <c r="F107" s="21">
        <v>7098.75</v>
      </c>
      <c r="G107" s="20">
        <v>4479</v>
      </c>
      <c r="H107" s="22" t="s">
        <v>151</v>
      </c>
      <c r="I107">
        <v>100</v>
      </c>
    </row>
    <row r="108" spans="1:9" ht="15.6" x14ac:dyDescent="0.3">
      <c r="A108" s="18">
        <v>2023</v>
      </c>
      <c r="B108" s="19" t="s">
        <v>136</v>
      </c>
      <c r="C108" s="19" t="s">
        <v>56</v>
      </c>
      <c r="D108" s="19" t="s">
        <v>57</v>
      </c>
      <c r="E108" s="20" t="s">
        <v>58</v>
      </c>
      <c r="F108" s="21">
        <v>7120</v>
      </c>
      <c r="G108" s="20">
        <v>4496</v>
      </c>
      <c r="H108" s="22" t="s">
        <v>152</v>
      </c>
      <c r="I108">
        <v>100</v>
      </c>
    </row>
    <row r="109" spans="1:9" ht="15.6" x14ac:dyDescent="0.3">
      <c r="A109" s="18">
        <v>2023</v>
      </c>
      <c r="B109" s="19" t="s">
        <v>136</v>
      </c>
      <c r="C109" s="19" t="s">
        <v>36</v>
      </c>
      <c r="D109" s="19" t="s">
        <v>57</v>
      </c>
      <c r="E109" s="20" t="s">
        <v>58</v>
      </c>
      <c r="F109" s="21">
        <v>6733.75</v>
      </c>
      <c r="G109" s="20">
        <v>4187</v>
      </c>
      <c r="H109" s="22" t="s">
        <v>153</v>
      </c>
      <c r="I109">
        <v>100</v>
      </c>
    </row>
    <row r="110" spans="1:9" ht="15.6" x14ac:dyDescent="0.3">
      <c r="A110" s="18">
        <v>2023</v>
      </c>
      <c r="B110" s="19" t="s">
        <v>136</v>
      </c>
      <c r="C110" s="19" t="s">
        <v>36</v>
      </c>
      <c r="D110" s="19" t="s">
        <v>57</v>
      </c>
      <c r="E110" s="20" t="s">
        <v>58</v>
      </c>
      <c r="F110" s="21">
        <v>7098.75</v>
      </c>
      <c r="G110" s="20">
        <v>4479</v>
      </c>
      <c r="H110" s="22" t="s">
        <v>154</v>
      </c>
      <c r="I110">
        <v>100</v>
      </c>
    </row>
    <row r="111" spans="1:9" ht="15.6" x14ac:dyDescent="0.3">
      <c r="A111" s="18">
        <v>2023</v>
      </c>
      <c r="B111" s="19" t="s">
        <v>136</v>
      </c>
      <c r="C111" s="19" t="s">
        <v>47</v>
      </c>
      <c r="D111" s="19" t="s">
        <v>22</v>
      </c>
      <c r="E111" s="20" t="s">
        <v>19</v>
      </c>
      <c r="F111" s="21">
        <v>6733.75</v>
      </c>
      <c r="G111" s="20">
        <v>4187</v>
      </c>
      <c r="H111" s="22" t="s">
        <v>155</v>
      </c>
      <c r="I111">
        <v>100</v>
      </c>
    </row>
    <row r="112" spans="1:9" ht="15.6" x14ac:dyDescent="0.3">
      <c r="A112" s="18">
        <v>2023</v>
      </c>
      <c r="B112" s="19" t="s">
        <v>136</v>
      </c>
      <c r="C112" s="19" t="s">
        <v>36</v>
      </c>
      <c r="D112" s="19" t="s">
        <v>22</v>
      </c>
      <c r="E112" s="20" t="s">
        <v>19</v>
      </c>
      <c r="F112" s="21">
        <v>8905</v>
      </c>
      <c r="G112" s="20">
        <v>5924</v>
      </c>
      <c r="H112" s="22" t="s">
        <v>156</v>
      </c>
      <c r="I112">
        <v>100</v>
      </c>
    </row>
    <row r="113" spans="1:9" ht="15.6" x14ac:dyDescent="0.3">
      <c r="A113" s="18">
        <v>2023</v>
      </c>
      <c r="B113" s="19" t="s">
        <v>136</v>
      </c>
      <c r="C113" s="19" t="s">
        <v>47</v>
      </c>
      <c r="D113" s="19" t="s">
        <v>22</v>
      </c>
      <c r="E113" s="20" t="s">
        <v>19</v>
      </c>
      <c r="F113" s="21">
        <v>6733.75</v>
      </c>
      <c r="G113" s="20">
        <v>4187</v>
      </c>
      <c r="H113" s="22" t="s">
        <v>157</v>
      </c>
      <c r="I113">
        <v>100</v>
      </c>
    </row>
    <row r="114" spans="1:9" ht="15.6" x14ac:dyDescent="0.3">
      <c r="A114" s="18">
        <v>2023</v>
      </c>
      <c r="B114" s="19" t="s">
        <v>136</v>
      </c>
      <c r="C114" s="19" t="s">
        <v>36</v>
      </c>
      <c r="D114" s="19" t="s">
        <v>22</v>
      </c>
      <c r="E114" s="20" t="s">
        <v>19</v>
      </c>
      <c r="F114" s="21">
        <v>8905</v>
      </c>
      <c r="G114" s="20">
        <v>5924</v>
      </c>
      <c r="H114" s="22" t="s">
        <v>158</v>
      </c>
      <c r="I114">
        <v>100</v>
      </c>
    </row>
    <row r="115" spans="1:9" ht="15.6" x14ac:dyDescent="0.3">
      <c r="A115" s="18">
        <v>2023</v>
      </c>
      <c r="B115" s="19" t="s">
        <v>159</v>
      </c>
      <c r="C115" s="19" t="s">
        <v>36</v>
      </c>
      <c r="D115" s="19" t="s">
        <v>37</v>
      </c>
      <c r="E115" s="20" t="s">
        <v>17</v>
      </c>
      <c r="F115" s="21">
        <v>8028.75</v>
      </c>
      <c r="G115" s="20">
        <v>5223</v>
      </c>
      <c r="H115" s="22" t="s">
        <v>160</v>
      </c>
      <c r="I115">
        <v>100</v>
      </c>
    </row>
    <row r="116" spans="1:9" ht="15.6" x14ac:dyDescent="0.3">
      <c r="A116" s="18">
        <v>2023</v>
      </c>
      <c r="B116" s="19" t="s">
        <v>159</v>
      </c>
      <c r="C116" s="19" t="s">
        <v>36</v>
      </c>
      <c r="D116" s="19" t="s">
        <v>37</v>
      </c>
      <c r="E116" s="20" t="s">
        <v>17</v>
      </c>
      <c r="F116" s="21">
        <v>10160</v>
      </c>
      <c r="G116" s="20">
        <v>6928</v>
      </c>
      <c r="H116" s="22" t="s">
        <v>161</v>
      </c>
      <c r="I116">
        <v>100</v>
      </c>
    </row>
    <row r="117" spans="1:9" ht="15.6" x14ac:dyDescent="0.3">
      <c r="A117" s="18">
        <v>2023</v>
      </c>
      <c r="B117" s="19" t="s">
        <v>159</v>
      </c>
      <c r="C117" s="19" t="s">
        <v>36</v>
      </c>
      <c r="D117" s="19" t="s">
        <v>37</v>
      </c>
      <c r="E117" s="20" t="s">
        <v>17</v>
      </c>
      <c r="F117" s="21">
        <v>8028.75</v>
      </c>
      <c r="G117" s="20">
        <v>5223</v>
      </c>
      <c r="H117" s="22" t="s">
        <v>162</v>
      </c>
      <c r="I117">
        <v>100</v>
      </c>
    </row>
    <row r="118" spans="1:9" ht="15.6" x14ac:dyDescent="0.3">
      <c r="A118" s="18">
        <v>2023</v>
      </c>
      <c r="B118" s="19" t="s">
        <v>159</v>
      </c>
      <c r="C118" s="19" t="s">
        <v>36</v>
      </c>
      <c r="D118" s="19" t="s">
        <v>37</v>
      </c>
      <c r="E118" s="20" t="s">
        <v>17</v>
      </c>
      <c r="F118" s="21">
        <v>10160</v>
      </c>
      <c r="G118" s="20">
        <v>6928</v>
      </c>
      <c r="H118" s="22" t="s">
        <v>163</v>
      </c>
      <c r="I118">
        <v>100</v>
      </c>
    </row>
    <row r="119" spans="1:9" ht="15.6" x14ac:dyDescent="0.3">
      <c r="A119" s="18">
        <v>2023</v>
      </c>
      <c r="B119" s="19" t="s">
        <v>159</v>
      </c>
      <c r="C119" s="19" t="s">
        <v>36</v>
      </c>
      <c r="D119" s="19" t="s">
        <v>45</v>
      </c>
      <c r="E119" s="20" t="s">
        <v>19</v>
      </c>
      <c r="F119" s="21">
        <v>8028.75</v>
      </c>
      <c r="G119" s="20">
        <v>5223</v>
      </c>
      <c r="H119" s="22" t="s">
        <v>164</v>
      </c>
      <c r="I119">
        <v>100</v>
      </c>
    </row>
    <row r="120" spans="1:9" ht="15.6" x14ac:dyDescent="0.3">
      <c r="A120" s="18">
        <v>2023</v>
      </c>
      <c r="B120" s="19" t="s">
        <v>159</v>
      </c>
      <c r="C120" s="19" t="s">
        <v>40</v>
      </c>
      <c r="D120" s="19" t="s">
        <v>45</v>
      </c>
      <c r="E120" s="20" t="s">
        <v>19</v>
      </c>
      <c r="F120" s="21">
        <v>4247.5</v>
      </c>
      <c r="G120" s="20">
        <v>2198</v>
      </c>
      <c r="H120" s="22" t="s">
        <v>165</v>
      </c>
      <c r="I120">
        <v>100</v>
      </c>
    </row>
    <row r="121" spans="1:9" ht="15.6" x14ac:dyDescent="0.3">
      <c r="A121" s="18">
        <v>2023</v>
      </c>
      <c r="B121" s="19" t="s">
        <v>159</v>
      </c>
      <c r="C121" s="19" t="s">
        <v>36</v>
      </c>
      <c r="D121" s="19" t="s">
        <v>45</v>
      </c>
      <c r="E121" s="20" t="s">
        <v>19</v>
      </c>
      <c r="F121" s="21">
        <v>8028.75</v>
      </c>
      <c r="G121" s="20">
        <v>5223</v>
      </c>
      <c r="H121" s="22" t="s">
        <v>166</v>
      </c>
      <c r="I121">
        <v>100</v>
      </c>
    </row>
    <row r="122" spans="1:9" ht="15.6" x14ac:dyDescent="0.3">
      <c r="A122" s="18">
        <v>2023</v>
      </c>
      <c r="B122" s="19" t="s">
        <v>159</v>
      </c>
      <c r="C122" s="19" t="s">
        <v>40</v>
      </c>
      <c r="D122" s="19" t="s">
        <v>45</v>
      </c>
      <c r="E122" s="20" t="s">
        <v>19</v>
      </c>
      <c r="F122" s="21">
        <v>4247.5</v>
      </c>
      <c r="G122" s="20">
        <v>2198</v>
      </c>
      <c r="H122" s="22" t="s">
        <v>167</v>
      </c>
      <c r="I122">
        <v>100</v>
      </c>
    </row>
    <row r="123" spans="1:9" ht="15.6" x14ac:dyDescent="0.3">
      <c r="A123" s="18">
        <v>2023</v>
      </c>
      <c r="B123" s="19" t="s">
        <v>159</v>
      </c>
      <c r="C123" s="19" t="s">
        <v>40</v>
      </c>
      <c r="D123" s="19" t="s">
        <v>51</v>
      </c>
      <c r="E123" s="20" t="s">
        <v>18</v>
      </c>
      <c r="F123" s="21">
        <v>1622.5</v>
      </c>
      <c r="G123" s="20">
        <v>98</v>
      </c>
      <c r="H123" s="22" t="s">
        <v>168</v>
      </c>
      <c r="I123">
        <v>100</v>
      </c>
    </row>
    <row r="124" spans="1:9" ht="15.6" x14ac:dyDescent="0.3">
      <c r="A124" s="18">
        <v>2023</v>
      </c>
      <c r="B124" s="19" t="s">
        <v>159</v>
      </c>
      <c r="C124" s="19" t="s">
        <v>47</v>
      </c>
      <c r="D124" s="19" t="s">
        <v>51</v>
      </c>
      <c r="E124" s="20" t="s">
        <v>18</v>
      </c>
      <c r="F124" s="21">
        <v>6733.75</v>
      </c>
      <c r="G124" s="20">
        <v>4187</v>
      </c>
      <c r="H124" s="22" t="s">
        <v>169</v>
      </c>
      <c r="I124">
        <v>100</v>
      </c>
    </row>
    <row r="125" spans="1:9" ht="15.6" x14ac:dyDescent="0.3">
      <c r="A125" s="18">
        <v>2023</v>
      </c>
      <c r="B125" s="19" t="s">
        <v>159</v>
      </c>
      <c r="C125" s="19" t="s">
        <v>40</v>
      </c>
      <c r="D125" s="19" t="s">
        <v>51</v>
      </c>
      <c r="E125" s="20" t="s">
        <v>18</v>
      </c>
      <c r="F125" s="21">
        <v>1622.5</v>
      </c>
      <c r="G125" s="20">
        <v>98</v>
      </c>
      <c r="H125" s="22" t="s">
        <v>170</v>
      </c>
      <c r="I125">
        <v>100</v>
      </c>
    </row>
    <row r="126" spans="1:9" ht="15.6" x14ac:dyDescent="0.3">
      <c r="A126" s="18">
        <v>2023</v>
      </c>
      <c r="B126" s="19" t="s">
        <v>159</v>
      </c>
      <c r="C126" s="19" t="s">
        <v>47</v>
      </c>
      <c r="D126" s="19" t="s">
        <v>51</v>
      </c>
      <c r="E126" s="20" t="s">
        <v>18</v>
      </c>
      <c r="F126" s="21">
        <v>6733.75</v>
      </c>
      <c r="G126" s="20">
        <v>4187</v>
      </c>
      <c r="H126" s="22" t="s">
        <v>171</v>
      </c>
      <c r="I126">
        <v>100</v>
      </c>
    </row>
    <row r="127" spans="1:9" ht="15.6" x14ac:dyDescent="0.3">
      <c r="A127" s="18">
        <v>2023</v>
      </c>
      <c r="B127" s="19" t="s">
        <v>159</v>
      </c>
      <c r="C127" s="19" t="s">
        <v>40</v>
      </c>
      <c r="D127" s="19" t="s">
        <v>57</v>
      </c>
      <c r="E127" s="20" t="s">
        <v>58</v>
      </c>
      <c r="F127" s="21">
        <v>4247.5</v>
      </c>
      <c r="G127" s="20">
        <v>2198</v>
      </c>
      <c r="H127" s="22" t="s">
        <v>172</v>
      </c>
      <c r="I127">
        <v>100</v>
      </c>
    </row>
    <row r="128" spans="1:9" ht="15.6" x14ac:dyDescent="0.3">
      <c r="A128" s="18">
        <v>2023</v>
      </c>
      <c r="B128" s="19" t="s">
        <v>159</v>
      </c>
      <c r="C128" s="19" t="s">
        <v>56</v>
      </c>
      <c r="D128" s="19" t="s">
        <v>57</v>
      </c>
      <c r="E128" s="20" t="s">
        <v>58</v>
      </c>
      <c r="F128" s="21">
        <v>3570</v>
      </c>
      <c r="G128" s="20">
        <v>1656</v>
      </c>
      <c r="H128" s="22" t="s">
        <v>173</v>
      </c>
      <c r="I128">
        <v>100</v>
      </c>
    </row>
    <row r="129" spans="1:9" ht="15.6" x14ac:dyDescent="0.3">
      <c r="A129" s="18">
        <v>2023</v>
      </c>
      <c r="B129" s="19" t="s">
        <v>159</v>
      </c>
      <c r="C129" s="19" t="s">
        <v>40</v>
      </c>
      <c r="D129" s="19" t="s">
        <v>57</v>
      </c>
      <c r="E129" s="20" t="s">
        <v>58</v>
      </c>
      <c r="F129" s="21">
        <v>4247.5</v>
      </c>
      <c r="G129" s="20">
        <v>2198</v>
      </c>
      <c r="H129" s="22" t="s">
        <v>174</v>
      </c>
      <c r="I129">
        <v>100</v>
      </c>
    </row>
    <row r="130" spans="1:9" ht="15.6" x14ac:dyDescent="0.3">
      <c r="A130" s="18">
        <v>2023</v>
      </c>
      <c r="B130" s="19" t="s">
        <v>159</v>
      </c>
      <c r="C130" s="19" t="s">
        <v>56</v>
      </c>
      <c r="D130" s="19" t="s">
        <v>57</v>
      </c>
      <c r="E130" s="20" t="s">
        <v>58</v>
      </c>
      <c r="F130" s="21">
        <v>3570</v>
      </c>
      <c r="G130" s="20">
        <v>1656</v>
      </c>
      <c r="H130" s="22" t="s">
        <v>175</v>
      </c>
      <c r="I130">
        <v>100</v>
      </c>
    </row>
    <row r="131" spans="1:9" ht="15.6" x14ac:dyDescent="0.3">
      <c r="A131" s="18">
        <v>2023</v>
      </c>
      <c r="B131" s="19" t="s">
        <v>159</v>
      </c>
      <c r="C131" s="19" t="s">
        <v>47</v>
      </c>
      <c r="D131" s="19" t="s">
        <v>22</v>
      </c>
      <c r="E131" s="20" t="s">
        <v>19</v>
      </c>
      <c r="F131" s="21">
        <v>11308.75</v>
      </c>
      <c r="G131" s="20">
        <v>7847</v>
      </c>
      <c r="H131" s="22" t="s">
        <v>176</v>
      </c>
      <c r="I131">
        <v>100</v>
      </c>
    </row>
    <row r="132" spans="1:9" ht="15.6" x14ac:dyDescent="0.3">
      <c r="A132" s="18">
        <v>2023</v>
      </c>
      <c r="B132" s="19" t="s">
        <v>159</v>
      </c>
      <c r="C132" s="19" t="s">
        <v>36</v>
      </c>
      <c r="D132" s="19" t="s">
        <v>22</v>
      </c>
      <c r="E132" s="20" t="s">
        <v>19</v>
      </c>
      <c r="F132" s="21">
        <v>12026.25</v>
      </c>
      <c r="G132" s="20">
        <v>8421</v>
      </c>
      <c r="H132" s="22" t="s">
        <v>177</v>
      </c>
      <c r="I132">
        <v>100</v>
      </c>
    </row>
    <row r="133" spans="1:9" ht="15.6" x14ac:dyDescent="0.3">
      <c r="A133" s="18">
        <v>2023</v>
      </c>
      <c r="B133" s="19" t="s">
        <v>159</v>
      </c>
      <c r="C133" s="19" t="s">
        <v>47</v>
      </c>
      <c r="D133" s="19" t="s">
        <v>22</v>
      </c>
      <c r="E133" s="20" t="s">
        <v>19</v>
      </c>
      <c r="F133" s="21">
        <v>11308.75</v>
      </c>
      <c r="G133" s="20">
        <v>7847</v>
      </c>
      <c r="H133" s="22" t="s">
        <v>178</v>
      </c>
      <c r="I133">
        <v>100</v>
      </c>
    </row>
    <row r="134" spans="1:9" ht="15.6" x14ac:dyDescent="0.3">
      <c r="A134" s="18">
        <v>2023</v>
      </c>
      <c r="B134" s="19" t="s">
        <v>159</v>
      </c>
      <c r="C134" s="19" t="s">
        <v>36</v>
      </c>
      <c r="D134" s="19" t="s">
        <v>22</v>
      </c>
      <c r="E134" s="20" t="s">
        <v>19</v>
      </c>
      <c r="F134" s="21">
        <v>12026.25</v>
      </c>
      <c r="G134" s="20">
        <v>8421</v>
      </c>
      <c r="H134" s="22" t="s">
        <v>179</v>
      </c>
      <c r="I134">
        <v>100</v>
      </c>
    </row>
    <row r="135" spans="1:9" ht="15.6" x14ac:dyDescent="0.3">
      <c r="A135" s="18">
        <v>2023</v>
      </c>
      <c r="B135" s="19" t="s">
        <v>180</v>
      </c>
      <c r="C135" s="19" t="s">
        <v>40</v>
      </c>
      <c r="D135" s="19" t="s">
        <v>37</v>
      </c>
      <c r="E135" s="20" t="s">
        <v>17</v>
      </c>
      <c r="F135" s="21">
        <v>8360</v>
      </c>
      <c r="G135" s="20">
        <v>5488</v>
      </c>
      <c r="H135" s="22" t="s">
        <v>181</v>
      </c>
      <c r="I135">
        <v>100</v>
      </c>
    </row>
    <row r="136" spans="1:9" ht="15.6" x14ac:dyDescent="0.3">
      <c r="A136" s="18">
        <v>2023</v>
      </c>
      <c r="B136" s="19" t="s">
        <v>180</v>
      </c>
      <c r="C136" s="19" t="s">
        <v>36</v>
      </c>
      <c r="D136" s="19" t="s">
        <v>37</v>
      </c>
      <c r="E136" s="20" t="s">
        <v>17</v>
      </c>
      <c r="F136" s="21">
        <v>12177.5</v>
      </c>
      <c r="G136" s="20">
        <v>8542</v>
      </c>
      <c r="H136" s="22" t="s">
        <v>182</v>
      </c>
      <c r="I136">
        <v>100</v>
      </c>
    </row>
    <row r="137" spans="1:9" ht="15.6" x14ac:dyDescent="0.3">
      <c r="A137" s="18">
        <v>2023</v>
      </c>
      <c r="B137" s="19" t="s">
        <v>180</v>
      </c>
      <c r="C137" s="19" t="s">
        <v>56</v>
      </c>
      <c r="D137" s="19" t="s">
        <v>37</v>
      </c>
      <c r="E137" s="20" t="s">
        <v>17</v>
      </c>
      <c r="F137" s="21">
        <v>4355</v>
      </c>
      <c r="G137" s="20">
        <v>2284</v>
      </c>
      <c r="H137" s="22" t="s">
        <v>183</v>
      </c>
      <c r="I137">
        <v>100</v>
      </c>
    </row>
    <row r="138" spans="1:9" ht="15.6" x14ac:dyDescent="0.3">
      <c r="A138" s="18">
        <v>2023</v>
      </c>
      <c r="B138" s="19" t="s">
        <v>180</v>
      </c>
      <c r="C138" s="19" t="s">
        <v>40</v>
      </c>
      <c r="D138" s="19" t="s">
        <v>37</v>
      </c>
      <c r="E138" s="20" t="s">
        <v>17</v>
      </c>
      <c r="F138" s="21">
        <v>8360</v>
      </c>
      <c r="G138" s="20">
        <v>5488</v>
      </c>
      <c r="H138" s="22" t="s">
        <v>184</v>
      </c>
      <c r="I138">
        <v>100</v>
      </c>
    </row>
    <row r="139" spans="1:9" ht="15.6" x14ac:dyDescent="0.3">
      <c r="A139" s="18">
        <v>2023</v>
      </c>
      <c r="B139" s="19" t="s">
        <v>180</v>
      </c>
      <c r="C139" s="19" t="s">
        <v>36</v>
      </c>
      <c r="D139" s="19" t="s">
        <v>37</v>
      </c>
      <c r="E139" s="20" t="s">
        <v>17</v>
      </c>
      <c r="F139" s="21">
        <v>12177.5</v>
      </c>
      <c r="G139" s="20">
        <v>8542</v>
      </c>
      <c r="H139" s="22" t="s">
        <v>185</v>
      </c>
      <c r="I139">
        <v>100</v>
      </c>
    </row>
    <row r="140" spans="1:9" ht="15.6" x14ac:dyDescent="0.3">
      <c r="A140" s="18">
        <v>2023</v>
      </c>
      <c r="B140" s="19" t="s">
        <v>180</v>
      </c>
      <c r="C140" s="19" t="s">
        <v>56</v>
      </c>
      <c r="D140" s="19" t="s">
        <v>37</v>
      </c>
      <c r="E140" s="20" t="s">
        <v>17</v>
      </c>
      <c r="F140" s="21">
        <v>4355</v>
      </c>
      <c r="G140" s="20">
        <v>2284</v>
      </c>
      <c r="H140" s="22" t="s">
        <v>186</v>
      </c>
      <c r="I140">
        <v>100</v>
      </c>
    </row>
    <row r="141" spans="1:9" ht="15.6" x14ac:dyDescent="0.3">
      <c r="A141" s="18">
        <v>2023</v>
      </c>
      <c r="B141" s="19" t="s">
        <v>180</v>
      </c>
      <c r="C141" s="19" t="s">
        <v>40</v>
      </c>
      <c r="D141" s="19" t="s">
        <v>45</v>
      </c>
      <c r="E141" s="20" t="s">
        <v>19</v>
      </c>
      <c r="F141" s="21">
        <v>8360</v>
      </c>
      <c r="G141" s="20">
        <v>5488</v>
      </c>
      <c r="H141" s="22" t="s">
        <v>187</v>
      </c>
      <c r="I141">
        <v>100</v>
      </c>
    </row>
    <row r="142" spans="1:9" ht="15.6" x14ac:dyDescent="0.3">
      <c r="A142" s="18">
        <v>2023</v>
      </c>
      <c r="B142" s="19" t="s">
        <v>180</v>
      </c>
      <c r="C142" s="19" t="s">
        <v>47</v>
      </c>
      <c r="D142" s="19" t="s">
        <v>45</v>
      </c>
      <c r="E142" s="20" t="s">
        <v>19</v>
      </c>
      <c r="F142" s="21">
        <v>3956.25</v>
      </c>
      <c r="G142" s="20">
        <v>1965</v>
      </c>
      <c r="H142" s="22" t="s">
        <v>188</v>
      </c>
      <c r="I142">
        <v>100</v>
      </c>
    </row>
    <row r="143" spans="1:9" ht="15.6" x14ac:dyDescent="0.3">
      <c r="A143" s="18">
        <v>2023</v>
      </c>
      <c r="B143" s="19" t="s">
        <v>180</v>
      </c>
      <c r="C143" s="19" t="s">
        <v>40</v>
      </c>
      <c r="D143" s="19" t="s">
        <v>45</v>
      </c>
      <c r="E143" s="20" t="s">
        <v>19</v>
      </c>
      <c r="F143" s="21">
        <v>8360</v>
      </c>
      <c r="G143" s="20">
        <v>5488</v>
      </c>
      <c r="H143" s="22" t="s">
        <v>189</v>
      </c>
      <c r="I143">
        <v>100</v>
      </c>
    </row>
    <row r="144" spans="1:9" ht="15.6" x14ac:dyDescent="0.3">
      <c r="A144" s="18">
        <v>2023</v>
      </c>
      <c r="B144" s="19" t="s">
        <v>180</v>
      </c>
      <c r="C144" s="19" t="s">
        <v>47</v>
      </c>
      <c r="D144" s="19" t="s">
        <v>45</v>
      </c>
      <c r="E144" s="20" t="s">
        <v>19</v>
      </c>
      <c r="F144" s="21">
        <v>3956.25</v>
      </c>
      <c r="G144" s="20">
        <v>1965</v>
      </c>
      <c r="H144" s="22" t="s">
        <v>190</v>
      </c>
      <c r="I144">
        <v>100</v>
      </c>
    </row>
    <row r="145" spans="1:9" ht="15.6" x14ac:dyDescent="0.3">
      <c r="A145" s="18">
        <v>2023</v>
      </c>
      <c r="B145" s="19" t="s">
        <v>180</v>
      </c>
      <c r="C145" s="19" t="s">
        <v>36</v>
      </c>
      <c r="D145" s="19" t="s">
        <v>51</v>
      </c>
      <c r="E145" s="20" t="s">
        <v>18</v>
      </c>
      <c r="F145" s="21">
        <v>8905</v>
      </c>
      <c r="G145" s="20">
        <v>5924</v>
      </c>
      <c r="H145" s="22" t="s">
        <v>191</v>
      </c>
      <c r="I145">
        <v>100</v>
      </c>
    </row>
    <row r="146" spans="1:9" ht="15.6" x14ac:dyDescent="0.3">
      <c r="A146" s="18">
        <v>2023</v>
      </c>
      <c r="B146" s="19" t="s">
        <v>180</v>
      </c>
      <c r="C146" s="19" t="s">
        <v>56</v>
      </c>
      <c r="D146" s="19" t="s">
        <v>51</v>
      </c>
      <c r="E146" s="20" t="s">
        <v>18</v>
      </c>
      <c r="F146" s="21">
        <v>7118.75</v>
      </c>
      <c r="G146" s="20">
        <v>4495</v>
      </c>
      <c r="H146" s="22" t="s">
        <v>192</v>
      </c>
      <c r="I146">
        <v>100</v>
      </c>
    </row>
    <row r="147" spans="1:9" ht="15.6" x14ac:dyDescent="0.3">
      <c r="A147" s="18">
        <v>2023</v>
      </c>
      <c r="B147" s="19" t="s">
        <v>180</v>
      </c>
      <c r="C147" s="19" t="s">
        <v>36</v>
      </c>
      <c r="D147" s="19" t="s">
        <v>51</v>
      </c>
      <c r="E147" s="20" t="s">
        <v>18</v>
      </c>
      <c r="F147" s="21">
        <v>8905</v>
      </c>
      <c r="G147" s="20">
        <v>5924</v>
      </c>
      <c r="H147" s="22" t="s">
        <v>193</v>
      </c>
      <c r="I147">
        <v>100</v>
      </c>
    </row>
    <row r="148" spans="1:9" ht="15.6" x14ac:dyDescent="0.3">
      <c r="A148" s="18">
        <v>2023</v>
      </c>
      <c r="B148" s="19" t="s">
        <v>180</v>
      </c>
      <c r="C148" s="19" t="s">
        <v>56</v>
      </c>
      <c r="D148" s="19" t="s">
        <v>51</v>
      </c>
      <c r="E148" s="20" t="s">
        <v>18</v>
      </c>
      <c r="F148" s="21">
        <v>7118.75</v>
      </c>
      <c r="G148" s="20">
        <v>4495</v>
      </c>
      <c r="H148" s="22" t="s">
        <v>194</v>
      </c>
      <c r="I148">
        <v>100</v>
      </c>
    </row>
    <row r="149" spans="1:9" ht="15.6" x14ac:dyDescent="0.3">
      <c r="A149" s="18">
        <v>2023</v>
      </c>
      <c r="B149" s="19" t="s">
        <v>180</v>
      </c>
      <c r="C149" s="19" t="s">
        <v>47</v>
      </c>
      <c r="D149" s="19" t="s">
        <v>57</v>
      </c>
      <c r="E149" s="20" t="s">
        <v>58</v>
      </c>
      <c r="F149" s="21">
        <v>3956.25</v>
      </c>
      <c r="G149" s="20">
        <v>1965</v>
      </c>
      <c r="H149" s="22" t="s">
        <v>195</v>
      </c>
      <c r="I149">
        <v>100</v>
      </c>
    </row>
    <row r="150" spans="1:9" ht="15.6" x14ac:dyDescent="0.3">
      <c r="A150" s="18">
        <v>2023</v>
      </c>
      <c r="B150" s="19" t="s">
        <v>180</v>
      </c>
      <c r="C150" s="19" t="s">
        <v>36</v>
      </c>
      <c r="D150" s="19" t="s">
        <v>57</v>
      </c>
      <c r="E150" s="20" t="s">
        <v>58</v>
      </c>
      <c r="F150" s="21">
        <v>3698.75</v>
      </c>
      <c r="G150" s="20">
        <v>1759</v>
      </c>
      <c r="H150" s="22" t="s">
        <v>196</v>
      </c>
      <c r="I150">
        <v>100</v>
      </c>
    </row>
    <row r="151" spans="1:9" ht="15.6" x14ac:dyDescent="0.3">
      <c r="A151" s="18">
        <v>2023</v>
      </c>
      <c r="B151" s="19" t="s">
        <v>180</v>
      </c>
      <c r="C151" s="19" t="s">
        <v>47</v>
      </c>
      <c r="D151" s="19" t="s">
        <v>57</v>
      </c>
      <c r="E151" s="20" t="s">
        <v>58</v>
      </c>
      <c r="F151" s="21">
        <v>3956.25</v>
      </c>
      <c r="G151" s="20">
        <v>1965</v>
      </c>
      <c r="H151" s="22" t="s">
        <v>197</v>
      </c>
      <c r="I151">
        <v>100</v>
      </c>
    </row>
    <row r="152" spans="1:9" ht="15.6" x14ac:dyDescent="0.3">
      <c r="A152" s="18">
        <v>2023</v>
      </c>
      <c r="B152" s="19" t="s">
        <v>180</v>
      </c>
      <c r="C152" s="19" t="s">
        <v>36</v>
      </c>
      <c r="D152" s="19" t="s">
        <v>57</v>
      </c>
      <c r="E152" s="20" t="s">
        <v>58</v>
      </c>
      <c r="F152" s="21">
        <v>3698.75</v>
      </c>
      <c r="G152" s="20">
        <v>1759</v>
      </c>
      <c r="H152" s="22" t="s">
        <v>198</v>
      </c>
      <c r="I152">
        <v>100</v>
      </c>
    </row>
    <row r="153" spans="1:9" ht="15.6" x14ac:dyDescent="0.3">
      <c r="A153" s="18">
        <v>2024</v>
      </c>
      <c r="B153" s="19" t="s">
        <v>35</v>
      </c>
      <c r="C153" s="19" t="s">
        <v>36</v>
      </c>
      <c r="D153" s="19" t="s">
        <v>37</v>
      </c>
      <c r="E153" s="20" t="s">
        <v>17</v>
      </c>
      <c r="F153" s="21">
        <v>3395.5</v>
      </c>
      <c r="G153" s="20">
        <v>1197</v>
      </c>
      <c r="H153" s="22" t="s">
        <v>199</v>
      </c>
      <c r="I153">
        <v>100</v>
      </c>
    </row>
    <row r="154" spans="1:9" ht="15.6" x14ac:dyDescent="0.3">
      <c r="A154" s="18">
        <v>2024</v>
      </c>
      <c r="B154" s="19" t="s">
        <v>35</v>
      </c>
      <c r="C154" s="19" t="s">
        <v>36</v>
      </c>
      <c r="D154" s="19" t="s">
        <v>37</v>
      </c>
      <c r="E154" s="20" t="s">
        <v>17</v>
      </c>
      <c r="F154" s="21">
        <v>12761.5</v>
      </c>
      <c r="G154" s="20">
        <v>7441</v>
      </c>
      <c r="H154" s="22" t="s">
        <v>200</v>
      </c>
      <c r="I154">
        <v>100</v>
      </c>
    </row>
    <row r="155" spans="1:9" ht="15.6" x14ac:dyDescent="0.3">
      <c r="A155" s="18">
        <v>2024</v>
      </c>
      <c r="B155" s="19" t="s">
        <v>35</v>
      </c>
      <c r="C155" s="19" t="s">
        <v>40</v>
      </c>
      <c r="D155" s="19" t="s">
        <v>37</v>
      </c>
      <c r="E155" s="20" t="s">
        <v>17</v>
      </c>
      <c r="F155" s="21">
        <v>9943</v>
      </c>
      <c r="G155" s="20">
        <v>5562</v>
      </c>
      <c r="H155" s="22" t="s">
        <v>201</v>
      </c>
      <c r="I155">
        <v>100</v>
      </c>
    </row>
    <row r="156" spans="1:9" ht="15.6" x14ac:dyDescent="0.3">
      <c r="A156" s="18">
        <v>2024</v>
      </c>
      <c r="B156" s="19" t="s">
        <v>35</v>
      </c>
      <c r="C156" s="19" t="s">
        <v>36</v>
      </c>
      <c r="D156" s="19" t="s">
        <v>37</v>
      </c>
      <c r="E156" s="20" t="s">
        <v>17</v>
      </c>
      <c r="F156" s="21">
        <v>3395.5</v>
      </c>
      <c r="G156" s="20">
        <v>1197</v>
      </c>
      <c r="H156" s="22" t="s">
        <v>202</v>
      </c>
      <c r="I156">
        <v>100</v>
      </c>
    </row>
    <row r="157" spans="1:9" ht="15.6" x14ac:dyDescent="0.3">
      <c r="A157" s="18">
        <v>2024</v>
      </c>
      <c r="B157" s="19" t="s">
        <v>35</v>
      </c>
      <c r="C157" s="19" t="s">
        <v>36</v>
      </c>
      <c r="D157" s="19" t="s">
        <v>37</v>
      </c>
      <c r="E157" s="20" t="s">
        <v>17</v>
      </c>
      <c r="F157" s="21">
        <v>12761.5</v>
      </c>
      <c r="G157" s="20">
        <v>7441</v>
      </c>
      <c r="H157" s="22" t="s">
        <v>203</v>
      </c>
      <c r="I157">
        <v>100</v>
      </c>
    </row>
    <row r="158" spans="1:9" ht="15.6" x14ac:dyDescent="0.3">
      <c r="A158" s="18">
        <v>2024</v>
      </c>
      <c r="B158" s="19" t="s">
        <v>35</v>
      </c>
      <c r="C158" s="19" t="s">
        <v>40</v>
      </c>
      <c r="D158" s="19" t="s">
        <v>37</v>
      </c>
      <c r="E158" s="20" t="s">
        <v>17</v>
      </c>
      <c r="F158" s="21">
        <v>9943</v>
      </c>
      <c r="G158" s="20">
        <v>5562</v>
      </c>
      <c r="H158" s="22" t="s">
        <v>204</v>
      </c>
      <c r="I158">
        <v>100</v>
      </c>
    </row>
    <row r="159" spans="1:9" ht="15.6" x14ac:dyDescent="0.3">
      <c r="A159" s="18">
        <v>2024</v>
      </c>
      <c r="B159" s="19" t="s">
        <v>35</v>
      </c>
      <c r="C159" s="19" t="s">
        <v>40</v>
      </c>
      <c r="D159" s="19" t="s">
        <v>45</v>
      </c>
      <c r="E159" s="20" t="s">
        <v>19</v>
      </c>
      <c r="F159" s="21">
        <v>15596.5</v>
      </c>
      <c r="G159" s="20">
        <v>9331</v>
      </c>
      <c r="H159" s="22" t="s">
        <v>205</v>
      </c>
      <c r="I159">
        <v>100</v>
      </c>
    </row>
    <row r="160" spans="1:9" ht="15.6" x14ac:dyDescent="0.3">
      <c r="A160" s="18">
        <v>2024</v>
      </c>
      <c r="B160" s="19" t="s">
        <v>35</v>
      </c>
      <c r="C160" s="19" t="s">
        <v>47</v>
      </c>
      <c r="D160" s="19" t="s">
        <v>45</v>
      </c>
      <c r="E160" s="20" t="s">
        <v>19</v>
      </c>
      <c r="F160" s="21">
        <v>9793</v>
      </c>
      <c r="G160" s="20">
        <v>5462</v>
      </c>
      <c r="H160" s="22" t="s">
        <v>206</v>
      </c>
      <c r="I160">
        <v>100</v>
      </c>
    </row>
    <row r="161" spans="1:9" ht="15.6" x14ac:dyDescent="0.3">
      <c r="A161" s="18">
        <v>2024</v>
      </c>
      <c r="B161" s="19" t="s">
        <v>35</v>
      </c>
      <c r="C161" s="19" t="s">
        <v>40</v>
      </c>
      <c r="D161" s="19" t="s">
        <v>45</v>
      </c>
      <c r="E161" s="20" t="s">
        <v>19</v>
      </c>
      <c r="F161" s="21">
        <v>15596.5</v>
      </c>
      <c r="G161" s="20">
        <v>9331</v>
      </c>
      <c r="H161" s="22" t="s">
        <v>207</v>
      </c>
      <c r="I161">
        <v>100</v>
      </c>
    </row>
    <row r="162" spans="1:9" ht="15.6" x14ac:dyDescent="0.3">
      <c r="A162" s="18">
        <v>2024</v>
      </c>
      <c r="B162" s="19" t="s">
        <v>35</v>
      </c>
      <c r="C162" s="19" t="s">
        <v>47</v>
      </c>
      <c r="D162" s="19" t="s">
        <v>45</v>
      </c>
      <c r="E162" s="20" t="s">
        <v>19</v>
      </c>
      <c r="F162" s="21">
        <v>9793</v>
      </c>
      <c r="G162" s="20">
        <v>5462</v>
      </c>
      <c r="H162" s="22" t="s">
        <v>208</v>
      </c>
      <c r="I162">
        <v>100</v>
      </c>
    </row>
    <row r="163" spans="1:9" ht="15.6" x14ac:dyDescent="0.3">
      <c r="A163" s="18">
        <v>2024</v>
      </c>
      <c r="B163" s="19" t="s">
        <v>35</v>
      </c>
      <c r="C163" s="19" t="s">
        <v>36</v>
      </c>
      <c r="D163" s="19" t="s">
        <v>51</v>
      </c>
      <c r="E163" s="20" t="s">
        <v>18</v>
      </c>
      <c r="F163" s="21">
        <v>5666</v>
      </c>
      <c r="G163" s="20">
        <v>5223</v>
      </c>
      <c r="H163" s="22" t="s">
        <v>209</v>
      </c>
      <c r="I163">
        <v>100</v>
      </c>
    </row>
    <row r="164" spans="1:9" ht="15.6" x14ac:dyDescent="0.3">
      <c r="A164" s="18">
        <v>2024</v>
      </c>
      <c r="B164" s="19" t="s">
        <v>35</v>
      </c>
      <c r="C164" s="19" t="s">
        <v>36</v>
      </c>
      <c r="D164" s="19" t="s">
        <v>51</v>
      </c>
      <c r="E164" s="20" t="s">
        <v>18</v>
      </c>
      <c r="F164" s="21">
        <v>8318.5</v>
      </c>
      <c r="G164" s="20">
        <v>4479</v>
      </c>
      <c r="H164" s="22" t="s">
        <v>210</v>
      </c>
      <c r="I164">
        <v>100</v>
      </c>
    </row>
    <row r="165" spans="1:9" ht="15.6" x14ac:dyDescent="0.3">
      <c r="A165" s="18">
        <v>2024</v>
      </c>
      <c r="B165" s="19" t="s">
        <v>35</v>
      </c>
      <c r="C165" s="19" t="s">
        <v>36</v>
      </c>
      <c r="D165" s="19" t="s">
        <v>51</v>
      </c>
      <c r="E165" s="20" t="s">
        <v>18</v>
      </c>
      <c r="F165" s="21">
        <v>5666</v>
      </c>
      <c r="G165" s="20">
        <v>5223</v>
      </c>
      <c r="H165" s="22" t="s">
        <v>211</v>
      </c>
      <c r="I165">
        <v>100</v>
      </c>
    </row>
    <row r="166" spans="1:9" ht="15.6" x14ac:dyDescent="0.3">
      <c r="A166" s="18">
        <v>2024</v>
      </c>
      <c r="B166" s="19" t="s">
        <v>35</v>
      </c>
      <c r="C166" s="19" t="s">
        <v>36</v>
      </c>
      <c r="D166" s="19" t="s">
        <v>51</v>
      </c>
      <c r="E166" s="20" t="s">
        <v>18</v>
      </c>
      <c r="F166" s="21">
        <v>8318.5</v>
      </c>
      <c r="G166" s="20">
        <v>4479</v>
      </c>
      <c r="H166" s="22" t="s">
        <v>212</v>
      </c>
      <c r="I166">
        <v>100</v>
      </c>
    </row>
    <row r="167" spans="1:9" ht="15.6" x14ac:dyDescent="0.3">
      <c r="A167" s="18">
        <v>2024</v>
      </c>
      <c r="B167" s="19" t="s">
        <v>35</v>
      </c>
      <c r="C167" s="19" t="s">
        <v>56</v>
      </c>
      <c r="D167" s="19" t="s">
        <v>57</v>
      </c>
      <c r="E167" s="20" t="s">
        <v>58</v>
      </c>
      <c r="F167" s="21">
        <v>4553.5</v>
      </c>
      <c r="G167" s="20">
        <v>1969</v>
      </c>
      <c r="H167" s="22" t="s">
        <v>213</v>
      </c>
      <c r="I167">
        <v>100</v>
      </c>
    </row>
    <row r="168" spans="1:9" ht="15.6" x14ac:dyDescent="0.3">
      <c r="A168" s="18">
        <v>2024</v>
      </c>
      <c r="B168" s="19" t="s">
        <v>35</v>
      </c>
      <c r="C168" s="19" t="s">
        <v>56</v>
      </c>
      <c r="D168" s="19" t="s">
        <v>57</v>
      </c>
      <c r="E168" s="20" t="s">
        <v>58</v>
      </c>
      <c r="F168" s="21">
        <v>4553.5</v>
      </c>
      <c r="G168" s="20">
        <v>1969</v>
      </c>
      <c r="H168" s="22" t="s">
        <v>214</v>
      </c>
      <c r="I168">
        <v>100</v>
      </c>
    </row>
    <row r="169" spans="1:9" ht="15.6" x14ac:dyDescent="0.3">
      <c r="A169" s="18">
        <v>2024</v>
      </c>
      <c r="B169" s="19" t="s">
        <v>35</v>
      </c>
      <c r="C169" s="19" t="s">
        <v>40</v>
      </c>
      <c r="D169" s="19" t="s">
        <v>22</v>
      </c>
      <c r="E169" s="20" t="s">
        <v>19</v>
      </c>
      <c r="F169" s="21">
        <v>15596.5</v>
      </c>
      <c r="G169" s="20">
        <v>9331</v>
      </c>
      <c r="H169" s="22" t="s">
        <v>215</v>
      </c>
      <c r="I169">
        <v>100</v>
      </c>
    </row>
    <row r="170" spans="1:9" ht="15.6" x14ac:dyDescent="0.3">
      <c r="A170" s="18">
        <v>2024</v>
      </c>
      <c r="B170" s="19" t="s">
        <v>35</v>
      </c>
      <c r="C170" s="19" t="s">
        <v>47</v>
      </c>
      <c r="D170" s="19" t="s">
        <v>22</v>
      </c>
      <c r="E170" s="20" t="s">
        <v>19</v>
      </c>
      <c r="F170" s="21">
        <v>9793</v>
      </c>
      <c r="G170" s="20">
        <v>5462</v>
      </c>
      <c r="H170" s="22" t="s">
        <v>216</v>
      </c>
      <c r="I170">
        <v>100</v>
      </c>
    </row>
    <row r="171" spans="1:9" ht="15.6" x14ac:dyDescent="0.3">
      <c r="A171" s="18">
        <v>2024</v>
      </c>
      <c r="B171" s="19" t="s">
        <v>35</v>
      </c>
      <c r="C171" s="19" t="s">
        <v>40</v>
      </c>
      <c r="D171" s="19" t="s">
        <v>22</v>
      </c>
      <c r="E171" s="20" t="s">
        <v>19</v>
      </c>
      <c r="F171" s="21">
        <v>15596.5</v>
      </c>
      <c r="G171" s="20">
        <v>9331</v>
      </c>
      <c r="H171" s="22" t="s">
        <v>217</v>
      </c>
      <c r="I171">
        <v>100</v>
      </c>
    </row>
    <row r="172" spans="1:9" ht="15.6" x14ac:dyDescent="0.3">
      <c r="A172" s="18">
        <v>2024</v>
      </c>
      <c r="B172" s="19" t="s">
        <v>35</v>
      </c>
      <c r="C172" s="19" t="s">
        <v>47</v>
      </c>
      <c r="D172" s="19" t="s">
        <v>22</v>
      </c>
      <c r="E172" s="20" t="s">
        <v>19</v>
      </c>
      <c r="F172" s="21">
        <v>9793</v>
      </c>
      <c r="G172" s="20">
        <v>5462</v>
      </c>
      <c r="H172" s="22" t="s">
        <v>218</v>
      </c>
      <c r="I172">
        <v>100</v>
      </c>
    </row>
    <row r="173" spans="1:9" ht="15.6" x14ac:dyDescent="0.3">
      <c r="A173" s="18">
        <v>2024</v>
      </c>
      <c r="B173" s="19" t="s">
        <v>65</v>
      </c>
      <c r="C173" s="19" t="s">
        <v>36</v>
      </c>
      <c r="D173" s="19" t="s">
        <v>37</v>
      </c>
      <c r="E173" s="20" t="s">
        <v>17</v>
      </c>
      <c r="F173" s="21">
        <v>5887</v>
      </c>
      <c r="G173" s="20">
        <v>2858</v>
      </c>
      <c r="H173" s="22" t="s">
        <v>219</v>
      </c>
      <c r="I173">
        <v>100</v>
      </c>
    </row>
    <row r="174" spans="1:9" ht="15.6" x14ac:dyDescent="0.3">
      <c r="A174" s="18">
        <v>2024</v>
      </c>
      <c r="B174" s="19" t="s">
        <v>65</v>
      </c>
      <c r="C174" s="19" t="s">
        <v>36</v>
      </c>
      <c r="D174" s="19" t="s">
        <v>37</v>
      </c>
      <c r="E174" s="20" t="s">
        <v>17</v>
      </c>
      <c r="F174" s="21">
        <v>5887</v>
      </c>
      <c r="G174" s="20">
        <v>2858</v>
      </c>
      <c r="H174" s="22" t="s">
        <v>220</v>
      </c>
      <c r="I174">
        <v>100</v>
      </c>
    </row>
    <row r="175" spans="1:9" ht="15.6" x14ac:dyDescent="0.3">
      <c r="A175" s="18">
        <v>2024</v>
      </c>
      <c r="B175" s="19" t="s">
        <v>65</v>
      </c>
      <c r="C175" s="19" t="s">
        <v>47</v>
      </c>
      <c r="D175" s="19" t="s">
        <v>45</v>
      </c>
      <c r="E175" s="20" t="s">
        <v>19</v>
      </c>
      <c r="F175" s="21">
        <v>12122.5</v>
      </c>
      <c r="G175" s="20">
        <v>7015</v>
      </c>
      <c r="H175" s="22" t="s">
        <v>221</v>
      </c>
      <c r="I175">
        <v>100</v>
      </c>
    </row>
    <row r="176" spans="1:9" ht="15.6" x14ac:dyDescent="0.3">
      <c r="A176" s="18">
        <v>2024</v>
      </c>
      <c r="B176" s="19" t="s">
        <v>65</v>
      </c>
      <c r="C176" s="19" t="s">
        <v>36</v>
      </c>
      <c r="D176" s="19" t="s">
        <v>45</v>
      </c>
      <c r="E176" s="20" t="s">
        <v>19</v>
      </c>
      <c r="F176" s="21">
        <v>14428</v>
      </c>
      <c r="G176" s="20">
        <v>8552</v>
      </c>
      <c r="H176" s="22" t="s">
        <v>222</v>
      </c>
      <c r="I176">
        <v>100</v>
      </c>
    </row>
    <row r="177" spans="1:9" ht="15.6" x14ac:dyDescent="0.3">
      <c r="A177" s="18">
        <v>2024</v>
      </c>
      <c r="B177" s="19" t="s">
        <v>65</v>
      </c>
      <c r="C177" s="19" t="s">
        <v>47</v>
      </c>
      <c r="D177" s="19" t="s">
        <v>45</v>
      </c>
      <c r="E177" s="20" t="s">
        <v>19</v>
      </c>
      <c r="F177" s="21">
        <v>12122.5</v>
      </c>
      <c r="G177" s="20">
        <v>7015</v>
      </c>
      <c r="H177" s="22" t="s">
        <v>223</v>
      </c>
      <c r="I177">
        <v>100</v>
      </c>
    </row>
    <row r="178" spans="1:9" ht="15.6" x14ac:dyDescent="0.3">
      <c r="A178" s="18">
        <v>2024</v>
      </c>
      <c r="B178" s="19" t="s">
        <v>65</v>
      </c>
      <c r="C178" s="19" t="s">
        <v>36</v>
      </c>
      <c r="D178" s="19" t="s">
        <v>45</v>
      </c>
      <c r="E178" s="20" t="s">
        <v>19</v>
      </c>
      <c r="F178" s="21">
        <v>14428</v>
      </c>
      <c r="G178" s="20">
        <v>8552</v>
      </c>
      <c r="H178" s="22" t="s">
        <v>224</v>
      </c>
      <c r="I178">
        <v>100</v>
      </c>
    </row>
    <row r="179" spans="1:9" ht="15.6" x14ac:dyDescent="0.3">
      <c r="A179" s="18">
        <v>2024</v>
      </c>
      <c r="B179" s="19" t="s">
        <v>65</v>
      </c>
      <c r="C179" s="19" t="s">
        <v>40</v>
      </c>
      <c r="D179" s="19" t="s">
        <v>51</v>
      </c>
      <c r="E179" s="20" t="s">
        <v>18</v>
      </c>
      <c r="F179" s="21">
        <v>4897</v>
      </c>
      <c r="G179" s="20">
        <v>2198</v>
      </c>
      <c r="H179" s="22" t="s">
        <v>225</v>
      </c>
      <c r="I179">
        <v>100</v>
      </c>
    </row>
    <row r="180" spans="1:9" ht="15.6" x14ac:dyDescent="0.3">
      <c r="A180" s="18">
        <v>2024</v>
      </c>
      <c r="B180" s="19" t="s">
        <v>65</v>
      </c>
      <c r="C180" s="19" t="s">
        <v>40</v>
      </c>
      <c r="D180" s="19" t="s">
        <v>51</v>
      </c>
      <c r="E180" s="20" t="s">
        <v>18</v>
      </c>
      <c r="F180" s="21">
        <v>9832</v>
      </c>
      <c r="G180" s="20">
        <v>5488</v>
      </c>
      <c r="H180" s="22" t="s">
        <v>226</v>
      </c>
      <c r="I180">
        <v>100</v>
      </c>
    </row>
    <row r="181" spans="1:9" ht="15.6" x14ac:dyDescent="0.3">
      <c r="A181" s="18">
        <v>2024</v>
      </c>
      <c r="B181" s="19" t="s">
        <v>65</v>
      </c>
      <c r="C181" s="19" t="s">
        <v>40</v>
      </c>
      <c r="D181" s="19" t="s">
        <v>51</v>
      </c>
      <c r="E181" s="20" t="s">
        <v>18</v>
      </c>
      <c r="F181" s="21">
        <v>4897</v>
      </c>
      <c r="G181" s="20">
        <v>2198</v>
      </c>
      <c r="H181" s="22" t="s">
        <v>227</v>
      </c>
      <c r="I181">
        <v>100</v>
      </c>
    </row>
    <row r="182" spans="1:9" ht="15.6" x14ac:dyDescent="0.3">
      <c r="A182" s="18">
        <v>2024</v>
      </c>
      <c r="B182" s="19" t="s">
        <v>65</v>
      </c>
      <c r="C182" s="19" t="s">
        <v>40</v>
      </c>
      <c r="D182" s="19" t="s">
        <v>51</v>
      </c>
      <c r="E182" s="20" t="s">
        <v>18</v>
      </c>
      <c r="F182" s="21">
        <v>9832</v>
      </c>
      <c r="G182" s="20">
        <v>5488</v>
      </c>
      <c r="H182" s="22" t="s">
        <v>228</v>
      </c>
      <c r="I182">
        <v>100</v>
      </c>
    </row>
    <row r="183" spans="1:9" ht="15.6" x14ac:dyDescent="0.3">
      <c r="A183" s="18">
        <v>2024</v>
      </c>
      <c r="B183" s="19" t="s">
        <v>65</v>
      </c>
      <c r="C183" s="19" t="s">
        <v>47</v>
      </c>
      <c r="D183" s="19" t="s">
        <v>57</v>
      </c>
      <c r="E183" s="20" t="s">
        <v>58</v>
      </c>
      <c r="F183" s="21">
        <v>12122.5</v>
      </c>
      <c r="G183" s="20">
        <v>7015</v>
      </c>
      <c r="H183" s="22" t="s">
        <v>229</v>
      </c>
      <c r="I183">
        <v>100</v>
      </c>
    </row>
    <row r="184" spans="1:9" ht="15.6" x14ac:dyDescent="0.3">
      <c r="A184" s="18">
        <v>2024</v>
      </c>
      <c r="B184" s="19" t="s">
        <v>65</v>
      </c>
      <c r="C184" s="19" t="s">
        <v>40</v>
      </c>
      <c r="D184" s="19" t="s">
        <v>57</v>
      </c>
      <c r="E184" s="20" t="s">
        <v>58</v>
      </c>
      <c r="F184" s="21">
        <v>15647.5</v>
      </c>
      <c r="G184" s="20">
        <v>9365</v>
      </c>
      <c r="H184" s="22" t="s">
        <v>230</v>
      </c>
      <c r="I184">
        <v>100</v>
      </c>
    </row>
    <row r="185" spans="1:9" ht="15.6" x14ac:dyDescent="0.3">
      <c r="A185" s="18">
        <v>2024</v>
      </c>
      <c r="B185" s="19" t="s">
        <v>65</v>
      </c>
      <c r="C185" s="19" t="s">
        <v>47</v>
      </c>
      <c r="D185" s="19" t="s">
        <v>57</v>
      </c>
      <c r="E185" s="20" t="s">
        <v>58</v>
      </c>
      <c r="F185" s="21">
        <v>12122.5</v>
      </c>
      <c r="G185" s="20">
        <v>7015</v>
      </c>
      <c r="H185" s="22" t="s">
        <v>231</v>
      </c>
      <c r="I185">
        <v>100</v>
      </c>
    </row>
    <row r="186" spans="1:9" ht="15.6" x14ac:dyDescent="0.3">
      <c r="A186" s="18">
        <v>2024</v>
      </c>
      <c r="B186" s="19" t="s">
        <v>65</v>
      </c>
      <c r="C186" s="19" t="s">
        <v>40</v>
      </c>
      <c r="D186" s="19" t="s">
        <v>57</v>
      </c>
      <c r="E186" s="20" t="s">
        <v>58</v>
      </c>
      <c r="F186" s="21">
        <v>15647.5</v>
      </c>
      <c r="G186" s="20">
        <v>9365</v>
      </c>
      <c r="H186" s="22" t="s">
        <v>232</v>
      </c>
      <c r="I186">
        <v>100</v>
      </c>
    </row>
    <row r="187" spans="1:9" ht="15.6" x14ac:dyDescent="0.3">
      <c r="A187" s="18">
        <v>2024</v>
      </c>
      <c r="B187" s="19" t="s">
        <v>65</v>
      </c>
      <c r="C187" s="19" t="s">
        <v>36</v>
      </c>
      <c r="D187" s="19" t="s">
        <v>22</v>
      </c>
      <c r="E187" s="20" t="s">
        <v>19</v>
      </c>
      <c r="F187" s="21">
        <v>14428</v>
      </c>
      <c r="G187" s="20">
        <v>8552</v>
      </c>
      <c r="H187" s="22" t="s">
        <v>233</v>
      </c>
      <c r="I187">
        <v>100</v>
      </c>
    </row>
    <row r="188" spans="1:9" ht="15.6" x14ac:dyDescent="0.3">
      <c r="A188" s="18">
        <v>2024</v>
      </c>
      <c r="B188" s="19" t="s">
        <v>65</v>
      </c>
      <c r="C188" s="19" t="s">
        <v>56</v>
      </c>
      <c r="D188" s="19" t="s">
        <v>22</v>
      </c>
      <c r="E188" s="20" t="s">
        <v>19</v>
      </c>
      <c r="F188" s="21">
        <v>8480.5</v>
      </c>
      <c r="G188" s="20">
        <v>4587</v>
      </c>
      <c r="H188" s="22" t="s">
        <v>234</v>
      </c>
      <c r="I188">
        <v>100</v>
      </c>
    </row>
    <row r="189" spans="1:9" ht="15.6" x14ac:dyDescent="0.3">
      <c r="A189" s="18">
        <v>2024</v>
      </c>
      <c r="B189" s="19" t="s">
        <v>65</v>
      </c>
      <c r="C189" s="19" t="s">
        <v>36</v>
      </c>
      <c r="D189" s="19" t="s">
        <v>22</v>
      </c>
      <c r="E189" s="20" t="s">
        <v>19</v>
      </c>
      <c r="F189" s="21">
        <v>14428</v>
      </c>
      <c r="G189" s="20">
        <v>8552</v>
      </c>
      <c r="H189" s="22" t="s">
        <v>235</v>
      </c>
      <c r="I189">
        <v>100</v>
      </c>
    </row>
    <row r="190" spans="1:9" ht="15.6" x14ac:dyDescent="0.3">
      <c r="A190" s="18">
        <v>2024</v>
      </c>
      <c r="B190" s="19" t="s">
        <v>65</v>
      </c>
      <c r="C190" s="19" t="s">
        <v>56</v>
      </c>
      <c r="D190" s="19" t="s">
        <v>22</v>
      </c>
      <c r="E190" s="20" t="s">
        <v>19</v>
      </c>
      <c r="F190" s="21">
        <v>8480.5</v>
      </c>
      <c r="G190" s="20">
        <v>4587</v>
      </c>
      <c r="H190" s="22" t="s">
        <v>236</v>
      </c>
      <c r="I190">
        <v>100</v>
      </c>
    </row>
    <row r="191" spans="1:9" ht="15.6" x14ac:dyDescent="0.3">
      <c r="A191" s="18">
        <v>2024</v>
      </c>
      <c r="B191" s="19" t="s">
        <v>84</v>
      </c>
      <c r="C191" s="19" t="s">
        <v>47</v>
      </c>
      <c r="D191" s="19" t="s">
        <v>37</v>
      </c>
      <c r="E191" s="20" t="s">
        <v>17</v>
      </c>
      <c r="F191" s="21">
        <v>15619</v>
      </c>
      <c r="G191" s="20">
        <v>9346</v>
      </c>
      <c r="H191" s="22" t="s">
        <v>237</v>
      </c>
      <c r="I191">
        <v>100</v>
      </c>
    </row>
    <row r="192" spans="1:9" ht="15.6" x14ac:dyDescent="0.3">
      <c r="A192" s="18">
        <v>2024</v>
      </c>
      <c r="B192" s="19" t="s">
        <v>84</v>
      </c>
      <c r="C192" s="19" t="s">
        <v>36</v>
      </c>
      <c r="D192" s="19" t="s">
        <v>37</v>
      </c>
      <c r="E192" s="20" t="s">
        <v>17</v>
      </c>
      <c r="F192" s="21">
        <v>1867</v>
      </c>
      <c r="G192" s="20">
        <v>178</v>
      </c>
      <c r="H192" s="22" t="s">
        <v>238</v>
      </c>
      <c r="I192">
        <v>100</v>
      </c>
    </row>
    <row r="193" spans="1:9" ht="15.6" x14ac:dyDescent="0.3">
      <c r="A193" s="18">
        <v>2024</v>
      </c>
      <c r="B193" s="19" t="s">
        <v>84</v>
      </c>
      <c r="C193" s="19" t="s">
        <v>47</v>
      </c>
      <c r="D193" s="19" t="s">
        <v>37</v>
      </c>
      <c r="E193" s="20" t="s">
        <v>17</v>
      </c>
      <c r="F193" s="21">
        <v>15619</v>
      </c>
      <c r="G193" s="20">
        <v>9346</v>
      </c>
      <c r="H193" s="22" t="s">
        <v>239</v>
      </c>
      <c r="I193">
        <v>100</v>
      </c>
    </row>
    <row r="194" spans="1:9" ht="15.6" x14ac:dyDescent="0.3">
      <c r="A194" s="18">
        <v>2024</v>
      </c>
      <c r="B194" s="19" t="s">
        <v>84</v>
      </c>
      <c r="C194" s="19" t="s">
        <v>36</v>
      </c>
      <c r="D194" s="19" t="s">
        <v>37</v>
      </c>
      <c r="E194" s="20" t="s">
        <v>17</v>
      </c>
      <c r="F194" s="21">
        <v>1867</v>
      </c>
      <c r="G194" s="20">
        <v>178</v>
      </c>
      <c r="H194" s="22" t="s">
        <v>240</v>
      </c>
      <c r="I194">
        <v>100</v>
      </c>
    </row>
    <row r="195" spans="1:9" ht="15.6" x14ac:dyDescent="0.3">
      <c r="A195" s="18">
        <v>2024</v>
      </c>
      <c r="B195" s="19" t="s">
        <v>84</v>
      </c>
      <c r="C195" s="19" t="s">
        <v>47</v>
      </c>
      <c r="D195" s="19" t="s">
        <v>45</v>
      </c>
      <c r="E195" s="20" t="s">
        <v>19</v>
      </c>
      <c r="F195" s="21">
        <v>15619</v>
      </c>
      <c r="G195" s="20">
        <v>9346</v>
      </c>
      <c r="H195" s="22" t="s">
        <v>241</v>
      </c>
      <c r="I195">
        <v>100</v>
      </c>
    </row>
    <row r="196" spans="1:9" ht="15.6" x14ac:dyDescent="0.3">
      <c r="A196" s="18">
        <v>2024</v>
      </c>
      <c r="B196" s="19" t="s">
        <v>84</v>
      </c>
      <c r="C196" s="19" t="s">
        <v>36</v>
      </c>
      <c r="D196" s="19" t="s">
        <v>45</v>
      </c>
      <c r="E196" s="20" t="s">
        <v>19</v>
      </c>
      <c r="F196" s="21">
        <v>6380.5</v>
      </c>
      <c r="G196" s="20">
        <v>3187</v>
      </c>
      <c r="H196" s="22" t="s">
        <v>242</v>
      </c>
      <c r="I196">
        <v>100</v>
      </c>
    </row>
    <row r="197" spans="1:9" ht="15.6" x14ac:dyDescent="0.3">
      <c r="A197" s="18">
        <v>2024</v>
      </c>
      <c r="B197" s="19" t="s">
        <v>84</v>
      </c>
      <c r="C197" s="19" t="s">
        <v>47</v>
      </c>
      <c r="D197" s="19" t="s">
        <v>45</v>
      </c>
      <c r="E197" s="20" t="s">
        <v>19</v>
      </c>
      <c r="F197" s="21">
        <v>15619</v>
      </c>
      <c r="G197" s="20">
        <v>9346</v>
      </c>
      <c r="H197" s="22" t="s">
        <v>243</v>
      </c>
      <c r="I197">
        <v>100</v>
      </c>
    </row>
    <row r="198" spans="1:9" ht="15.6" x14ac:dyDescent="0.3">
      <c r="A198" s="18">
        <v>2024</v>
      </c>
      <c r="B198" s="19" t="s">
        <v>84</v>
      </c>
      <c r="C198" s="19" t="s">
        <v>36</v>
      </c>
      <c r="D198" s="19" t="s">
        <v>45</v>
      </c>
      <c r="E198" s="20" t="s">
        <v>19</v>
      </c>
      <c r="F198" s="21">
        <v>6380.5</v>
      </c>
      <c r="G198" s="20">
        <v>3187</v>
      </c>
      <c r="H198" s="22" t="s">
        <v>244</v>
      </c>
      <c r="I198">
        <v>100</v>
      </c>
    </row>
    <row r="199" spans="1:9" ht="15.6" x14ac:dyDescent="0.3">
      <c r="A199" s="18">
        <v>2024</v>
      </c>
      <c r="B199" s="19" t="s">
        <v>84</v>
      </c>
      <c r="C199" s="19" t="s">
        <v>47</v>
      </c>
      <c r="D199" s="19" t="s">
        <v>51</v>
      </c>
      <c r="E199" s="20" t="s">
        <v>18</v>
      </c>
      <c r="F199" s="21">
        <v>4547.5</v>
      </c>
      <c r="G199" s="20">
        <v>1965</v>
      </c>
      <c r="H199" s="22" t="s">
        <v>245</v>
      </c>
      <c r="I199">
        <v>100</v>
      </c>
    </row>
    <row r="200" spans="1:9" ht="15.6" x14ac:dyDescent="0.3">
      <c r="A200" s="18">
        <v>2024</v>
      </c>
      <c r="B200" s="19" t="s">
        <v>84</v>
      </c>
      <c r="C200" s="19" t="s">
        <v>40</v>
      </c>
      <c r="D200" s="19" t="s">
        <v>51</v>
      </c>
      <c r="E200" s="20" t="s">
        <v>18</v>
      </c>
      <c r="F200" s="21">
        <v>15596.5</v>
      </c>
      <c r="G200" s="20">
        <v>9331</v>
      </c>
      <c r="H200" s="22" t="s">
        <v>246</v>
      </c>
      <c r="I200">
        <v>100</v>
      </c>
    </row>
    <row r="201" spans="1:9" ht="15.6" x14ac:dyDescent="0.3">
      <c r="A201" s="18">
        <v>2024</v>
      </c>
      <c r="B201" s="19" t="s">
        <v>84</v>
      </c>
      <c r="C201" s="19" t="s">
        <v>47</v>
      </c>
      <c r="D201" s="19" t="s">
        <v>51</v>
      </c>
      <c r="E201" s="20" t="s">
        <v>18</v>
      </c>
      <c r="F201" s="21">
        <v>4547.5</v>
      </c>
      <c r="G201" s="20">
        <v>1965</v>
      </c>
      <c r="H201" s="22" t="s">
        <v>247</v>
      </c>
      <c r="I201">
        <v>100</v>
      </c>
    </row>
    <row r="202" spans="1:9" ht="15.6" x14ac:dyDescent="0.3">
      <c r="A202" s="18">
        <v>2024</v>
      </c>
      <c r="B202" s="19" t="s">
        <v>84</v>
      </c>
      <c r="C202" s="19" t="s">
        <v>40</v>
      </c>
      <c r="D202" s="19" t="s">
        <v>51</v>
      </c>
      <c r="E202" s="20" t="s">
        <v>18</v>
      </c>
      <c r="F202" s="21">
        <v>15596.5</v>
      </c>
      <c r="G202" s="20">
        <v>9331</v>
      </c>
      <c r="H202" s="22" t="s">
        <v>248</v>
      </c>
      <c r="I202">
        <v>100</v>
      </c>
    </row>
    <row r="203" spans="1:9" ht="15.6" x14ac:dyDescent="0.3">
      <c r="A203" s="18">
        <v>2024</v>
      </c>
      <c r="B203" s="19" t="s">
        <v>84</v>
      </c>
      <c r="C203" s="19" t="s">
        <v>40</v>
      </c>
      <c r="D203" s="19" t="s">
        <v>57</v>
      </c>
      <c r="E203" s="20" t="s">
        <v>58</v>
      </c>
      <c r="F203" s="21">
        <v>2498.5</v>
      </c>
      <c r="G203" s="20">
        <v>599</v>
      </c>
      <c r="H203" s="22" t="s">
        <v>249</v>
      </c>
      <c r="I203">
        <v>100</v>
      </c>
    </row>
    <row r="204" spans="1:9" ht="15.6" x14ac:dyDescent="0.3">
      <c r="A204" s="18">
        <v>2024</v>
      </c>
      <c r="B204" s="19" t="s">
        <v>84</v>
      </c>
      <c r="C204" s="19" t="s">
        <v>47</v>
      </c>
      <c r="D204" s="19" t="s">
        <v>57</v>
      </c>
      <c r="E204" s="20" t="s">
        <v>58</v>
      </c>
      <c r="F204" s="21">
        <v>1235.5</v>
      </c>
      <c r="G204" s="20">
        <v>-243</v>
      </c>
      <c r="H204" s="22" t="s">
        <v>250</v>
      </c>
      <c r="I204">
        <v>100</v>
      </c>
    </row>
    <row r="205" spans="1:9" ht="15.6" x14ac:dyDescent="0.3">
      <c r="A205" s="18">
        <v>2024</v>
      </c>
      <c r="B205" s="19" t="s">
        <v>84</v>
      </c>
      <c r="C205" s="19" t="s">
        <v>40</v>
      </c>
      <c r="D205" s="19" t="s">
        <v>57</v>
      </c>
      <c r="E205" s="20" t="s">
        <v>58</v>
      </c>
      <c r="F205" s="21">
        <v>2498.5</v>
      </c>
      <c r="G205" s="20">
        <v>599</v>
      </c>
      <c r="H205" s="22" t="s">
        <v>251</v>
      </c>
      <c r="I205">
        <v>100</v>
      </c>
    </row>
    <row r="206" spans="1:9" ht="15.6" x14ac:dyDescent="0.3">
      <c r="A206" s="18">
        <v>2024</v>
      </c>
      <c r="B206" s="19" t="s">
        <v>84</v>
      </c>
      <c r="C206" s="19" t="s">
        <v>47</v>
      </c>
      <c r="D206" s="19" t="s">
        <v>57</v>
      </c>
      <c r="E206" s="20" t="s">
        <v>58</v>
      </c>
      <c r="F206" s="21">
        <v>1235.5</v>
      </c>
      <c r="G206" s="20">
        <v>-243</v>
      </c>
      <c r="H206" s="22" t="s">
        <v>252</v>
      </c>
      <c r="I206">
        <v>100</v>
      </c>
    </row>
    <row r="207" spans="1:9" ht="15.6" x14ac:dyDescent="0.3">
      <c r="A207" s="18">
        <v>2024</v>
      </c>
      <c r="B207" s="19" t="s">
        <v>84</v>
      </c>
      <c r="C207" s="19" t="s">
        <v>36</v>
      </c>
      <c r="D207" s="19" t="s">
        <v>22</v>
      </c>
      <c r="E207" s="20" t="s">
        <v>19</v>
      </c>
      <c r="F207" s="21">
        <v>6380.5</v>
      </c>
      <c r="G207" s="20">
        <v>3187</v>
      </c>
      <c r="H207" s="22" t="s">
        <v>253</v>
      </c>
      <c r="I207">
        <v>100</v>
      </c>
    </row>
    <row r="208" spans="1:9" ht="15.6" x14ac:dyDescent="0.3">
      <c r="A208" s="18">
        <v>2024</v>
      </c>
      <c r="B208" s="19" t="s">
        <v>84</v>
      </c>
      <c r="C208" s="19" t="s">
        <v>56</v>
      </c>
      <c r="D208" s="19" t="s">
        <v>22</v>
      </c>
      <c r="E208" s="20" t="s">
        <v>19</v>
      </c>
      <c r="F208" s="21">
        <v>15446.5</v>
      </c>
      <c r="G208" s="20">
        <v>9231</v>
      </c>
      <c r="H208" s="22" t="s">
        <v>254</v>
      </c>
      <c r="I208">
        <v>100</v>
      </c>
    </row>
    <row r="209" spans="1:9" ht="15.6" x14ac:dyDescent="0.3">
      <c r="A209" s="18">
        <v>2024</v>
      </c>
      <c r="B209" s="19" t="s">
        <v>84</v>
      </c>
      <c r="C209" s="19" t="s">
        <v>36</v>
      </c>
      <c r="D209" s="19" t="s">
        <v>22</v>
      </c>
      <c r="E209" s="20" t="s">
        <v>19</v>
      </c>
      <c r="F209" s="21">
        <v>6380.5</v>
      </c>
      <c r="G209" s="20">
        <v>3187</v>
      </c>
      <c r="H209" s="22" t="s">
        <v>255</v>
      </c>
      <c r="I209">
        <v>100</v>
      </c>
    </row>
    <row r="210" spans="1:9" ht="15.6" x14ac:dyDescent="0.3">
      <c r="A210" s="18">
        <v>2024</v>
      </c>
      <c r="B210" s="19" t="s">
        <v>84</v>
      </c>
      <c r="C210" s="19" t="s">
        <v>56</v>
      </c>
      <c r="D210" s="19" t="s">
        <v>22</v>
      </c>
      <c r="E210" s="20" t="s">
        <v>19</v>
      </c>
      <c r="F210" s="21">
        <v>15446.5</v>
      </c>
      <c r="G210" s="20">
        <v>9231</v>
      </c>
      <c r="H210" s="22" t="s">
        <v>256</v>
      </c>
      <c r="I210">
        <v>100</v>
      </c>
    </row>
    <row r="211" spans="1:9" ht="15.6" x14ac:dyDescent="0.3">
      <c r="A211" s="18">
        <v>2024</v>
      </c>
      <c r="B211" s="19" t="s">
        <v>105</v>
      </c>
      <c r="C211" s="19" t="s">
        <v>56</v>
      </c>
      <c r="D211" s="19" t="s">
        <v>37</v>
      </c>
      <c r="E211" s="20" t="s">
        <v>17</v>
      </c>
      <c r="F211" s="21">
        <v>3367</v>
      </c>
      <c r="G211" s="20">
        <v>1178</v>
      </c>
      <c r="H211" s="22" t="s">
        <v>257</v>
      </c>
      <c r="I211">
        <v>100</v>
      </c>
    </row>
    <row r="212" spans="1:9" ht="15.6" x14ac:dyDescent="0.3">
      <c r="A212" s="18">
        <v>2024</v>
      </c>
      <c r="B212" s="19" t="s">
        <v>105</v>
      </c>
      <c r="C212" s="19" t="s">
        <v>47</v>
      </c>
      <c r="D212" s="19" t="s">
        <v>37</v>
      </c>
      <c r="E212" s="20" t="s">
        <v>17</v>
      </c>
      <c r="F212" s="21">
        <v>7880.5</v>
      </c>
      <c r="G212" s="20">
        <v>4187</v>
      </c>
      <c r="H212" s="22" t="s">
        <v>258</v>
      </c>
      <c r="I212">
        <v>100</v>
      </c>
    </row>
    <row r="213" spans="1:9" ht="15.6" x14ac:dyDescent="0.3">
      <c r="A213" s="18">
        <v>2024</v>
      </c>
      <c r="B213" s="19" t="s">
        <v>105</v>
      </c>
      <c r="C213" s="19" t="s">
        <v>56</v>
      </c>
      <c r="D213" s="19" t="s">
        <v>37</v>
      </c>
      <c r="E213" s="20" t="s">
        <v>17</v>
      </c>
      <c r="F213" s="21">
        <v>3367</v>
      </c>
      <c r="G213" s="20">
        <v>1178</v>
      </c>
      <c r="H213" s="22" t="s">
        <v>259</v>
      </c>
      <c r="I213">
        <v>100</v>
      </c>
    </row>
    <row r="214" spans="1:9" ht="15.6" x14ac:dyDescent="0.3">
      <c r="A214" s="18">
        <v>2024</v>
      </c>
      <c r="B214" s="19" t="s">
        <v>105</v>
      </c>
      <c r="C214" s="19" t="s">
        <v>47</v>
      </c>
      <c r="D214" s="19" t="s">
        <v>37</v>
      </c>
      <c r="E214" s="20" t="s">
        <v>17</v>
      </c>
      <c r="F214" s="21">
        <v>7880.5</v>
      </c>
      <c r="G214" s="20">
        <v>4187</v>
      </c>
      <c r="H214" s="22" t="s">
        <v>260</v>
      </c>
      <c r="I214">
        <v>100</v>
      </c>
    </row>
    <row r="215" spans="1:9" ht="15.6" x14ac:dyDescent="0.3">
      <c r="A215" s="18">
        <v>2024</v>
      </c>
      <c r="B215" s="19" t="s">
        <v>105</v>
      </c>
      <c r="C215" s="19" t="s">
        <v>36</v>
      </c>
      <c r="D215" s="19" t="s">
        <v>45</v>
      </c>
      <c r="E215" s="20" t="s">
        <v>19</v>
      </c>
      <c r="F215" s="21">
        <v>12838</v>
      </c>
      <c r="G215" s="20">
        <v>7492</v>
      </c>
      <c r="H215" s="22" t="s">
        <v>261</v>
      </c>
      <c r="I215">
        <v>100</v>
      </c>
    </row>
    <row r="216" spans="1:9" ht="15.6" x14ac:dyDescent="0.3">
      <c r="A216" s="18">
        <v>2024</v>
      </c>
      <c r="B216" s="19" t="s">
        <v>105</v>
      </c>
      <c r="C216" s="19" t="s">
        <v>56</v>
      </c>
      <c r="D216" s="19" t="s">
        <v>45</v>
      </c>
      <c r="E216" s="20" t="s">
        <v>19</v>
      </c>
      <c r="F216" s="21">
        <v>3367</v>
      </c>
      <c r="G216" s="20">
        <v>1178</v>
      </c>
      <c r="H216" s="22" t="s">
        <v>262</v>
      </c>
      <c r="I216">
        <v>100</v>
      </c>
    </row>
    <row r="217" spans="1:9" ht="15.6" x14ac:dyDescent="0.3">
      <c r="A217" s="18">
        <v>2024</v>
      </c>
      <c r="B217" s="19" t="s">
        <v>105</v>
      </c>
      <c r="C217" s="19" t="s">
        <v>36</v>
      </c>
      <c r="D217" s="19" t="s">
        <v>45</v>
      </c>
      <c r="E217" s="20" t="s">
        <v>19</v>
      </c>
      <c r="F217" s="21">
        <v>8030.5</v>
      </c>
      <c r="G217" s="20">
        <v>4287</v>
      </c>
      <c r="H217" s="22" t="s">
        <v>263</v>
      </c>
      <c r="I217">
        <v>100</v>
      </c>
    </row>
    <row r="218" spans="1:9" ht="15.6" x14ac:dyDescent="0.3">
      <c r="A218" s="18">
        <v>2024</v>
      </c>
      <c r="B218" s="19" t="s">
        <v>105</v>
      </c>
      <c r="C218" s="19" t="s">
        <v>40</v>
      </c>
      <c r="D218" s="19" t="s">
        <v>45</v>
      </c>
      <c r="E218" s="20" t="s">
        <v>19</v>
      </c>
      <c r="F218" s="21">
        <v>3046</v>
      </c>
      <c r="G218" s="20">
        <v>964</v>
      </c>
      <c r="H218" s="22" t="s">
        <v>264</v>
      </c>
      <c r="I218">
        <v>100</v>
      </c>
    </row>
    <row r="219" spans="1:9" ht="15.6" x14ac:dyDescent="0.3">
      <c r="A219" s="18">
        <v>2024</v>
      </c>
      <c r="B219" s="19" t="s">
        <v>105</v>
      </c>
      <c r="C219" s="19" t="s">
        <v>36</v>
      </c>
      <c r="D219" s="19" t="s">
        <v>45</v>
      </c>
      <c r="E219" s="20" t="s">
        <v>19</v>
      </c>
      <c r="F219" s="21">
        <v>12838</v>
      </c>
      <c r="G219" s="20">
        <v>7492</v>
      </c>
      <c r="H219" s="22" t="s">
        <v>265</v>
      </c>
      <c r="I219">
        <v>100</v>
      </c>
    </row>
    <row r="220" spans="1:9" ht="15.6" x14ac:dyDescent="0.3">
      <c r="A220" s="18">
        <v>2024</v>
      </c>
      <c r="B220" s="19" t="s">
        <v>105</v>
      </c>
      <c r="C220" s="19" t="s">
        <v>56</v>
      </c>
      <c r="D220" s="19" t="s">
        <v>45</v>
      </c>
      <c r="E220" s="20" t="s">
        <v>19</v>
      </c>
      <c r="F220" s="21">
        <v>3367</v>
      </c>
      <c r="G220" s="20">
        <v>1178</v>
      </c>
      <c r="H220" s="22" t="s">
        <v>266</v>
      </c>
      <c r="I220">
        <v>100</v>
      </c>
    </row>
    <row r="221" spans="1:9" ht="15.6" x14ac:dyDescent="0.3">
      <c r="A221" s="18">
        <v>2024</v>
      </c>
      <c r="B221" s="19" t="s">
        <v>105</v>
      </c>
      <c r="C221" s="19" t="s">
        <v>36</v>
      </c>
      <c r="D221" s="19" t="s">
        <v>45</v>
      </c>
      <c r="E221" s="20" t="s">
        <v>19</v>
      </c>
      <c r="F221" s="21">
        <v>8030.5</v>
      </c>
      <c r="G221" s="20">
        <v>4287</v>
      </c>
      <c r="H221" s="22" t="s">
        <v>267</v>
      </c>
      <c r="I221">
        <v>100</v>
      </c>
    </row>
    <row r="222" spans="1:9" ht="15.6" x14ac:dyDescent="0.3">
      <c r="A222" s="18">
        <v>2024</v>
      </c>
      <c r="B222" s="19" t="s">
        <v>105</v>
      </c>
      <c r="C222" s="19" t="s">
        <v>40</v>
      </c>
      <c r="D222" s="19" t="s">
        <v>45</v>
      </c>
      <c r="E222" s="20" t="s">
        <v>19</v>
      </c>
      <c r="F222" s="21">
        <v>3046</v>
      </c>
      <c r="G222" s="20">
        <v>964</v>
      </c>
      <c r="H222" s="22" t="s">
        <v>268</v>
      </c>
      <c r="I222">
        <v>100</v>
      </c>
    </row>
    <row r="223" spans="1:9" ht="15.6" x14ac:dyDescent="0.3">
      <c r="A223" s="18">
        <v>2024</v>
      </c>
      <c r="B223" s="19" t="s">
        <v>105</v>
      </c>
      <c r="C223" s="19" t="s">
        <v>47</v>
      </c>
      <c r="D223" s="19" t="s">
        <v>51</v>
      </c>
      <c r="E223" s="20" t="s">
        <v>18</v>
      </c>
      <c r="F223" s="21">
        <v>9793</v>
      </c>
      <c r="G223" s="20">
        <v>5462</v>
      </c>
      <c r="H223" s="22" t="s">
        <v>269</v>
      </c>
      <c r="I223">
        <v>100</v>
      </c>
    </row>
    <row r="224" spans="1:9" ht="15.6" x14ac:dyDescent="0.3">
      <c r="A224" s="18">
        <v>2024</v>
      </c>
      <c r="B224" s="19" t="s">
        <v>105</v>
      </c>
      <c r="C224" s="19" t="s">
        <v>47</v>
      </c>
      <c r="D224" s="19" t="s">
        <v>51</v>
      </c>
      <c r="E224" s="20" t="s">
        <v>18</v>
      </c>
      <c r="F224" s="21">
        <v>12122.5</v>
      </c>
      <c r="G224" s="20">
        <v>7015</v>
      </c>
      <c r="H224" s="22" t="s">
        <v>270</v>
      </c>
      <c r="I224">
        <v>100</v>
      </c>
    </row>
    <row r="225" spans="1:9" ht="15.6" x14ac:dyDescent="0.3">
      <c r="A225" s="18">
        <v>2024</v>
      </c>
      <c r="B225" s="19" t="s">
        <v>105</v>
      </c>
      <c r="C225" s="19" t="s">
        <v>36</v>
      </c>
      <c r="D225" s="19" t="s">
        <v>51</v>
      </c>
      <c r="E225" s="20" t="s">
        <v>18</v>
      </c>
      <c r="F225" s="21">
        <v>14428</v>
      </c>
      <c r="G225" s="20">
        <v>8552</v>
      </c>
      <c r="H225" s="22" t="s">
        <v>271</v>
      </c>
      <c r="I225">
        <v>100</v>
      </c>
    </row>
    <row r="226" spans="1:9" ht="15.6" x14ac:dyDescent="0.3">
      <c r="A226" s="18">
        <v>2024</v>
      </c>
      <c r="B226" s="19" t="s">
        <v>105</v>
      </c>
      <c r="C226" s="19" t="s">
        <v>47</v>
      </c>
      <c r="D226" s="19" t="s">
        <v>51</v>
      </c>
      <c r="E226" s="20" t="s">
        <v>18</v>
      </c>
      <c r="F226" s="21">
        <v>15619</v>
      </c>
      <c r="G226" s="20">
        <v>9346</v>
      </c>
      <c r="H226" s="22" t="s">
        <v>272</v>
      </c>
      <c r="I226">
        <v>100</v>
      </c>
    </row>
    <row r="227" spans="1:9" ht="15.6" x14ac:dyDescent="0.3">
      <c r="A227" s="18">
        <v>2024</v>
      </c>
      <c r="B227" s="19" t="s">
        <v>105</v>
      </c>
      <c r="C227" s="19" t="s">
        <v>56</v>
      </c>
      <c r="D227" s="19" t="s">
        <v>51</v>
      </c>
      <c r="E227" s="20" t="s">
        <v>18</v>
      </c>
      <c r="F227" s="21">
        <v>3367</v>
      </c>
      <c r="G227" s="20">
        <v>1178</v>
      </c>
      <c r="H227" s="22" t="s">
        <v>273</v>
      </c>
      <c r="I227">
        <v>100</v>
      </c>
    </row>
    <row r="228" spans="1:9" ht="15.6" x14ac:dyDescent="0.3">
      <c r="A228" s="18">
        <v>2024</v>
      </c>
      <c r="B228" s="19" t="s">
        <v>105</v>
      </c>
      <c r="C228" s="19" t="s">
        <v>47</v>
      </c>
      <c r="D228" s="19" t="s">
        <v>51</v>
      </c>
      <c r="E228" s="20" t="s">
        <v>18</v>
      </c>
      <c r="F228" s="21">
        <v>9793</v>
      </c>
      <c r="G228" s="20">
        <v>5462</v>
      </c>
      <c r="H228" s="22" t="s">
        <v>274</v>
      </c>
      <c r="I228">
        <v>100</v>
      </c>
    </row>
    <row r="229" spans="1:9" ht="15.6" x14ac:dyDescent="0.3">
      <c r="A229" s="18">
        <v>2024</v>
      </c>
      <c r="B229" s="19" t="s">
        <v>105</v>
      </c>
      <c r="C229" s="19" t="s">
        <v>47</v>
      </c>
      <c r="D229" s="19" t="s">
        <v>51</v>
      </c>
      <c r="E229" s="20" t="s">
        <v>18</v>
      </c>
      <c r="F229" s="21">
        <v>12122.5</v>
      </c>
      <c r="G229" s="20">
        <v>7015</v>
      </c>
      <c r="H229" s="22" t="s">
        <v>275</v>
      </c>
      <c r="I229">
        <v>100</v>
      </c>
    </row>
    <row r="230" spans="1:9" ht="15.6" x14ac:dyDescent="0.3">
      <c r="A230" s="18">
        <v>2024</v>
      </c>
      <c r="B230" s="19" t="s">
        <v>105</v>
      </c>
      <c r="C230" s="19" t="s">
        <v>36</v>
      </c>
      <c r="D230" s="19" t="s">
        <v>51</v>
      </c>
      <c r="E230" s="20" t="s">
        <v>18</v>
      </c>
      <c r="F230" s="21">
        <v>14428</v>
      </c>
      <c r="G230" s="20">
        <v>8552</v>
      </c>
      <c r="H230" s="22" t="s">
        <v>276</v>
      </c>
      <c r="I230">
        <v>100</v>
      </c>
    </row>
    <row r="231" spans="1:9" ht="15.6" x14ac:dyDescent="0.3">
      <c r="A231" s="18">
        <v>2024</v>
      </c>
      <c r="B231" s="19" t="s">
        <v>105</v>
      </c>
      <c r="C231" s="19" t="s">
        <v>47</v>
      </c>
      <c r="D231" s="19" t="s">
        <v>51</v>
      </c>
      <c r="E231" s="20" t="s">
        <v>18</v>
      </c>
      <c r="F231" s="21">
        <v>15619</v>
      </c>
      <c r="G231" s="20">
        <v>9346</v>
      </c>
      <c r="H231" s="22" t="s">
        <v>277</v>
      </c>
      <c r="I231">
        <v>100</v>
      </c>
    </row>
    <row r="232" spans="1:9" ht="15.6" x14ac:dyDescent="0.3">
      <c r="A232" s="18">
        <v>2024</v>
      </c>
      <c r="B232" s="19" t="s">
        <v>105</v>
      </c>
      <c r="C232" s="19" t="s">
        <v>56</v>
      </c>
      <c r="D232" s="19" t="s">
        <v>51</v>
      </c>
      <c r="E232" s="20" t="s">
        <v>18</v>
      </c>
      <c r="F232" s="21">
        <v>3367</v>
      </c>
      <c r="G232" s="20">
        <v>1178</v>
      </c>
      <c r="H232" s="22" t="s">
        <v>278</v>
      </c>
      <c r="I232">
        <v>100</v>
      </c>
    </row>
    <row r="233" spans="1:9" ht="15.6" x14ac:dyDescent="0.3">
      <c r="A233" s="18">
        <v>2024</v>
      </c>
      <c r="B233" s="19" t="s">
        <v>105</v>
      </c>
      <c r="C233" s="19" t="s">
        <v>36</v>
      </c>
      <c r="D233" s="19" t="s">
        <v>57</v>
      </c>
      <c r="E233" s="20" t="s">
        <v>58</v>
      </c>
      <c r="F233" s="21">
        <v>12838</v>
      </c>
      <c r="G233" s="20">
        <v>7492</v>
      </c>
      <c r="H233" s="22" t="s">
        <v>279</v>
      </c>
      <c r="I233">
        <v>100</v>
      </c>
    </row>
    <row r="234" spans="1:9" ht="15.6" x14ac:dyDescent="0.3">
      <c r="A234" s="18">
        <v>2024</v>
      </c>
      <c r="B234" s="19" t="s">
        <v>105</v>
      </c>
      <c r="C234" s="19" t="s">
        <v>36</v>
      </c>
      <c r="D234" s="19" t="s">
        <v>57</v>
      </c>
      <c r="E234" s="20" t="s">
        <v>58</v>
      </c>
      <c r="F234" s="21">
        <v>12979</v>
      </c>
      <c r="G234" s="20">
        <v>7586</v>
      </c>
      <c r="H234" s="22" t="s">
        <v>280</v>
      </c>
      <c r="I234">
        <v>100</v>
      </c>
    </row>
    <row r="235" spans="1:9" ht="15.6" x14ac:dyDescent="0.3">
      <c r="A235" s="18">
        <v>2024</v>
      </c>
      <c r="B235" s="19" t="s">
        <v>105</v>
      </c>
      <c r="C235" s="19" t="s">
        <v>36</v>
      </c>
      <c r="D235" s="19" t="s">
        <v>57</v>
      </c>
      <c r="E235" s="20" t="s">
        <v>58</v>
      </c>
      <c r="F235" s="21">
        <v>12838</v>
      </c>
      <c r="G235" s="20">
        <v>7492</v>
      </c>
      <c r="H235" s="22" t="s">
        <v>281</v>
      </c>
      <c r="I235">
        <v>100</v>
      </c>
    </row>
    <row r="236" spans="1:9" ht="15.6" x14ac:dyDescent="0.3">
      <c r="A236" s="18">
        <v>2024</v>
      </c>
      <c r="B236" s="19" t="s">
        <v>105</v>
      </c>
      <c r="C236" s="19" t="s">
        <v>36</v>
      </c>
      <c r="D236" s="19" t="s">
        <v>57</v>
      </c>
      <c r="E236" s="20" t="s">
        <v>58</v>
      </c>
      <c r="F236" s="21">
        <v>12979</v>
      </c>
      <c r="G236" s="20">
        <v>7586</v>
      </c>
      <c r="H236" s="22" t="s">
        <v>282</v>
      </c>
      <c r="I236">
        <v>100</v>
      </c>
    </row>
    <row r="237" spans="1:9" ht="15.6" x14ac:dyDescent="0.3">
      <c r="A237" s="18">
        <v>2024</v>
      </c>
      <c r="B237" s="19" t="s">
        <v>105</v>
      </c>
      <c r="C237" s="19" t="s">
        <v>36</v>
      </c>
      <c r="D237" s="19" t="s">
        <v>22</v>
      </c>
      <c r="E237" s="20" t="s">
        <v>19</v>
      </c>
      <c r="F237" s="21">
        <v>8030.5</v>
      </c>
      <c r="G237" s="20">
        <v>4287</v>
      </c>
      <c r="H237" s="22" t="s">
        <v>283</v>
      </c>
      <c r="I237">
        <v>100</v>
      </c>
    </row>
    <row r="238" spans="1:9" ht="15.6" x14ac:dyDescent="0.3">
      <c r="A238" s="18">
        <v>2024</v>
      </c>
      <c r="B238" s="19" t="s">
        <v>105</v>
      </c>
      <c r="C238" s="19" t="s">
        <v>40</v>
      </c>
      <c r="D238" s="19" t="s">
        <v>22</v>
      </c>
      <c r="E238" s="20" t="s">
        <v>19</v>
      </c>
      <c r="F238" s="21">
        <v>3046</v>
      </c>
      <c r="G238" s="20">
        <v>964</v>
      </c>
      <c r="H238" s="22" t="s">
        <v>284</v>
      </c>
      <c r="I238">
        <v>100</v>
      </c>
    </row>
    <row r="239" spans="1:9" ht="15.6" x14ac:dyDescent="0.3">
      <c r="A239" s="18">
        <v>2024</v>
      </c>
      <c r="B239" s="19" t="s">
        <v>105</v>
      </c>
      <c r="C239" s="19" t="s">
        <v>36</v>
      </c>
      <c r="D239" s="19" t="s">
        <v>22</v>
      </c>
      <c r="E239" s="20" t="s">
        <v>19</v>
      </c>
      <c r="F239" s="21">
        <v>8030.5</v>
      </c>
      <c r="G239" s="20">
        <v>4287</v>
      </c>
      <c r="H239" s="22" t="s">
        <v>285</v>
      </c>
      <c r="I239">
        <v>100</v>
      </c>
    </row>
    <row r="240" spans="1:9" ht="15.6" x14ac:dyDescent="0.3">
      <c r="A240" s="18">
        <v>2024</v>
      </c>
      <c r="B240" s="19" t="s">
        <v>105</v>
      </c>
      <c r="C240" s="19" t="s">
        <v>40</v>
      </c>
      <c r="D240" s="19" t="s">
        <v>22</v>
      </c>
      <c r="E240" s="20" t="s">
        <v>19</v>
      </c>
      <c r="F240" s="21">
        <v>3046</v>
      </c>
      <c r="G240" s="20">
        <v>964</v>
      </c>
      <c r="H240" s="22" t="s">
        <v>286</v>
      </c>
      <c r="I240">
        <v>100</v>
      </c>
    </row>
    <row r="241" spans="1:9" ht="15.6" x14ac:dyDescent="0.3">
      <c r="A241" s="18">
        <v>2024</v>
      </c>
      <c r="B241" s="19" t="s">
        <v>136</v>
      </c>
      <c r="C241" s="19" t="s">
        <v>40</v>
      </c>
      <c r="D241" s="19" t="s">
        <v>37</v>
      </c>
      <c r="E241" s="20" t="s">
        <v>17</v>
      </c>
      <c r="F241" s="21">
        <v>1747</v>
      </c>
      <c r="G241" s="20">
        <v>98</v>
      </c>
      <c r="H241" s="22" t="s">
        <v>287</v>
      </c>
      <c r="I241">
        <v>100</v>
      </c>
    </row>
    <row r="242" spans="1:9" ht="15.6" x14ac:dyDescent="0.3">
      <c r="A242" s="18">
        <v>2024</v>
      </c>
      <c r="B242" s="19" t="s">
        <v>136</v>
      </c>
      <c r="C242" s="19" t="s">
        <v>56</v>
      </c>
      <c r="D242" s="19" t="s">
        <v>37</v>
      </c>
      <c r="E242" s="20" t="s">
        <v>17</v>
      </c>
      <c r="F242" s="21">
        <v>8342.5</v>
      </c>
      <c r="G242" s="20">
        <v>4495</v>
      </c>
      <c r="H242" s="22" t="s">
        <v>288</v>
      </c>
      <c r="I242">
        <v>100</v>
      </c>
    </row>
    <row r="243" spans="1:9" ht="15.6" x14ac:dyDescent="0.3">
      <c r="A243" s="18">
        <v>2024</v>
      </c>
      <c r="B243" s="19" t="s">
        <v>136</v>
      </c>
      <c r="C243" s="19" t="s">
        <v>40</v>
      </c>
      <c r="D243" s="19" t="s">
        <v>37</v>
      </c>
      <c r="E243" s="20" t="s">
        <v>17</v>
      </c>
      <c r="F243" s="21">
        <v>1747</v>
      </c>
      <c r="G243" s="20">
        <v>98</v>
      </c>
      <c r="H243" s="22" t="s">
        <v>289</v>
      </c>
      <c r="I243">
        <v>100</v>
      </c>
    </row>
    <row r="244" spans="1:9" ht="15.6" x14ac:dyDescent="0.3">
      <c r="A244" s="18">
        <v>2024</v>
      </c>
      <c r="B244" s="19" t="s">
        <v>136</v>
      </c>
      <c r="C244" s="19" t="s">
        <v>56</v>
      </c>
      <c r="D244" s="19" t="s">
        <v>37</v>
      </c>
      <c r="E244" s="20" t="s">
        <v>17</v>
      </c>
      <c r="F244" s="21">
        <v>8342.5</v>
      </c>
      <c r="G244" s="20">
        <v>4495</v>
      </c>
      <c r="H244" s="22" t="s">
        <v>290</v>
      </c>
      <c r="I244">
        <v>100</v>
      </c>
    </row>
    <row r="245" spans="1:9" ht="15.6" x14ac:dyDescent="0.3">
      <c r="A245" s="18">
        <v>2024</v>
      </c>
      <c r="B245" s="19" t="s">
        <v>136</v>
      </c>
      <c r="C245" s="19" t="s">
        <v>56</v>
      </c>
      <c r="D245" s="19" t="s">
        <v>45</v>
      </c>
      <c r="E245" s="20" t="s">
        <v>19</v>
      </c>
      <c r="F245" s="21">
        <v>8344</v>
      </c>
      <c r="G245" s="20">
        <v>4496</v>
      </c>
      <c r="H245" s="22" t="s">
        <v>291</v>
      </c>
      <c r="I245">
        <v>100</v>
      </c>
    </row>
    <row r="246" spans="1:9" ht="15.6" x14ac:dyDescent="0.3">
      <c r="A246" s="18">
        <v>2024</v>
      </c>
      <c r="B246" s="19" t="s">
        <v>136</v>
      </c>
      <c r="C246" s="19" t="s">
        <v>36</v>
      </c>
      <c r="D246" s="19" t="s">
        <v>45</v>
      </c>
      <c r="E246" s="20" t="s">
        <v>19</v>
      </c>
      <c r="F246" s="21">
        <v>7880.5</v>
      </c>
      <c r="G246" s="20">
        <v>4187</v>
      </c>
      <c r="H246" s="22" t="s">
        <v>292</v>
      </c>
      <c r="I246">
        <v>100</v>
      </c>
    </row>
    <row r="247" spans="1:9" ht="15.6" x14ac:dyDescent="0.3">
      <c r="A247" s="18">
        <v>2024</v>
      </c>
      <c r="B247" s="19" t="s">
        <v>136</v>
      </c>
      <c r="C247" s="19" t="s">
        <v>56</v>
      </c>
      <c r="D247" s="19" t="s">
        <v>45</v>
      </c>
      <c r="E247" s="20" t="s">
        <v>19</v>
      </c>
      <c r="F247" s="21">
        <v>8344</v>
      </c>
      <c r="G247" s="20">
        <v>4496</v>
      </c>
      <c r="H247" s="22" t="s">
        <v>293</v>
      </c>
      <c r="I247">
        <v>100</v>
      </c>
    </row>
    <row r="248" spans="1:9" ht="15.6" x14ac:dyDescent="0.3">
      <c r="A248" s="18">
        <v>2024</v>
      </c>
      <c r="B248" s="19" t="s">
        <v>136</v>
      </c>
      <c r="C248" s="19" t="s">
        <v>36</v>
      </c>
      <c r="D248" s="19" t="s">
        <v>45</v>
      </c>
      <c r="E248" s="20" t="s">
        <v>19</v>
      </c>
      <c r="F248" s="21">
        <v>7880.5</v>
      </c>
      <c r="G248" s="20">
        <v>4187</v>
      </c>
      <c r="H248" s="22" t="s">
        <v>294</v>
      </c>
      <c r="I248">
        <v>100</v>
      </c>
    </row>
    <row r="249" spans="1:9" ht="15.6" x14ac:dyDescent="0.3">
      <c r="A249" s="18">
        <v>2024</v>
      </c>
      <c r="B249" s="19" t="s">
        <v>136</v>
      </c>
      <c r="C249" s="19" t="s">
        <v>36</v>
      </c>
      <c r="D249" s="19" t="s">
        <v>51</v>
      </c>
      <c r="E249" s="20" t="s">
        <v>18</v>
      </c>
      <c r="F249" s="21">
        <v>6380.5</v>
      </c>
      <c r="G249" s="20">
        <v>3187</v>
      </c>
      <c r="H249" s="22" t="s">
        <v>295</v>
      </c>
      <c r="I249">
        <v>100</v>
      </c>
    </row>
    <row r="250" spans="1:9" ht="15.6" x14ac:dyDescent="0.3">
      <c r="A250" s="18">
        <v>2024</v>
      </c>
      <c r="B250" s="19" t="s">
        <v>136</v>
      </c>
      <c r="C250" s="19" t="s">
        <v>36</v>
      </c>
      <c r="D250" s="19" t="s">
        <v>51</v>
      </c>
      <c r="E250" s="20" t="s">
        <v>18</v>
      </c>
      <c r="F250" s="21">
        <v>12838</v>
      </c>
      <c r="G250" s="20">
        <v>7492</v>
      </c>
      <c r="H250" s="22" t="s">
        <v>296</v>
      </c>
      <c r="I250">
        <v>100</v>
      </c>
    </row>
    <row r="251" spans="1:9" ht="15.6" x14ac:dyDescent="0.3">
      <c r="A251" s="18">
        <v>2024</v>
      </c>
      <c r="B251" s="19" t="s">
        <v>136</v>
      </c>
      <c r="C251" s="19" t="s">
        <v>36</v>
      </c>
      <c r="D251" s="19" t="s">
        <v>51</v>
      </c>
      <c r="E251" s="20" t="s">
        <v>18</v>
      </c>
      <c r="F251" s="21">
        <v>6380.5</v>
      </c>
      <c r="G251" s="20">
        <v>3187</v>
      </c>
      <c r="H251" s="22" t="s">
        <v>297</v>
      </c>
      <c r="I251">
        <v>100</v>
      </c>
    </row>
    <row r="252" spans="1:9" ht="15.6" x14ac:dyDescent="0.3">
      <c r="A252" s="18">
        <v>2024</v>
      </c>
      <c r="B252" s="19" t="s">
        <v>136</v>
      </c>
      <c r="C252" s="19" t="s">
        <v>36</v>
      </c>
      <c r="D252" s="19" t="s">
        <v>51</v>
      </c>
      <c r="E252" s="20" t="s">
        <v>18</v>
      </c>
      <c r="F252" s="21">
        <v>12838</v>
      </c>
      <c r="G252" s="20">
        <v>7492</v>
      </c>
      <c r="H252" s="22" t="s">
        <v>298</v>
      </c>
      <c r="I252">
        <v>100</v>
      </c>
    </row>
    <row r="253" spans="1:9" ht="15.6" x14ac:dyDescent="0.3">
      <c r="A253" s="18">
        <v>2024</v>
      </c>
      <c r="B253" s="19" t="s">
        <v>136</v>
      </c>
      <c r="C253" s="19" t="s">
        <v>56</v>
      </c>
      <c r="D253" s="19" t="s">
        <v>57</v>
      </c>
      <c r="E253" s="20" t="s">
        <v>58</v>
      </c>
      <c r="F253" s="21">
        <v>8344</v>
      </c>
      <c r="G253" s="20">
        <v>4496</v>
      </c>
      <c r="H253" s="22" t="s">
        <v>299</v>
      </c>
      <c r="I253">
        <v>100</v>
      </c>
    </row>
    <row r="254" spans="1:9" ht="15.6" x14ac:dyDescent="0.3">
      <c r="A254" s="18">
        <v>2024</v>
      </c>
      <c r="B254" s="19" t="s">
        <v>136</v>
      </c>
      <c r="C254" s="19" t="s">
        <v>36</v>
      </c>
      <c r="D254" s="19" t="s">
        <v>57</v>
      </c>
      <c r="E254" s="20" t="s">
        <v>58</v>
      </c>
      <c r="F254" s="21">
        <v>7880.5</v>
      </c>
      <c r="G254" s="20">
        <v>4187</v>
      </c>
      <c r="H254" s="22" t="s">
        <v>300</v>
      </c>
      <c r="I254">
        <v>100</v>
      </c>
    </row>
    <row r="255" spans="1:9" ht="15.6" x14ac:dyDescent="0.3">
      <c r="A255" s="18">
        <v>2024</v>
      </c>
      <c r="B255" s="19" t="s">
        <v>136</v>
      </c>
      <c r="C255" s="19" t="s">
        <v>36</v>
      </c>
      <c r="D255" s="19" t="s">
        <v>57</v>
      </c>
      <c r="E255" s="20" t="s">
        <v>58</v>
      </c>
      <c r="F255" s="21">
        <v>8318.5</v>
      </c>
      <c r="G255" s="20">
        <v>4479</v>
      </c>
      <c r="H255" s="22" t="s">
        <v>301</v>
      </c>
      <c r="I255">
        <v>100</v>
      </c>
    </row>
    <row r="256" spans="1:9" ht="15.6" x14ac:dyDescent="0.3">
      <c r="A256" s="18">
        <v>2024</v>
      </c>
      <c r="B256" s="19" t="s">
        <v>136</v>
      </c>
      <c r="C256" s="19" t="s">
        <v>56</v>
      </c>
      <c r="D256" s="19" t="s">
        <v>57</v>
      </c>
      <c r="E256" s="20" t="s">
        <v>58</v>
      </c>
      <c r="F256" s="21">
        <v>8344</v>
      </c>
      <c r="G256" s="20">
        <v>4496</v>
      </c>
      <c r="H256" s="22" t="s">
        <v>302</v>
      </c>
      <c r="I256">
        <v>100</v>
      </c>
    </row>
    <row r="257" spans="1:9" ht="15.6" x14ac:dyDescent="0.3">
      <c r="A257" s="18">
        <v>2024</v>
      </c>
      <c r="B257" s="19" t="s">
        <v>136</v>
      </c>
      <c r="C257" s="19" t="s">
        <v>36</v>
      </c>
      <c r="D257" s="19" t="s">
        <v>57</v>
      </c>
      <c r="E257" s="20" t="s">
        <v>58</v>
      </c>
      <c r="F257" s="21">
        <v>7880.5</v>
      </c>
      <c r="G257" s="20">
        <v>4187</v>
      </c>
      <c r="H257" s="22" t="s">
        <v>303</v>
      </c>
      <c r="I257">
        <v>100</v>
      </c>
    </row>
    <row r="258" spans="1:9" ht="15.6" x14ac:dyDescent="0.3">
      <c r="A258" s="18">
        <v>2024</v>
      </c>
      <c r="B258" s="19" t="s">
        <v>136</v>
      </c>
      <c r="C258" s="19" t="s">
        <v>36</v>
      </c>
      <c r="D258" s="19" t="s">
        <v>57</v>
      </c>
      <c r="E258" s="20" t="s">
        <v>58</v>
      </c>
      <c r="F258" s="21">
        <v>8318.5</v>
      </c>
      <c r="G258" s="20">
        <v>4479</v>
      </c>
      <c r="H258" s="22" t="s">
        <v>304</v>
      </c>
      <c r="I258">
        <v>100</v>
      </c>
    </row>
    <row r="259" spans="1:9" ht="15.6" x14ac:dyDescent="0.3">
      <c r="A259" s="18">
        <v>2024</v>
      </c>
      <c r="B259" s="19" t="s">
        <v>136</v>
      </c>
      <c r="C259" s="19" t="s">
        <v>47</v>
      </c>
      <c r="D259" s="19" t="s">
        <v>22</v>
      </c>
      <c r="E259" s="20" t="s">
        <v>19</v>
      </c>
      <c r="F259" s="21">
        <v>7880.5</v>
      </c>
      <c r="G259" s="20">
        <v>4187</v>
      </c>
      <c r="H259" s="22" t="s">
        <v>305</v>
      </c>
      <c r="I259">
        <v>100</v>
      </c>
    </row>
    <row r="260" spans="1:9" ht="15.6" x14ac:dyDescent="0.3">
      <c r="A260" s="18">
        <v>2024</v>
      </c>
      <c r="B260" s="19" t="s">
        <v>136</v>
      </c>
      <c r="C260" s="19" t="s">
        <v>36</v>
      </c>
      <c r="D260" s="19" t="s">
        <v>22</v>
      </c>
      <c r="E260" s="20" t="s">
        <v>19</v>
      </c>
      <c r="F260" s="21">
        <v>10486</v>
      </c>
      <c r="G260" s="20">
        <v>5924</v>
      </c>
      <c r="H260" s="22" t="s">
        <v>306</v>
      </c>
      <c r="I260">
        <v>100</v>
      </c>
    </row>
    <row r="261" spans="1:9" ht="15.6" x14ac:dyDescent="0.3">
      <c r="A261" s="18">
        <v>2024</v>
      </c>
      <c r="B261" s="19" t="s">
        <v>136</v>
      </c>
      <c r="C261" s="19" t="s">
        <v>47</v>
      </c>
      <c r="D261" s="19" t="s">
        <v>22</v>
      </c>
      <c r="E261" s="20" t="s">
        <v>19</v>
      </c>
      <c r="F261" s="21">
        <v>7880.5</v>
      </c>
      <c r="G261" s="20">
        <v>4187</v>
      </c>
      <c r="H261" s="22" t="s">
        <v>307</v>
      </c>
      <c r="I261">
        <v>100</v>
      </c>
    </row>
    <row r="262" spans="1:9" ht="15.6" x14ac:dyDescent="0.3">
      <c r="A262" s="18">
        <v>2024</v>
      </c>
      <c r="B262" s="19" t="s">
        <v>136</v>
      </c>
      <c r="C262" s="19" t="s">
        <v>36</v>
      </c>
      <c r="D262" s="19" t="s">
        <v>22</v>
      </c>
      <c r="E262" s="20" t="s">
        <v>19</v>
      </c>
      <c r="F262" s="21">
        <v>10486</v>
      </c>
      <c r="G262" s="20">
        <v>5924</v>
      </c>
      <c r="H262" s="22" t="s">
        <v>308</v>
      </c>
      <c r="I262">
        <v>100</v>
      </c>
    </row>
    <row r="263" spans="1:9" ht="15.6" x14ac:dyDescent="0.3">
      <c r="A263" s="18">
        <v>2024</v>
      </c>
      <c r="B263" s="19" t="s">
        <v>159</v>
      </c>
      <c r="C263" s="19" t="s">
        <v>36</v>
      </c>
      <c r="D263" s="19" t="s">
        <v>37</v>
      </c>
      <c r="E263" s="20" t="s">
        <v>17</v>
      </c>
      <c r="F263" s="21">
        <v>5666</v>
      </c>
      <c r="G263" s="20">
        <v>5223</v>
      </c>
      <c r="H263" s="22" t="s">
        <v>309</v>
      </c>
      <c r="I263">
        <v>100</v>
      </c>
    </row>
    <row r="264" spans="1:9" ht="15.6" x14ac:dyDescent="0.3">
      <c r="A264" s="18">
        <v>2024</v>
      </c>
      <c r="B264" s="19" t="s">
        <v>159</v>
      </c>
      <c r="C264" s="19" t="s">
        <v>36</v>
      </c>
      <c r="D264" s="19" t="s">
        <v>37</v>
      </c>
      <c r="E264" s="20" t="s">
        <v>17</v>
      </c>
      <c r="F264" s="21">
        <v>11992</v>
      </c>
      <c r="G264" s="20">
        <v>6928</v>
      </c>
      <c r="H264" s="22" t="s">
        <v>310</v>
      </c>
      <c r="I264">
        <v>100</v>
      </c>
    </row>
    <row r="265" spans="1:9" ht="15.6" x14ac:dyDescent="0.3">
      <c r="A265" s="18">
        <v>2024</v>
      </c>
      <c r="B265" s="19" t="s">
        <v>159</v>
      </c>
      <c r="C265" s="19" t="s">
        <v>36</v>
      </c>
      <c r="D265" s="19" t="s">
        <v>37</v>
      </c>
      <c r="E265" s="20" t="s">
        <v>17</v>
      </c>
      <c r="F265" s="21">
        <v>5666</v>
      </c>
      <c r="G265" s="20">
        <v>5223</v>
      </c>
      <c r="H265" s="22" t="s">
        <v>311</v>
      </c>
      <c r="I265">
        <v>100</v>
      </c>
    </row>
    <row r="266" spans="1:9" ht="15.6" x14ac:dyDescent="0.3">
      <c r="A266" s="18">
        <v>2024</v>
      </c>
      <c r="B266" s="19" t="s">
        <v>159</v>
      </c>
      <c r="C266" s="19" t="s">
        <v>36</v>
      </c>
      <c r="D266" s="19" t="s">
        <v>37</v>
      </c>
      <c r="E266" s="20" t="s">
        <v>17</v>
      </c>
      <c r="F266" s="21">
        <v>11992</v>
      </c>
      <c r="G266" s="20">
        <v>6928</v>
      </c>
      <c r="H266" s="22" t="s">
        <v>312</v>
      </c>
      <c r="I266">
        <v>100</v>
      </c>
    </row>
    <row r="267" spans="1:9" ht="15.6" x14ac:dyDescent="0.3">
      <c r="A267" s="18">
        <v>2024</v>
      </c>
      <c r="B267" s="19" t="s">
        <v>159</v>
      </c>
      <c r="C267" s="19" t="s">
        <v>36</v>
      </c>
      <c r="D267" s="19" t="s">
        <v>45</v>
      </c>
      <c r="E267" s="20" t="s">
        <v>19</v>
      </c>
      <c r="F267" s="21">
        <v>5666</v>
      </c>
      <c r="G267" s="20">
        <v>5223</v>
      </c>
      <c r="H267" s="22" t="s">
        <v>313</v>
      </c>
      <c r="I267">
        <v>100</v>
      </c>
    </row>
    <row r="268" spans="1:9" ht="15.6" x14ac:dyDescent="0.3">
      <c r="A268" s="18">
        <v>2024</v>
      </c>
      <c r="B268" s="19" t="s">
        <v>159</v>
      </c>
      <c r="C268" s="19" t="s">
        <v>40</v>
      </c>
      <c r="D268" s="19" t="s">
        <v>45</v>
      </c>
      <c r="E268" s="20" t="s">
        <v>19</v>
      </c>
      <c r="F268" s="21">
        <v>4897</v>
      </c>
      <c r="G268" s="20">
        <v>2198</v>
      </c>
      <c r="H268" s="22" t="s">
        <v>314</v>
      </c>
      <c r="I268">
        <v>100</v>
      </c>
    </row>
    <row r="269" spans="1:9" ht="15.6" x14ac:dyDescent="0.3">
      <c r="A269" s="18">
        <v>2024</v>
      </c>
      <c r="B269" s="19" t="s">
        <v>159</v>
      </c>
      <c r="C269" s="19" t="s">
        <v>36</v>
      </c>
      <c r="D269" s="19" t="s">
        <v>45</v>
      </c>
      <c r="E269" s="20" t="s">
        <v>19</v>
      </c>
      <c r="F269" s="21">
        <v>5666</v>
      </c>
      <c r="G269" s="20">
        <v>5223</v>
      </c>
      <c r="H269" s="22" t="s">
        <v>315</v>
      </c>
      <c r="I269">
        <v>100</v>
      </c>
    </row>
    <row r="270" spans="1:9" ht="15.6" x14ac:dyDescent="0.3">
      <c r="A270" s="18">
        <v>2024</v>
      </c>
      <c r="B270" s="19" t="s">
        <v>159</v>
      </c>
      <c r="C270" s="19" t="s">
        <v>40</v>
      </c>
      <c r="D270" s="19" t="s">
        <v>45</v>
      </c>
      <c r="E270" s="20" t="s">
        <v>19</v>
      </c>
      <c r="F270" s="21">
        <v>4897</v>
      </c>
      <c r="G270" s="20">
        <v>2198</v>
      </c>
      <c r="H270" s="22" t="s">
        <v>316</v>
      </c>
      <c r="I270">
        <v>100</v>
      </c>
    </row>
    <row r="271" spans="1:9" ht="15.6" x14ac:dyDescent="0.3">
      <c r="A271" s="18">
        <v>2024</v>
      </c>
      <c r="B271" s="19" t="s">
        <v>159</v>
      </c>
      <c r="C271" s="19" t="s">
        <v>40</v>
      </c>
      <c r="D271" s="19" t="s">
        <v>51</v>
      </c>
      <c r="E271" s="20" t="s">
        <v>18</v>
      </c>
      <c r="F271" s="21">
        <v>1747</v>
      </c>
      <c r="G271" s="20">
        <v>98</v>
      </c>
      <c r="H271" s="22" t="s">
        <v>317</v>
      </c>
      <c r="I271">
        <v>100</v>
      </c>
    </row>
    <row r="272" spans="1:9" ht="15.6" x14ac:dyDescent="0.3">
      <c r="A272" s="18">
        <v>2024</v>
      </c>
      <c r="B272" s="19" t="s">
        <v>159</v>
      </c>
      <c r="C272" s="19" t="s">
        <v>47</v>
      </c>
      <c r="D272" s="19" t="s">
        <v>51</v>
      </c>
      <c r="E272" s="20" t="s">
        <v>18</v>
      </c>
      <c r="F272" s="21">
        <v>7880.5</v>
      </c>
      <c r="G272" s="20">
        <v>4187</v>
      </c>
      <c r="H272" s="22" t="s">
        <v>318</v>
      </c>
      <c r="I272">
        <v>100</v>
      </c>
    </row>
    <row r="273" spans="1:9" ht="15.6" x14ac:dyDescent="0.3">
      <c r="A273" s="18">
        <v>2024</v>
      </c>
      <c r="B273" s="19" t="s">
        <v>159</v>
      </c>
      <c r="C273" s="19" t="s">
        <v>40</v>
      </c>
      <c r="D273" s="19" t="s">
        <v>51</v>
      </c>
      <c r="E273" s="20" t="s">
        <v>18</v>
      </c>
      <c r="F273" s="21">
        <v>1747</v>
      </c>
      <c r="G273" s="20">
        <v>98</v>
      </c>
      <c r="H273" s="22" t="s">
        <v>319</v>
      </c>
      <c r="I273">
        <v>100</v>
      </c>
    </row>
    <row r="274" spans="1:9" ht="15.6" x14ac:dyDescent="0.3">
      <c r="A274" s="18">
        <v>2024</v>
      </c>
      <c r="B274" s="19" t="s">
        <v>159</v>
      </c>
      <c r="C274" s="19" t="s">
        <v>47</v>
      </c>
      <c r="D274" s="19" t="s">
        <v>51</v>
      </c>
      <c r="E274" s="20" t="s">
        <v>18</v>
      </c>
      <c r="F274" s="21">
        <v>7880.5</v>
      </c>
      <c r="G274" s="20">
        <v>4187</v>
      </c>
      <c r="H274" s="22" t="s">
        <v>320</v>
      </c>
      <c r="I274">
        <v>100</v>
      </c>
    </row>
    <row r="275" spans="1:9" ht="15.6" x14ac:dyDescent="0.3">
      <c r="A275" s="18">
        <v>2024</v>
      </c>
      <c r="B275" s="19" t="s">
        <v>159</v>
      </c>
      <c r="C275" s="19" t="s">
        <v>40</v>
      </c>
      <c r="D275" s="19" t="s">
        <v>57</v>
      </c>
      <c r="E275" s="20" t="s">
        <v>58</v>
      </c>
      <c r="F275" s="21">
        <v>4897</v>
      </c>
      <c r="G275" s="20">
        <v>2198</v>
      </c>
      <c r="H275" s="22" t="s">
        <v>321</v>
      </c>
      <c r="I275">
        <v>100</v>
      </c>
    </row>
    <row r="276" spans="1:9" ht="15.6" x14ac:dyDescent="0.3">
      <c r="A276" s="18">
        <v>2024</v>
      </c>
      <c r="B276" s="19" t="s">
        <v>159</v>
      </c>
      <c r="C276" s="19" t="s">
        <v>56</v>
      </c>
      <c r="D276" s="19" t="s">
        <v>57</v>
      </c>
      <c r="E276" s="20" t="s">
        <v>58</v>
      </c>
      <c r="F276" s="21">
        <v>4084</v>
      </c>
      <c r="G276" s="20">
        <v>1656</v>
      </c>
      <c r="H276" s="22" t="s">
        <v>322</v>
      </c>
      <c r="I276">
        <v>100</v>
      </c>
    </row>
    <row r="277" spans="1:9" ht="15.6" x14ac:dyDescent="0.3">
      <c r="A277" s="18">
        <v>2024</v>
      </c>
      <c r="B277" s="19" t="s">
        <v>159</v>
      </c>
      <c r="C277" s="19" t="s">
        <v>40</v>
      </c>
      <c r="D277" s="19" t="s">
        <v>57</v>
      </c>
      <c r="E277" s="20" t="s">
        <v>58</v>
      </c>
      <c r="F277" s="21">
        <v>4897</v>
      </c>
      <c r="G277" s="20">
        <v>2198</v>
      </c>
      <c r="H277" s="22" t="s">
        <v>323</v>
      </c>
      <c r="I277">
        <v>100</v>
      </c>
    </row>
    <row r="278" spans="1:9" ht="15.6" x14ac:dyDescent="0.3">
      <c r="A278" s="18">
        <v>2024</v>
      </c>
      <c r="B278" s="19" t="s">
        <v>159</v>
      </c>
      <c r="C278" s="19" t="s">
        <v>56</v>
      </c>
      <c r="D278" s="19" t="s">
        <v>57</v>
      </c>
      <c r="E278" s="20" t="s">
        <v>58</v>
      </c>
      <c r="F278" s="21">
        <v>4084</v>
      </c>
      <c r="G278" s="20">
        <v>1656</v>
      </c>
      <c r="H278" s="22" t="s">
        <v>324</v>
      </c>
      <c r="I278">
        <v>100</v>
      </c>
    </row>
    <row r="279" spans="1:9" ht="15.6" x14ac:dyDescent="0.3">
      <c r="A279" s="18">
        <v>2024</v>
      </c>
      <c r="B279" s="19" t="s">
        <v>159</v>
      </c>
      <c r="C279" s="19" t="s">
        <v>47</v>
      </c>
      <c r="D279" s="19" t="s">
        <v>22</v>
      </c>
      <c r="E279" s="20" t="s">
        <v>19</v>
      </c>
      <c r="F279" s="21">
        <v>13370.5</v>
      </c>
      <c r="G279" s="20">
        <v>7847</v>
      </c>
      <c r="H279" s="22" t="s">
        <v>325</v>
      </c>
      <c r="I279">
        <v>100</v>
      </c>
    </row>
    <row r="280" spans="1:9" ht="15.6" x14ac:dyDescent="0.3">
      <c r="A280" s="18">
        <v>2024</v>
      </c>
      <c r="B280" s="19" t="s">
        <v>159</v>
      </c>
      <c r="C280" s="19" t="s">
        <v>36</v>
      </c>
      <c r="D280" s="19" t="s">
        <v>22</v>
      </c>
      <c r="E280" s="20" t="s">
        <v>19</v>
      </c>
      <c r="F280" s="21">
        <v>14231.5</v>
      </c>
      <c r="G280" s="20">
        <v>8421</v>
      </c>
      <c r="H280" s="22" t="s">
        <v>326</v>
      </c>
      <c r="I280">
        <v>100</v>
      </c>
    </row>
    <row r="281" spans="1:9" ht="15.6" x14ac:dyDescent="0.3">
      <c r="A281" s="18">
        <v>2024</v>
      </c>
      <c r="B281" s="19" t="s">
        <v>159</v>
      </c>
      <c r="C281" s="19" t="s">
        <v>47</v>
      </c>
      <c r="D281" s="19" t="s">
        <v>22</v>
      </c>
      <c r="E281" s="20" t="s">
        <v>19</v>
      </c>
      <c r="F281" s="21">
        <v>13370.5</v>
      </c>
      <c r="G281" s="20">
        <v>7847</v>
      </c>
      <c r="H281" s="22" t="s">
        <v>327</v>
      </c>
      <c r="I281">
        <v>100</v>
      </c>
    </row>
    <row r="282" spans="1:9" ht="15.6" x14ac:dyDescent="0.3">
      <c r="A282" s="18">
        <v>2024</v>
      </c>
      <c r="B282" s="19" t="s">
        <v>159</v>
      </c>
      <c r="C282" s="19" t="s">
        <v>36</v>
      </c>
      <c r="D282" s="19" t="s">
        <v>22</v>
      </c>
      <c r="E282" s="20" t="s">
        <v>19</v>
      </c>
      <c r="F282" s="21">
        <v>14231.5</v>
      </c>
      <c r="G282" s="20">
        <v>8421</v>
      </c>
      <c r="H282" s="22" t="s">
        <v>328</v>
      </c>
      <c r="I282">
        <v>100</v>
      </c>
    </row>
    <row r="283" spans="1:9" ht="15.6" x14ac:dyDescent="0.3">
      <c r="A283" s="18">
        <v>2024</v>
      </c>
      <c r="B283" s="19" t="s">
        <v>180</v>
      </c>
      <c r="C283" s="19" t="s">
        <v>40</v>
      </c>
      <c r="D283" s="19" t="s">
        <v>37</v>
      </c>
      <c r="E283" s="20" t="s">
        <v>17</v>
      </c>
      <c r="F283" s="21">
        <v>9832</v>
      </c>
      <c r="G283" s="20">
        <v>5488</v>
      </c>
      <c r="H283" s="22" t="s">
        <v>329</v>
      </c>
      <c r="I283">
        <v>100</v>
      </c>
    </row>
    <row r="284" spans="1:9" ht="15.6" x14ac:dyDescent="0.3">
      <c r="A284" s="18">
        <v>2024</v>
      </c>
      <c r="B284" s="19" t="s">
        <v>180</v>
      </c>
      <c r="C284" s="19" t="s">
        <v>36</v>
      </c>
      <c r="D284" s="19" t="s">
        <v>37</v>
      </c>
      <c r="E284" s="20" t="s">
        <v>17</v>
      </c>
      <c r="F284" s="21">
        <v>14413</v>
      </c>
      <c r="G284" s="20">
        <v>8542</v>
      </c>
      <c r="H284" s="22" t="s">
        <v>330</v>
      </c>
      <c r="I284">
        <v>100</v>
      </c>
    </row>
    <row r="285" spans="1:9" ht="15.6" x14ac:dyDescent="0.3">
      <c r="A285" s="18">
        <v>2024</v>
      </c>
      <c r="B285" s="19" t="s">
        <v>180</v>
      </c>
      <c r="C285" s="19" t="s">
        <v>56</v>
      </c>
      <c r="D285" s="19" t="s">
        <v>37</v>
      </c>
      <c r="E285" s="20" t="s">
        <v>17</v>
      </c>
      <c r="F285" s="21">
        <v>5026</v>
      </c>
      <c r="G285" s="20">
        <v>2284</v>
      </c>
      <c r="H285" s="22" t="s">
        <v>331</v>
      </c>
      <c r="I285">
        <v>100</v>
      </c>
    </row>
    <row r="286" spans="1:9" ht="15.6" x14ac:dyDescent="0.3">
      <c r="A286" s="18">
        <v>2024</v>
      </c>
      <c r="B286" s="19" t="s">
        <v>180</v>
      </c>
      <c r="C286" s="19" t="s">
        <v>40</v>
      </c>
      <c r="D286" s="19" t="s">
        <v>37</v>
      </c>
      <c r="E286" s="20" t="s">
        <v>17</v>
      </c>
      <c r="F286" s="21">
        <v>9832</v>
      </c>
      <c r="G286" s="20">
        <v>5488</v>
      </c>
      <c r="H286" s="22" t="s">
        <v>332</v>
      </c>
      <c r="I286">
        <v>100</v>
      </c>
    </row>
    <row r="287" spans="1:9" ht="15.6" x14ac:dyDescent="0.3">
      <c r="A287" s="18">
        <v>2024</v>
      </c>
      <c r="B287" s="19" t="s">
        <v>180</v>
      </c>
      <c r="C287" s="19" t="s">
        <v>36</v>
      </c>
      <c r="D287" s="19" t="s">
        <v>37</v>
      </c>
      <c r="E287" s="20" t="s">
        <v>17</v>
      </c>
      <c r="F287" s="21">
        <v>14413</v>
      </c>
      <c r="G287" s="20">
        <v>8542</v>
      </c>
      <c r="H287" s="22" t="s">
        <v>333</v>
      </c>
      <c r="I287">
        <v>100</v>
      </c>
    </row>
    <row r="288" spans="1:9" ht="15.6" x14ac:dyDescent="0.3">
      <c r="A288" s="18">
        <v>2024</v>
      </c>
      <c r="B288" s="19" t="s">
        <v>180</v>
      </c>
      <c r="C288" s="19" t="s">
        <v>56</v>
      </c>
      <c r="D288" s="19" t="s">
        <v>37</v>
      </c>
      <c r="E288" s="20" t="s">
        <v>17</v>
      </c>
      <c r="F288" s="21">
        <v>5026</v>
      </c>
      <c r="G288" s="20">
        <v>2284</v>
      </c>
      <c r="H288" s="22" t="s">
        <v>334</v>
      </c>
      <c r="I288">
        <v>100</v>
      </c>
    </row>
    <row r="289" spans="1:9" ht="15.6" x14ac:dyDescent="0.3">
      <c r="A289" s="18">
        <v>2024</v>
      </c>
      <c r="B289" s="19" t="s">
        <v>180</v>
      </c>
      <c r="C289" s="19" t="s">
        <v>40</v>
      </c>
      <c r="D289" s="19" t="s">
        <v>45</v>
      </c>
      <c r="E289" s="20" t="s">
        <v>19</v>
      </c>
      <c r="F289" s="21">
        <v>9832</v>
      </c>
      <c r="G289" s="20">
        <v>5488</v>
      </c>
      <c r="H289" s="22" t="s">
        <v>335</v>
      </c>
      <c r="I289">
        <v>100</v>
      </c>
    </row>
    <row r="290" spans="1:9" ht="15.6" x14ac:dyDescent="0.3">
      <c r="A290" s="18">
        <v>2024</v>
      </c>
      <c r="B290" s="19" t="s">
        <v>180</v>
      </c>
      <c r="C290" s="19" t="s">
        <v>47</v>
      </c>
      <c r="D290" s="19" t="s">
        <v>45</v>
      </c>
      <c r="E290" s="20" t="s">
        <v>19</v>
      </c>
      <c r="F290" s="21">
        <v>4547.5</v>
      </c>
      <c r="G290" s="20">
        <v>1965</v>
      </c>
      <c r="H290" s="22" t="s">
        <v>336</v>
      </c>
      <c r="I290">
        <v>100</v>
      </c>
    </row>
    <row r="291" spans="1:9" ht="15.6" x14ac:dyDescent="0.3">
      <c r="A291" s="18">
        <v>2024</v>
      </c>
      <c r="B291" s="19" t="s">
        <v>180</v>
      </c>
      <c r="C291" s="19" t="s">
        <v>40</v>
      </c>
      <c r="D291" s="19" t="s">
        <v>45</v>
      </c>
      <c r="E291" s="20" t="s">
        <v>19</v>
      </c>
      <c r="F291" s="21">
        <v>9832</v>
      </c>
      <c r="G291" s="20">
        <v>5488</v>
      </c>
      <c r="H291" s="22" t="s">
        <v>337</v>
      </c>
      <c r="I291">
        <v>100</v>
      </c>
    </row>
    <row r="292" spans="1:9" ht="15.6" x14ac:dyDescent="0.3">
      <c r="A292" s="18">
        <v>2024</v>
      </c>
      <c r="B292" s="19" t="s">
        <v>180</v>
      </c>
      <c r="C292" s="19" t="s">
        <v>47</v>
      </c>
      <c r="D292" s="19" t="s">
        <v>45</v>
      </c>
      <c r="E292" s="20" t="s">
        <v>19</v>
      </c>
      <c r="F292" s="21">
        <v>4547.5</v>
      </c>
      <c r="G292" s="20">
        <v>1965</v>
      </c>
      <c r="H292" s="22" t="s">
        <v>338</v>
      </c>
      <c r="I292">
        <v>100</v>
      </c>
    </row>
    <row r="293" spans="1:9" ht="15.6" x14ac:dyDescent="0.3">
      <c r="A293" s="18">
        <v>2024</v>
      </c>
      <c r="B293" s="19" t="s">
        <v>180</v>
      </c>
      <c r="C293" s="19" t="s">
        <v>36</v>
      </c>
      <c r="D293" s="19" t="s">
        <v>51</v>
      </c>
      <c r="E293" s="20" t="s">
        <v>18</v>
      </c>
      <c r="F293" s="21">
        <v>10486</v>
      </c>
      <c r="G293" s="20">
        <v>5924</v>
      </c>
      <c r="H293" s="22" t="s">
        <v>339</v>
      </c>
      <c r="I293">
        <v>100</v>
      </c>
    </row>
    <row r="294" spans="1:9" ht="15.6" x14ac:dyDescent="0.3">
      <c r="A294" s="18">
        <v>2024</v>
      </c>
      <c r="B294" s="19" t="s">
        <v>180</v>
      </c>
      <c r="C294" s="19" t="s">
        <v>56</v>
      </c>
      <c r="D294" s="19" t="s">
        <v>51</v>
      </c>
      <c r="E294" s="20" t="s">
        <v>18</v>
      </c>
      <c r="F294" s="21">
        <v>8342.5</v>
      </c>
      <c r="G294" s="20">
        <v>4495</v>
      </c>
      <c r="H294" s="22" t="s">
        <v>340</v>
      </c>
      <c r="I294">
        <v>100</v>
      </c>
    </row>
    <row r="295" spans="1:9" ht="15.6" x14ac:dyDescent="0.3">
      <c r="A295" s="18">
        <v>2024</v>
      </c>
      <c r="B295" s="19" t="s">
        <v>180</v>
      </c>
      <c r="C295" s="19" t="s">
        <v>36</v>
      </c>
      <c r="D295" s="19" t="s">
        <v>51</v>
      </c>
      <c r="E295" s="20" t="s">
        <v>18</v>
      </c>
      <c r="F295" s="21">
        <v>10486</v>
      </c>
      <c r="G295" s="20">
        <v>5924</v>
      </c>
      <c r="H295" s="22" t="s">
        <v>341</v>
      </c>
      <c r="I295">
        <v>100</v>
      </c>
    </row>
    <row r="296" spans="1:9" ht="15.6" x14ac:dyDescent="0.3">
      <c r="A296" s="18">
        <v>2024</v>
      </c>
      <c r="B296" s="19" t="s">
        <v>180</v>
      </c>
      <c r="C296" s="19" t="s">
        <v>56</v>
      </c>
      <c r="D296" s="19" t="s">
        <v>51</v>
      </c>
      <c r="E296" s="20" t="s">
        <v>18</v>
      </c>
      <c r="F296" s="21">
        <v>8342.5</v>
      </c>
      <c r="G296" s="20">
        <v>4495</v>
      </c>
      <c r="H296" s="22" t="s">
        <v>342</v>
      </c>
      <c r="I296">
        <v>100</v>
      </c>
    </row>
    <row r="297" spans="1:9" ht="15.6" x14ac:dyDescent="0.3">
      <c r="A297" s="18">
        <v>2024</v>
      </c>
      <c r="B297" s="19" t="s">
        <v>180</v>
      </c>
      <c r="C297" s="19" t="s">
        <v>47</v>
      </c>
      <c r="D297" s="19" t="s">
        <v>57</v>
      </c>
      <c r="E297" s="20" t="s">
        <v>58</v>
      </c>
      <c r="F297" s="21">
        <v>4547.5</v>
      </c>
      <c r="G297" s="20">
        <v>1965</v>
      </c>
      <c r="H297" s="22" t="s">
        <v>343</v>
      </c>
      <c r="I297">
        <v>100</v>
      </c>
    </row>
    <row r="298" spans="1:9" ht="15.6" x14ac:dyDescent="0.3">
      <c r="A298" s="18">
        <v>2024</v>
      </c>
      <c r="B298" s="19" t="s">
        <v>180</v>
      </c>
      <c r="C298" s="19" t="s">
        <v>36</v>
      </c>
      <c r="D298" s="19" t="s">
        <v>57</v>
      </c>
      <c r="E298" s="20" t="s">
        <v>58</v>
      </c>
      <c r="F298" s="21">
        <v>4238.5</v>
      </c>
      <c r="G298" s="20">
        <v>1759</v>
      </c>
      <c r="H298" s="22" t="s">
        <v>344</v>
      </c>
      <c r="I298">
        <v>100</v>
      </c>
    </row>
    <row r="299" spans="1:9" ht="15.6" x14ac:dyDescent="0.3">
      <c r="A299" s="18">
        <v>2024</v>
      </c>
      <c r="B299" s="19" t="s">
        <v>180</v>
      </c>
      <c r="C299" s="19" t="s">
        <v>47</v>
      </c>
      <c r="D299" s="19" t="s">
        <v>57</v>
      </c>
      <c r="E299" s="20" t="s">
        <v>58</v>
      </c>
      <c r="F299" s="21">
        <v>4547.5</v>
      </c>
      <c r="G299" s="20">
        <v>1965</v>
      </c>
      <c r="H299" s="22" t="s">
        <v>345</v>
      </c>
      <c r="I299">
        <v>100</v>
      </c>
    </row>
    <row r="300" spans="1:9" ht="15.6" x14ac:dyDescent="0.3">
      <c r="A300" s="18">
        <v>2024</v>
      </c>
      <c r="B300" s="19" t="s">
        <v>180</v>
      </c>
      <c r="C300" s="19" t="s">
        <v>36</v>
      </c>
      <c r="D300" s="19" t="s">
        <v>57</v>
      </c>
      <c r="E300" s="20" t="s">
        <v>58</v>
      </c>
      <c r="F300" s="21">
        <v>4238.5</v>
      </c>
      <c r="G300" s="20">
        <v>1759</v>
      </c>
      <c r="H300" s="22" t="s">
        <v>346</v>
      </c>
      <c r="I300">
        <v>100</v>
      </c>
    </row>
    <row r="301" spans="1:9" ht="15.6" x14ac:dyDescent="0.3">
      <c r="A301" s="18">
        <v>2025</v>
      </c>
      <c r="B301" s="19" t="s">
        <v>35</v>
      </c>
      <c r="C301" s="19" t="s">
        <v>36</v>
      </c>
      <c r="D301" s="19" t="s">
        <v>37</v>
      </c>
      <c r="E301" s="20" t="s">
        <v>17</v>
      </c>
      <c r="F301" s="21">
        <v>3395.5</v>
      </c>
      <c r="G301" s="20">
        <v>1197</v>
      </c>
      <c r="H301" s="22" t="s">
        <v>347</v>
      </c>
      <c r="I301">
        <v>100</v>
      </c>
    </row>
    <row r="302" spans="1:9" ht="15.6" x14ac:dyDescent="0.3">
      <c r="A302" s="18">
        <v>2025</v>
      </c>
      <c r="B302" s="19" t="s">
        <v>35</v>
      </c>
      <c r="C302" s="19" t="s">
        <v>36</v>
      </c>
      <c r="D302" s="19" t="s">
        <v>37</v>
      </c>
      <c r="E302" s="20" t="s">
        <v>17</v>
      </c>
      <c r="F302" s="21">
        <v>12761.5</v>
      </c>
      <c r="G302" s="20">
        <v>7441</v>
      </c>
      <c r="H302" s="22" t="s">
        <v>348</v>
      </c>
      <c r="I302">
        <v>100</v>
      </c>
    </row>
    <row r="303" spans="1:9" ht="15.6" x14ac:dyDescent="0.3">
      <c r="A303" s="18">
        <v>2025</v>
      </c>
      <c r="B303" s="19" t="s">
        <v>35</v>
      </c>
      <c r="C303" s="19" t="s">
        <v>40</v>
      </c>
      <c r="D303" s="19" t="s">
        <v>37</v>
      </c>
      <c r="E303" s="20" t="s">
        <v>17</v>
      </c>
      <c r="F303" s="21">
        <v>9943</v>
      </c>
      <c r="G303" s="20">
        <v>5562</v>
      </c>
      <c r="H303" s="22" t="s">
        <v>349</v>
      </c>
      <c r="I303">
        <v>100</v>
      </c>
    </row>
    <row r="304" spans="1:9" ht="15.6" x14ac:dyDescent="0.3">
      <c r="A304" s="18">
        <v>2025</v>
      </c>
      <c r="B304" s="19" t="s">
        <v>35</v>
      </c>
      <c r="C304" s="19" t="s">
        <v>36</v>
      </c>
      <c r="D304" s="19" t="s">
        <v>37</v>
      </c>
      <c r="E304" s="20" t="s">
        <v>17</v>
      </c>
      <c r="F304" s="21">
        <v>3395.5</v>
      </c>
      <c r="G304" s="20">
        <v>1197</v>
      </c>
      <c r="H304" s="22" t="s">
        <v>350</v>
      </c>
      <c r="I304">
        <v>100</v>
      </c>
    </row>
    <row r="305" spans="1:9" ht="15.6" x14ac:dyDescent="0.3">
      <c r="A305" s="18">
        <v>2025</v>
      </c>
      <c r="B305" s="19" t="s">
        <v>35</v>
      </c>
      <c r="C305" s="19" t="s">
        <v>36</v>
      </c>
      <c r="D305" s="19" t="s">
        <v>37</v>
      </c>
      <c r="E305" s="20" t="s">
        <v>17</v>
      </c>
      <c r="F305" s="21">
        <v>12761.5</v>
      </c>
      <c r="G305" s="20">
        <v>7441</v>
      </c>
      <c r="H305" s="22" t="s">
        <v>351</v>
      </c>
      <c r="I305">
        <v>100</v>
      </c>
    </row>
    <row r="306" spans="1:9" ht="15.6" x14ac:dyDescent="0.3">
      <c r="A306" s="18">
        <v>2025</v>
      </c>
      <c r="B306" s="19" t="s">
        <v>35</v>
      </c>
      <c r="C306" s="19" t="s">
        <v>40</v>
      </c>
      <c r="D306" s="19" t="s">
        <v>37</v>
      </c>
      <c r="E306" s="20" t="s">
        <v>17</v>
      </c>
      <c r="F306" s="21">
        <v>9943</v>
      </c>
      <c r="G306" s="20">
        <v>5562</v>
      </c>
      <c r="H306" s="22" t="s">
        <v>352</v>
      </c>
      <c r="I306">
        <v>100</v>
      </c>
    </row>
    <row r="307" spans="1:9" ht="15.6" x14ac:dyDescent="0.3">
      <c r="A307" s="18">
        <v>2025</v>
      </c>
      <c r="B307" s="19" t="s">
        <v>35</v>
      </c>
      <c r="C307" s="19" t="s">
        <v>40</v>
      </c>
      <c r="D307" s="19" t="s">
        <v>45</v>
      </c>
      <c r="E307" s="20" t="s">
        <v>19</v>
      </c>
      <c r="F307" s="21">
        <v>15596.5</v>
      </c>
      <c r="G307" s="20">
        <v>9331</v>
      </c>
      <c r="H307" s="22" t="s">
        <v>353</v>
      </c>
      <c r="I307">
        <v>100</v>
      </c>
    </row>
    <row r="308" spans="1:9" ht="15.6" x14ac:dyDescent="0.3">
      <c r="A308" s="18">
        <v>2025</v>
      </c>
      <c r="B308" s="19" t="s">
        <v>35</v>
      </c>
      <c r="C308" s="19" t="s">
        <v>47</v>
      </c>
      <c r="D308" s="19" t="s">
        <v>45</v>
      </c>
      <c r="E308" s="20" t="s">
        <v>19</v>
      </c>
      <c r="F308" s="21">
        <v>9793</v>
      </c>
      <c r="G308" s="20">
        <v>5462</v>
      </c>
      <c r="H308" s="22" t="s">
        <v>354</v>
      </c>
      <c r="I308">
        <v>100</v>
      </c>
    </row>
    <row r="309" spans="1:9" ht="15.6" x14ac:dyDescent="0.3">
      <c r="A309" s="18">
        <v>2025</v>
      </c>
      <c r="B309" s="19" t="s">
        <v>35</v>
      </c>
      <c r="C309" s="19" t="s">
        <v>40</v>
      </c>
      <c r="D309" s="19" t="s">
        <v>45</v>
      </c>
      <c r="E309" s="20" t="s">
        <v>19</v>
      </c>
      <c r="F309" s="21">
        <v>15596.5</v>
      </c>
      <c r="G309" s="20">
        <v>9331</v>
      </c>
      <c r="H309" s="22" t="s">
        <v>355</v>
      </c>
      <c r="I309">
        <v>100</v>
      </c>
    </row>
    <row r="310" spans="1:9" ht="15.6" x14ac:dyDescent="0.3">
      <c r="A310" s="18">
        <v>2025</v>
      </c>
      <c r="B310" s="19" t="s">
        <v>35</v>
      </c>
      <c r="C310" s="19" t="s">
        <v>47</v>
      </c>
      <c r="D310" s="19" t="s">
        <v>45</v>
      </c>
      <c r="E310" s="20" t="s">
        <v>19</v>
      </c>
      <c r="F310" s="21">
        <v>9793</v>
      </c>
      <c r="G310" s="20">
        <v>5462</v>
      </c>
      <c r="H310" s="22" t="s">
        <v>356</v>
      </c>
      <c r="I310">
        <v>100</v>
      </c>
    </row>
    <row r="311" spans="1:9" ht="15.6" x14ac:dyDescent="0.3">
      <c r="A311" s="18">
        <v>2025</v>
      </c>
      <c r="B311" s="19" t="s">
        <v>35</v>
      </c>
      <c r="C311" s="19" t="s">
        <v>36</v>
      </c>
      <c r="D311" s="19" t="s">
        <v>51</v>
      </c>
      <c r="E311" s="20" t="s">
        <v>18</v>
      </c>
      <c r="F311" s="21">
        <v>5666</v>
      </c>
      <c r="G311" s="20">
        <v>5223</v>
      </c>
      <c r="H311" s="22" t="s">
        <v>357</v>
      </c>
      <c r="I311">
        <v>100</v>
      </c>
    </row>
    <row r="312" spans="1:9" ht="15.6" x14ac:dyDescent="0.3">
      <c r="A312" s="18">
        <v>2025</v>
      </c>
      <c r="B312" s="19" t="s">
        <v>35</v>
      </c>
      <c r="C312" s="19" t="s">
        <v>36</v>
      </c>
      <c r="D312" s="19" t="s">
        <v>51</v>
      </c>
      <c r="E312" s="20" t="s">
        <v>18</v>
      </c>
      <c r="F312" s="21">
        <v>8318.5</v>
      </c>
      <c r="G312" s="20">
        <v>4479</v>
      </c>
      <c r="H312" s="22" t="s">
        <v>358</v>
      </c>
      <c r="I312">
        <v>100</v>
      </c>
    </row>
    <row r="313" spans="1:9" ht="15.6" x14ac:dyDescent="0.3">
      <c r="A313" s="18">
        <v>2025</v>
      </c>
      <c r="B313" s="19" t="s">
        <v>35</v>
      </c>
      <c r="C313" s="19" t="s">
        <v>36</v>
      </c>
      <c r="D313" s="19" t="s">
        <v>51</v>
      </c>
      <c r="E313" s="20" t="s">
        <v>18</v>
      </c>
      <c r="F313" s="21">
        <v>5666</v>
      </c>
      <c r="G313" s="20">
        <v>5223</v>
      </c>
      <c r="H313" s="22" t="s">
        <v>359</v>
      </c>
      <c r="I313">
        <v>100</v>
      </c>
    </row>
    <row r="314" spans="1:9" ht="15.6" x14ac:dyDescent="0.3">
      <c r="A314" s="18">
        <v>2025</v>
      </c>
      <c r="B314" s="19" t="s">
        <v>35</v>
      </c>
      <c r="C314" s="19" t="s">
        <v>36</v>
      </c>
      <c r="D314" s="19" t="s">
        <v>51</v>
      </c>
      <c r="E314" s="20" t="s">
        <v>18</v>
      </c>
      <c r="F314" s="21">
        <v>8318.5</v>
      </c>
      <c r="G314" s="20">
        <v>4479</v>
      </c>
      <c r="H314" s="22" t="s">
        <v>360</v>
      </c>
      <c r="I314">
        <v>100</v>
      </c>
    </row>
    <row r="315" spans="1:9" ht="15.6" x14ac:dyDescent="0.3">
      <c r="A315" s="18">
        <v>2025</v>
      </c>
      <c r="B315" s="19" t="s">
        <v>35</v>
      </c>
      <c r="C315" s="19" t="s">
        <v>56</v>
      </c>
      <c r="D315" s="19" t="s">
        <v>57</v>
      </c>
      <c r="E315" s="20" t="s">
        <v>58</v>
      </c>
      <c r="F315" s="21">
        <v>4553.5</v>
      </c>
      <c r="G315" s="20">
        <v>1969</v>
      </c>
      <c r="H315" s="22" t="s">
        <v>361</v>
      </c>
      <c r="I315">
        <v>100</v>
      </c>
    </row>
    <row r="316" spans="1:9" ht="15.6" x14ac:dyDescent="0.3">
      <c r="A316" s="18">
        <v>2025</v>
      </c>
      <c r="B316" s="19" t="s">
        <v>35</v>
      </c>
      <c r="C316" s="19" t="s">
        <v>56</v>
      </c>
      <c r="D316" s="19" t="s">
        <v>57</v>
      </c>
      <c r="E316" s="20" t="s">
        <v>58</v>
      </c>
      <c r="F316" s="21">
        <v>4553.5</v>
      </c>
      <c r="G316" s="20">
        <v>1969</v>
      </c>
      <c r="H316" s="22" t="s">
        <v>362</v>
      </c>
      <c r="I316">
        <v>100</v>
      </c>
    </row>
    <row r="317" spans="1:9" ht="15.6" x14ac:dyDescent="0.3">
      <c r="A317" s="18">
        <v>2025</v>
      </c>
      <c r="B317" s="19" t="s">
        <v>35</v>
      </c>
      <c r="C317" s="19" t="s">
        <v>40</v>
      </c>
      <c r="D317" s="19" t="s">
        <v>22</v>
      </c>
      <c r="E317" s="20" t="s">
        <v>19</v>
      </c>
      <c r="F317" s="21">
        <v>15596.5</v>
      </c>
      <c r="G317" s="20">
        <v>9331</v>
      </c>
      <c r="H317" s="22" t="s">
        <v>363</v>
      </c>
      <c r="I317">
        <v>100</v>
      </c>
    </row>
    <row r="318" spans="1:9" ht="15.6" x14ac:dyDescent="0.3">
      <c r="A318" s="18">
        <v>2025</v>
      </c>
      <c r="B318" s="19" t="s">
        <v>35</v>
      </c>
      <c r="C318" s="19" t="s">
        <v>47</v>
      </c>
      <c r="D318" s="19" t="s">
        <v>22</v>
      </c>
      <c r="E318" s="20" t="s">
        <v>19</v>
      </c>
      <c r="F318" s="21">
        <v>9793</v>
      </c>
      <c r="G318" s="20">
        <v>5462</v>
      </c>
      <c r="H318" s="22" t="s">
        <v>364</v>
      </c>
      <c r="I318">
        <v>100</v>
      </c>
    </row>
    <row r="319" spans="1:9" ht="15.6" x14ac:dyDescent="0.3">
      <c r="A319" s="18">
        <v>2025</v>
      </c>
      <c r="B319" s="19" t="s">
        <v>35</v>
      </c>
      <c r="C319" s="19" t="s">
        <v>40</v>
      </c>
      <c r="D319" s="19" t="s">
        <v>22</v>
      </c>
      <c r="E319" s="20" t="s">
        <v>19</v>
      </c>
      <c r="F319" s="21">
        <v>15596.5</v>
      </c>
      <c r="G319" s="20">
        <v>9331</v>
      </c>
      <c r="H319" s="22" t="s">
        <v>365</v>
      </c>
      <c r="I319">
        <v>100</v>
      </c>
    </row>
    <row r="320" spans="1:9" ht="15.6" x14ac:dyDescent="0.3">
      <c r="A320" s="41">
        <v>2025</v>
      </c>
      <c r="B320" s="42" t="s">
        <v>35</v>
      </c>
      <c r="C320" s="42" t="s">
        <v>47</v>
      </c>
      <c r="D320" s="42" t="s">
        <v>22</v>
      </c>
      <c r="E320" s="43" t="s">
        <v>19</v>
      </c>
      <c r="F320" s="44">
        <v>9793</v>
      </c>
      <c r="G320" s="43">
        <v>5462</v>
      </c>
      <c r="H320" s="45" t="s">
        <v>366</v>
      </c>
      <c r="I320">
        <v>100</v>
      </c>
    </row>
  </sheetData>
  <mergeCells count="2">
    <mergeCell ref="A1:H1"/>
    <mergeCell ref="A2:H2"/>
  </mergeCells>
  <pageMargins left="0.75" right="0.75" top="1" bottom="1" header="0.5" footer="0.5"/>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B9DF0-21A6-4EDC-B0FC-440F18657B32}">
  <dimension ref="A2:B14"/>
  <sheetViews>
    <sheetView workbookViewId="0">
      <selection activeCell="F14" sqref="F14"/>
    </sheetView>
  </sheetViews>
  <sheetFormatPr defaultRowHeight="14.4" x14ac:dyDescent="0.3"/>
  <cols>
    <col min="1" max="1" width="24.6640625" style="1" customWidth="1"/>
    <col min="2" max="2" width="15.109375" customWidth="1"/>
  </cols>
  <sheetData>
    <row r="2" spans="1:2" ht="21" x14ac:dyDescent="0.4">
      <c r="A2" s="53" t="s">
        <v>390</v>
      </c>
      <c r="B2" s="52" t="s">
        <v>47</v>
      </c>
    </row>
    <row r="3" spans="1:2" ht="21" x14ac:dyDescent="0.4">
      <c r="A3" s="53" t="s">
        <v>390</v>
      </c>
      <c r="B3" s="52" t="s">
        <v>387</v>
      </c>
    </row>
    <row r="4" spans="1:2" ht="21" x14ac:dyDescent="0.4">
      <c r="A4" s="53" t="s">
        <v>390</v>
      </c>
      <c r="B4" s="52" t="s">
        <v>391</v>
      </c>
    </row>
    <row r="5" spans="1:2" ht="21" x14ac:dyDescent="0.4">
      <c r="A5" s="53" t="s">
        <v>395</v>
      </c>
      <c r="B5" s="52" t="s">
        <v>392</v>
      </c>
    </row>
    <row r="6" spans="1:2" ht="21" x14ac:dyDescent="0.4">
      <c r="A6" s="53" t="s">
        <v>395</v>
      </c>
      <c r="B6" s="52" t="s">
        <v>393</v>
      </c>
    </row>
    <row r="7" spans="1:2" ht="21" x14ac:dyDescent="0.4">
      <c r="A7" s="53" t="s">
        <v>395</v>
      </c>
      <c r="B7" s="52" t="s">
        <v>394</v>
      </c>
    </row>
    <row r="8" spans="1:2" ht="21" x14ac:dyDescent="0.4">
      <c r="A8" s="53" t="s">
        <v>396</v>
      </c>
      <c r="B8" s="52" t="s">
        <v>392</v>
      </c>
    </row>
    <row r="9" spans="1:2" ht="21" x14ac:dyDescent="0.4">
      <c r="A9" s="53" t="s">
        <v>396</v>
      </c>
      <c r="B9" s="52" t="s">
        <v>393</v>
      </c>
    </row>
    <row r="10" spans="1:2" ht="21" x14ac:dyDescent="0.4">
      <c r="A10" s="53" t="s">
        <v>396</v>
      </c>
      <c r="B10" s="52" t="s">
        <v>394</v>
      </c>
    </row>
    <row r="11" spans="1:2" ht="21" x14ac:dyDescent="0.4">
      <c r="A11" s="53" t="s">
        <v>397</v>
      </c>
      <c r="B11" s="52" t="s">
        <v>392</v>
      </c>
    </row>
    <row r="12" spans="1:2" ht="21" x14ac:dyDescent="0.4">
      <c r="A12" s="53" t="s">
        <v>397</v>
      </c>
      <c r="B12" s="52" t="s">
        <v>393</v>
      </c>
    </row>
    <row r="13" spans="1:2" ht="21" x14ac:dyDescent="0.4">
      <c r="A13" s="53" t="s">
        <v>397</v>
      </c>
      <c r="B13" s="52" t="s">
        <v>394</v>
      </c>
    </row>
    <row r="14" spans="1:2" ht="21" x14ac:dyDescent="0.4">
      <c r="A14" s="53"/>
      <c r="B14" s="52"/>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52D89-A3CE-4B20-8C95-9988F50F68E7}">
  <dimension ref="A1"/>
  <sheetViews>
    <sheetView workbookViewId="0">
      <selection activeCell="C5" sqref="C5:G21"/>
    </sheetView>
  </sheetViews>
  <sheetFormatPr defaultRowHeight="14.4" x14ac:dyDescent="0.3"/>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1"/>
  <sheetViews>
    <sheetView workbookViewId="0">
      <selection activeCell="L11" sqref="L11"/>
    </sheetView>
  </sheetViews>
  <sheetFormatPr defaultRowHeight="14.4" x14ac:dyDescent="0.3"/>
  <sheetData>
    <row r="1" spans="1:3" x14ac:dyDescent="0.3">
      <c r="A1" t="s">
        <v>0</v>
      </c>
      <c r="B1" t="s">
        <v>1</v>
      </c>
      <c r="C1" t="s">
        <v>2</v>
      </c>
    </row>
    <row r="2" spans="1:3" x14ac:dyDescent="0.3">
      <c r="A2" t="s">
        <v>3</v>
      </c>
      <c r="B2">
        <v>9583</v>
      </c>
      <c r="C2">
        <v>1556.29</v>
      </c>
    </row>
    <row r="3" spans="1:3" x14ac:dyDescent="0.3">
      <c r="A3" t="s">
        <v>3</v>
      </c>
      <c r="B3">
        <v>46224</v>
      </c>
      <c r="C3">
        <v>6447.92</v>
      </c>
    </row>
    <row r="4" spans="1:3" x14ac:dyDescent="0.3">
      <c r="A4" t="s">
        <v>4</v>
      </c>
      <c r="B4">
        <v>41804</v>
      </c>
      <c r="C4">
        <v>4595.05</v>
      </c>
    </row>
    <row r="5" spans="1:3" x14ac:dyDescent="0.3">
      <c r="A5" t="s">
        <v>5</v>
      </c>
      <c r="B5">
        <v>23683</v>
      </c>
      <c r="C5">
        <v>4297.96</v>
      </c>
    </row>
    <row r="6" spans="1:3" x14ac:dyDescent="0.3">
      <c r="A6" t="s">
        <v>6</v>
      </c>
      <c r="B6">
        <v>38739</v>
      </c>
      <c r="C6">
        <v>8809.34</v>
      </c>
    </row>
    <row r="7" spans="1:3" x14ac:dyDescent="0.3">
      <c r="A7" t="s">
        <v>7</v>
      </c>
      <c r="B7">
        <v>25730</v>
      </c>
      <c r="C7">
        <v>5405.34</v>
      </c>
    </row>
    <row r="8" spans="1:3" x14ac:dyDescent="0.3">
      <c r="A8" t="s">
        <v>8</v>
      </c>
      <c r="B8">
        <v>30072</v>
      </c>
      <c r="C8">
        <v>3812.01</v>
      </c>
    </row>
    <row r="9" spans="1:3" x14ac:dyDescent="0.3">
      <c r="A9" t="s">
        <v>7</v>
      </c>
      <c r="B9">
        <v>21425</v>
      </c>
      <c r="C9">
        <v>5174.5200000000004</v>
      </c>
    </row>
    <row r="10" spans="1:3" x14ac:dyDescent="0.3">
      <c r="A10" t="s">
        <v>9</v>
      </c>
      <c r="B10">
        <v>48809</v>
      </c>
      <c r="C10">
        <v>18612.759999999998</v>
      </c>
    </row>
    <row r="11" spans="1:3" x14ac:dyDescent="0.3">
      <c r="A11" t="s">
        <v>7</v>
      </c>
      <c r="B11">
        <v>25507</v>
      </c>
      <c r="C11">
        <v>8925.7800000000007</v>
      </c>
    </row>
    <row r="12" spans="1:3" x14ac:dyDescent="0.3">
      <c r="A12" t="s">
        <v>10</v>
      </c>
      <c r="B12">
        <v>10693</v>
      </c>
      <c r="C12">
        <v>1347.78</v>
      </c>
    </row>
    <row r="13" spans="1:3" x14ac:dyDescent="0.3">
      <c r="A13" t="s">
        <v>4</v>
      </c>
      <c r="B13">
        <v>46898</v>
      </c>
      <c r="C13">
        <v>7333.56</v>
      </c>
    </row>
    <row r="14" spans="1:3" x14ac:dyDescent="0.3">
      <c r="A14" t="s">
        <v>4</v>
      </c>
      <c r="B14">
        <v>28809</v>
      </c>
      <c r="C14">
        <v>10754.91</v>
      </c>
    </row>
    <row r="15" spans="1:3" x14ac:dyDescent="0.3">
      <c r="A15" t="s">
        <v>8</v>
      </c>
      <c r="B15">
        <v>22203</v>
      </c>
      <c r="C15">
        <v>8065.9</v>
      </c>
    </row>
    <row r="16" spans="1:3" x14ac:dyDescent="0.3">
      <c r="A16" t="s">
        <v>8</v>
      </c>
      <c r="B16">
        <v>22895</v>
      </c>
      <c r="C16">
        <v>8067.6</v>
      </c>
    </row>
    <row r="17" spans="1:3" x14ac:dyDescent="0.3">
      <c r="A17" t="s">
        <v>7</v>
      </c>
      <c r="B17">
        <v>45609</v>
      </c>
      <c r="C17">
        <v>12568.96</v>
      </c>
    </row>
    <row r="18" spans="1:3" x14ac:dyDescent="0.3">
      <c r="A18" t="s">
        <v>11</v>
      </c>
      <c r="B18">
        <v>14871</v>
      </c>
      <c r="C18">
        <v>4659.45</v>
      </c>
    </row>
    <row r="19" spans="1:3" x14ac:dyDescent="0.3">
      <c r="A19" t="s">
        <v>4</v>
      </c>
      <c r="B19">
        <v>29107</v>
      </c>
      <c r="C19">
        <v>6354.67</v>
      </c>
    </row>
    <row r="20" spans="1:3" x14ac:dyDescent="0.3">
      <c r="A20" t="s">
        <v>3</v>
      </c>
      <c r="B20">
        <v>31619</v>
      </c>
      <c r="C20">
        <v>10984.87</v>
      </c>
    </row>
    <row r="21" spans="1:3" x14ac:dyDescent="0.3">
      <c r="A21" t="s">
        <v>8</v>
      </c>
      <c r="B21">
        <v>23635</v>
      </c>
      <c r="C21">
        <v>5389.85</v>
      </c>
    </row>
    <row r="22" spans="1:3" x14ac:dyDescent="0.3">
      <c r="A22" t="s">
        <v>9</v>
      </c>
      <c r="B22">
        <v>30810</v>
      </c>
      <c r="C22">
        <v>4082.21</v>
      </c>
    </row>
    <row r="23" spans="1:3" x14ac:dyDescent="0.3">
      <c r="A23" t="s">
        <v>5</v>
      </c>
      <c r="B23">
        <v>29873</v>
      </c>
      <c r="C23">
        <v>10297.629999999999</v>
      </c>
    </row>
    <row r="24" spans="1:3" x14ac:dyDescent="0.3">
      <c r="A24" t="s">
        <v>8</v>
      </c>
      <c r="B24">
        <v>41523</v>
      </c>
      <c r="C24">
        <v>6573.12</v>
      </c>
    </row>
    <row r="25" spans="1:3" x14ac:dyDescent="0.3">
      <c r="A25" t="s">
        <v>11</v>
      </c>
      <c r="B25">
        <v>29929</v>
      </c>
      <c r="C25">
        <v>6599.61</v>
      </c>
    </row>
    <row r="26" spans="1:3" x14ac:dyDescent="0.3">
      <c r="A26" t="s">
        <v>11</v>
      </c>
      <c r="B26">
        <v>9662</v>
      </c>
      <c r="C26">
        <v>2583.71</v>
      </c>
    </row>
    <row r="27" spans="1:3" x14ac:dyDescent="0.3">
      <c r="A27" t="s">
        <v>9</v>
      </c>
      <c r="B27">
        <v>8247</v>
      </c>
      <c r="C27">
        <v>2571.8200000000002</v>
      </c>
    </row>
    <row r="28" spans="1:3" x14ac:dyDescent="0.3">
      <c r="A28" t="s">
        <v>6</v>
      </c>
      <c r="B28">
        <v>27482</v>
      </c>
      <c r="C28">
        <v>10236.370000000001</v>
      </c>
    </row>
    <row r="29" spans="1:3" x14ac:dyDescent="0.3">
      <c r="A29" t="s">
        <v>5</v>
      </c>
      <c r="B29">
        <v>42243</v>
      </c>
      <c r="C29">
        <v>9620.6200000000008</v>
      </c>
    </row>
    <row r="30" spans="1:3" x14ac:dyDescent="0.3">
      <c r="A30" t="s">
        <v>9</v>
      </c>
      <c r="B30">
        <v>30394</v>
      </c>
      <c r="C30">
        <v>10882.9</v>
      </c>
    </row>
    <row r="31" spans="1:3" x14ac:dyDescent="0.3">
      <c r="A31" t="s">
        <v>8</v>
      </c>
      <c r="B31">
        <v>9249</v>
      </c>
      <c r="C31">
        <v>1191.03</v>
      </c>
    </row>
    <row r="32" spans="1:3" x14ac:dyDescent="0.3">
      <c r="A32" t="s">
        <v>12</v>
      </c>
      <c r="B32">
        <v>30120</v>
      </c>
      <c r="C32">
        <v>8431.06</v>
      </c>
    </row>
    <row r="33" spans="1:3" x14ac:dyDescent="0.3">
      <c r="A33" t="s">
        <v>8</v>
      </c>
      <c r="B33">
        <v>22197</v>
      </c>
      <c r="C33">
        <v>3403.24</v>
      </c>
    </row>
    <row r="34" spans="1:3" x14ac:dyDescent="0.3">
      <c r="A34" t="s">
        <v>4</v>
      </c>
      <c r="B34">
        <v>16851</v>
      </c>
      <c r="C34">
        <v>1928.37</v>
      </c>
    </row>
    <row r="35" spans="1:3" x14ac:dyDescent="0.3">
      <c r="A35" t="s">
        <v>6</v>
      </c>
      <c r="B35">
        <v>8273</v>
      </c>
      <c r="C35">
        <v>2063.9</v>
      </c>
    </row>
    <row r="36" spans="1:3" x14ac:dyDescent="0.3">
      <c r="A36" t="s">
        <v>5</v>
      </c>
      <c r="B36">
        <v>43825</v>
      </c>
      <c r="C36">
        <v>16297.49</v>
      </c>
    </row>
    <row r="37" spans="1:3" x14ac:dyDescent="0.3">
      <c r="A37" t="s">
        <v>8</v>
      </c>
      <c r="B37">
        <v>35793</v>
      </c>
      <c r="C37">
        <v>7112.68</v>
      </c>
    </row>
    <row r="38" spans="1:3" x14ac:dyDescent="0.3">
      <c r="A38" t="s">
        <v>10</v>
      </c>
      <c r="B38">
        <v>37178</v>
      </c>
      <c r="C38">
        <v>10468.61</v>
      </c>
    </row>
    <row r="39" spans="1:3" x14ac:dyDescent="0.3">
      <c r="A39" t="s">
        <v>13</v>
      </c>
      <c r="B39">
        <v>7479</v>
      </c>
      <c r="C39">
        <v>2982.75</v>
      </c>
    </row>
    <row r="40" spans="1:3" x14ac:dyDescent="0.3">
      <c r="A40" t="s">
        <v>9</v>
      </c>
      <c r="B40">
        <v>14159</v>
      </c>
      <c r="C40">
        <v>4511.3599999999997</v>
      </c>
    </row>
    <row r="41" spans="1:3" x14ac:dyDescent="0.3">
      <c r="A41" t="s">
        <v>12</v>
      </c>
      <c r="B41">
        <v>43217</v>
      </c>
      <c r="C41">
        <v>8999.9500000000007</v>
      </c>
    </row>
    <row r="42" spans="1:3" x14ac:dyDescent="0.3">
      <c r="A42" t="s">
        <v>8</v>
      </c>
      <c r="B42">
        <v>22961</v>
      </c>
      <c r="C42">
        <v>4857.66</v>
      </c>
    </row>
    <row r="43" spans="1:3" x14ac:dyDescent="0.3">
      <c r="A43" t="s">
        <v>9</v>
      </c>
      <c r="B43">
        <v>44305</v>
      </c>
      <c r="C43">
        <v>9369.18</v>
      </c>
    </row>
    <row r="44" spans="1:3" x14ac:dyDescent="0.3">
      <c r="A44" t="s">
        <v>11</v>
      </c>
      <c r="B44">
        <v>10714</v>
      </c>
      <c r="C44">
        <v>3011.34</v>
      </c>
    </row>
    <row r="45" spans="1:3" x14ac:dyDescent="0.3">
      <c r="A45" t="s">
        <v>9</v>
      </c>
      <c r="B45">
        <v>20946</v>
      </c>
      <c r="C45">
        <v>2927.57</v>
      </c>
    </row>
    <row r="46" spans="1:3" x14ac:dyDescent="0.3">
      <c r="A46" t="s">
        <v>13</v>
      </c>
      <c r="B46">
        <v>44217</v>
      </c>
      <c r="C46">
        <v>15721.01</v>
      </c>
    </row>
    <row r="47" spans="1:3" x14ac:dyDescent="0.3">
      <c r="A47" t="s">
        <v>12</v>
      </c>
      <c r="B47">
        <v>36335</v>
      </c>
      <c r="C47">
        <v>5323.26</v>
      </c>
    </row>
    <row r="48" spans="1:3" x14ac:dyDescent="0.3">
      <c r="A48" t="s">
        <v>4</v>
      </c>
      <c r="B48">
        <v>13131</v>
      </c>
      <c r="C48">
        <v>2159.9299999999998</v>
      </c>
    </row>
    <row r="49" spans="1:3" x14ac:dyDescent="0.3">
      <c r="A49" t="s">
        <v>5</v>
      </c>
      <c r="B49">
        <v>44596</v>
      </c>
      <c r="C49">
        <v>15073.99</v>
      </c>
    </row>
    <row r="50" spans="1:3" x14ac:dyDescent="0.3">
      <c r="A50" t="s">
        <v>6</v>
      </c>
      <c r="B50">
        <v>19526</v>
      </c>
      <c r="C50">
        <v>6392.25</v>
      </c>
    </row>
    <row r="51" spans="1:3" x14ac:dyDescent="0.3">
      <c r="A51" t="s">
        <v>13</v>
      </c>
      <c r="B51">
        <v>13949</v>
      </c>
      <c r="C51">
        <v>4309.03</v>
      </c>
    </row>
    <row r="52" spans="1:3" x14ac:dyDescent="0.3">
      <c r="A52" t="s">
        <v>11</v>
      </c>
      <c r="B52">
        <v>16790</v>
      </c>
      <c r="C52">
        <v>5605.43</v>
      </c>
    </row>
    <row r="53" spans="1:3" x14ac:dyDescent="0.3">
      <c r="A53" t="s">
        <v>11</v>
      </c>
      <c r="B53">
        <v>39291</v>
      </c>
      <c r="C53">
        <v>4732.47</v>
      </c>
    </row>
    <row r="54" spans="1:3" x14ac:dyDescent="0.3">
      <c r="A54" t="s">
        <v>14</v>
      </c>
      <c r="B54">
        <v>6889</v>
      </c>
      <c r="C54">
        <v>2144.7800000000002</v>
      </c>
    </row>
    <row r="55" spans="1:3" x14ac:dyDescent="0.3">
      <c r="A55" t="s">
        <v>6</v>
      </c>
      <c r="B55">
        <v>28768</v>
      </c>
      <c r="C55">
        <v>7998.09</v>
      </c>
    </row>
    <row r="56" spans="1:3" x14ac:dyDescent="0.3">
      <c r="A56" t="s">
        <v>3</v>
      </c>
      <c r="B56">
        <v>31569</v>
      </c>
      <c r="C56">
        <v>12011.27</v>
      </c>
    </row>
    <row r="57" spans="1:3" x14ac:dyDescent="0.3">
      <c r="A57" t="s">
        <v>3</v>
      </c>
      <c r="B57">
        <v>5438</v>
      </c>
      <c r="C57">
        <v>1984.32</v>
      </c>
    </row>
    <row r="58" spans="1:3" x14ac:dyDescent="0.3">
      <c r="A58" t="s">
        <v>11</v>
      </c>
      <c r="B58">
        <v>49982</v>
      </c>
      <c r="C58">
        <v>6521.44</v>
      </c>
    </row>
    <row r="59" spans="1:3" x14ac:dyDescent="0.3">
      <c r="A59" t="s">
        <v>9</v>
      </c>
      <c r="B59">
        <v>43376</v>
      </c>
      <c r="C59">
        <v>16110.2</v>
      </c>
    </row>
    <row r="60" spans="1:3" x14ac:dyDescent="0.3">
      <c r="A60" t="s">
        <v>6</v>
      </c>
      <c r="B60">
        <v>19225</v>
      </c>
      <c r="C60">
        <v>4417.1000000000004</v>
      </c>
    </row>
    <row r="61" spans="1:3" x14ac:dyDescent="0.3">
      <c r="A61" t="s">
        <v>7</v>
      </c>
      <c r="B61">
        <v>31701</v>
      </c>
      <c r="C61">
        <v>11752.65</v>
      </c>
    </row>
    <row r="62" spans="1:3" x14ac:dyDescent="0.3">
      <c r="A62" t="s">
        <v>5</v>
      </c>
      <c r="B62">
        <v>8152</v>
      </c>
      <c r="C62">
        <v>3079.13</v>
      </c>
    </row>
    <row r="63" spans="1:3" x14ac:dyDescent="0.3">
      <c r="A63" t="s">
        <v>8</v>
      </c>
      <c r="B63">
        <v>16245</v>
      </c>
      <c r="C63">
        <v>1715.71</v>
      </c>
    </row>
    <row r="64" spans="1:3" x14ac:dyDescent="0.3">
      <c r="A64" t="s">
        <v>13</v>
      </c>
      <c r="B64">
        <v>10718</v>
      </c>
      <c r="C64">
        <v>2245.44</v>
      </c>
    </row>
    <row r="65" spans="1:3" x14ac:dyDescent="0.3">
      <c r="A65" t="s">
        <v>14</v>
      </c>
      <c r="B65">
        <v>34314</v>
      </c>
      <c r="C65">
        <v>9128.1299999999992</v>
      </c>
    </row>
    <row r="66" spans="1:3" x14ac:dyDescent="0.3">
      <c r="A66" t="s">
        <v>5</v>
      </c>
      <c r="B66">
        <v>44656</v>
      </c>
      <c r="C66">
        <v>13447.51</v>
      </c>
    </row>
    <row r="67" spans="1:3" x14ac:dyDescent="0.3">
      <c r="A67" t="s">
        <v>7</v>
      </c>
      <c r="B67">
        <v>37187</v>
      </c>
      <c r="C67">
        <v>9906.3799999999992</v>
      </c>
    </row>
    <row r="68" spans="1:3" x14ac:dyDescent="0.3">
      <c r="A68" t="s">
        <v>11</v>
      </c>
      <c r="B68">
        <v>29343</v>
      </c>
      <c r="C68">
        <v>3287.61</v>
      </c>
    </row>
    <row r="69" spans="1:3" x14ac:dyDescent="0.3">
      <c r="A69" t="s">
        <v>13</v>
      </c>
      <c r="B69">
        <v>37424</v>
      </c>
      <c r="C69">
        <v>4797.72</v>
      </c>
    </row>
    <row r="70" spans="1:3" x14ac:dyDescent="0.3">
      <c r="A70" t="s">
        <v>11</v>
      </c>
      <c r="B70">
        <v>14237</v>
      </c>
      <c r="C70">
        <v>4686.5200000000004</v>
      </c>
    </row>
    <row r="71" spans="1:3" x14ac:dyDescent="0.3">
      <c r="A71" t="s">
        <v>13</v>
      </c>
      <c r="B71">
        <v>15035</v>
      </c>
      <c r="C71">
        <v>2992.69</v>
      </c>
    </row>
    <row r="72" spans="1:3" x14ac:dyDescent="0.3">
      <c r="A72" t="s">
        <v>6</v>
      </c>
      <c r="B72">
        <v>46234</v>
      </c>
      <c r="C72">
        <v>13542.62</v>
      </c>
    </row>
    <row r="73" spans="1:3" x14ac:dyDescent="0.3">
      <c r="A73" t="s">
        <v>9</v>
      </c>
      <c r="B73">
        <v>40476</v>
      </c>
      <c r="C73">
        <v>6341.28</v>
      </c>
    </row>
    <row r="74" spans="1:3" x14ac:dyDescent="0.3">
      <c r="A74" t="s">
        <v>6</v>
      </c>
      <c r="B74">
        <v>37898</v>
      </c>
      <c r="C74">
        <v>6378.19</v>
      </c>
    </row>
    <row r="75" spans="1:3" x14ac:dyDescent="0.3">
      <c r="A75" t="s">
        <v>11</v>
      </c>
      <c r="B75">
        <v>19682</v>
      </c>
      <c r="C75">
        <v>3689.35</v>
      </c>
    </row>
    <row r="76" spans="1:3" x14ac:dyDescent="0.3">
      <c r="A76" t="s">
        <v>5</v>
      </c>
      <c r="B76">
        <v>44915</v>
      </c>
      <c r="C76">
        <v>7605.55</v>
      </c>
    </row>
    <row r="77" spans="1:3" x14ac:dyDescent="0.3">
      <c r="A77" t="s">
        <v>12</v>
      </c>
      <c r="B77">
        <v>5360</v>
      </c>
      <c r="C77">
        <v>766.02</v>
      </c>
    </row>
    <row r="78" spans="1:3" x14ac:dyDescent="0.3">
      <c r="A78" t="s">
        <v>4</v>
      </c>
      <c r="B78">
        <v>25981</v>
      </c>
      <c r="C78">
        <v>7671.97</v>
      </c>
    </row>
    <row r="79" spans="1:3" x14ac:dyDescent="0.3">
      <c r="A79" t="s">
        <v>11</v>
      </c>
      <c r="B79">
        <v>30414</v>
      </c>
      <c r="C79">
        <v>4042.95</v>
      </c>
    </row>
    <row r="80" spans="1:3" x14ac:dyDescent="0.3">
      <c r="A80" t="s">
        <v>5</v>
      </c>
      <c r="B80">
        <v>22028</v>
      </c>
      <c r="C80">
        <v>5609.79</v>
      </c>
    </row>
    <row r="81" spans="1:3" x14ac:dyDescent="0.3">
      <c r="A81" t="s">
        <v>4</v>
      </c>
      <c r="B81">
        <v>28655</v>
      </c>
      <c r="C81">
        <v>6643.73</v>
      </c>
    </row>
    <row r="82" spans="1:3" x14ac:dyDescent="0.3">
      <c r="A82" t="s">
        <v>9</v>
      </c>
      <c r="B82">
        <v>20693</v>
      </c>
      <c r="C82">
        <v>4063.36</v>
      </c>
    </row>
    <row r="83" spans="1:3" x14ac:dyDescent="0.3">
      <c r="A83" t="s">
        <v>5</v>
      </c>
      <c r="B83">
        <v>8379</v>
      </c>
      <c r="C83">
        <v>1751.19</v>
      </c>
    </row>
    <row r="84" spans="1:3" x14ac:dyDescent="0.3">
      <c r="A84" t="s">
        <v>14</v>
      </c>
      <c r="B84">
        <v>30497</v>
      </c>
      <c r="C84">
        <v>7223.77</v>
      </c>
    </row>
    <row r="85" spans="1:3" x14ac:dyDescent="0.3">
      <c r="A85" t="s">
        <v>9</v>
      </c>
      <c r="B85">
        <v>46142</v>
      </c>
      <c r="C85">
        <v>12708.83</v>
      </c>
    </row>
    <row r="86" spans="1:3" x14ac:dyDescent="0.3">
      <c r="A86" t="s">
        <v>12</v>
      </c>
      <c r="B86">
        <v>25249</v>
      </c>
      <c r="C86">
        <v>4095.12</v>
      </c>
    </row>
    <row r="87" spans="1:3" x14ac:dyDescent="0.3">
      <c r="A87" t="s">
        <v>10</v>
      </c>
      <c r="B87">
        <v>31076</v>
      </c>
      <c r="C87">
        <v>4720.5600000000004</v>
      </c>
    </row>
    <row r="88" spans="1:3" x14ac:dyDescent="0.3">
      <c r="A88" t="s">
        <v>6</v>
      </c>
      <c r="B88">
        <v>22786</v>
      </c>
      <c r="C88">
        <v>5534.71</v>
      </c>
    </row>
    <row r="89" spans="1:3" x14ac:dyDescent="0.3">
      <c r="A89" t="s">
        <v>11</v>
      </c>
      <c r="B89">
        <v>16407</v>
      </c>
      <c r="C89">
        <v>5341.96</v>
      </c>
    </row>
    <row r="90" spans="1:3" x14ac:dyDescent="0.3">
      <c r="A90" t="s">
        <v>10</v>
      </c>
      <c r="B90">
        <v>41582</v>
      </c>
      <c r="C90">
        <v>4491.2299999999996</v>
      </c>
    </row>
    <row r="91" spans="1:3" x14ac:dyDescent="0.3">
      <c r="A91" t="s">
        <v>7</v>
      </c>
      <c r="B91">
        <v>46993</v>
      </c>
      <c r="C91">
        <v>13805.26</v>
      </c>
    </row>
    <row r="92" spans="1:3" x14ac:dyDescent="0.3">
      <c r="A92" t="s">
        <v>6</v>
      </c>
      <c r="B92">
        <v>16584</v>
      </c>
      <c r="C92">
        <v>4721.3100000000004</v>
      </c>
    </row>
    <row r="93" spans="1:3" x14ac:dyDescent="0.3">
      <c r="A93" t="s">
        <v>12</v>
      </c>
      <c r="B93">
        <v>31309</v>
      </c>
      <c r="C93">
        <v>7275.2</v>
      </c>
    </row>
    <row r="94" spans="1:3" x14ac:dyDescent="0.3">
      <c r="A94" t="s">
        <v>5</v>
      </c>
      <c r="B94">
        <v>5245</v>
      </c>
      <c r="C94">
        <v>1621.01</v>
      </c>
    </row>
    <row r="95" spans="1:3" x14ac:dyDescent="0.3">
      <c r="A95" t="s">
        <v>12</v>
      </c>
      <c r="B95">
        <v>33879</v>
      </c>
      <c r="C95">
        <v>8212.4699999999993</v>
      </c>
    </row>
    <row r="96" spans="1:3" x14ac:dyDescent="0.3">
      <c r="A96" t="s">
        <v>6</v>
      </c>
      <c r="B96">
        <v>38218</v>
      </c>
      <c r="C96">
        <v>13533.73</v>
      </c>
    </row>
    <row r="97" spans="1:3" x14ac:dyDescent="0.3">
      <c r="A97" t="s">
        <v>5</v>
      </c>
      <c r="B97">
        <v>31126</v>
      </c>
      <c r="C97">
        <v>7245.03</v>
      </c>
    </row>
    <row r="98" spans="1:3" x14ac:dyDescent="0.3">
      <c r="A98" t="s">
        <v>11</v>
      </c>
      <c r="B98">
        <v>13988</v>
      </c>
      <c r="C98">
        <v>5350.36</v>
      </c>
    </row>
    <row r="99" spans="1:3" x14ac:dyDescent="0.3">
      <c r="A99" t="s">
        <v>6</v>
      </c>
      <c r="B99">
        <v>9594</v>
      </c>
      <c r="C99">
        <v>2720.47</v>
      </c>
    </row>
    <row r="100" spans="1:3" x14ac:dyDescent="0.3">
      <c r="A100" t="s">
        <v>10</v>
      </c>
      <c r="B100">
        <v>34299</v>
      </c>
      <c r="C100">
        <v>7128.31</v>
      </c>
    </row>
    <row r="101" spans="1:3" x14ac:dyDescent="0.3">
      <c r="A101" t="s">
        <v>13</v>
      </c>
      <c r="B101">
        <v>11661</v>
      </c>
      <c r="C101">
        <v>1919.34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Topic D5 _ 210726</vt:lpstr>
      <vt:lpstr>Goal Seek</vt:lpstr>
      <vt:lpstr>Sheet1</vt:lpstr>
      <vt:lpstr>Sheet2</vt:lpstr>
      <vt:lpstr>Pivot Table</vt:lpstr>
      <vt:lpstr>Sheet4</vt:lpstr>
      <vt:lpstr>Sheet3</vt:lpstr>
      <vt:lpstr>AI_in_Excel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a30372</cp:lastModifiedBy>
  <dcterms:created xsi:type="dcterms:W3CDTF">2026-05-07T11:34:57Z</dcterms:created>
  <dcterms:modified xsi:type="dcterms:W3CDTF">2026-07-21T17:09:09Z</dcterms:modified>
</cp:coreProperties>
</file>