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Region_Targets" sheetId="2" r:id="rId5"/>
    <sheet state="visible" name="SUMIF and Region Analysis" sheetId="3" r:id="rId6"/>
    <sheet state="visible" name="Pivot" sheetId="4" r:id="rId7"/>
  </sheets>
  <definedNames>
    <definedName name="Slicer_Region">#REF!</definedName>
    <definedName hidden="1" localSheetId="0" name="Z_58901802_CF09_45AA_9311_71F3BCCC4804_.wvu.FilterData">Sales_Data!$A$1:$H$21</definedName>
    <definedName hidden="1" localSheetId="1" name="Z_8434AAB3_883D_46B1_B8C1_A3CB6641977D_.wvu.FilterData">Region_Targets!$A$1:$B$5</definedName>
    <definedName hidden="1" localSheetId="2" name="Z_1F2A99BB_0AA7_4BA0_998C_50B8433FF6BC_.wvu.FilterData">'SUMIF and Region Analysis'!$A$1:$B$5</definedName>
  </definedNames>
  <calcPr/>
  <customWorkbookViews>
    <customWorkbookView activeSheetId="0" maximized="1" windowHeight="0" windowWidth="0" guid="{58901802-CF09-45AA-9311-71F3BCCC4804}" name="Table1 filter view"/>
    <customWorkbookView activeSheetId="0" maximized="1" windowHeight="0" windowWidth="0" guid="{8434AAB3-883D-46B1-B8C1-A3CB6641977D}" name="Table2 filter view"/>
    <customWorkbookView activeSheetId="0" maximized="1" windowHeight="0" windowWidth="0" guid="{1F2A99BB-0AA7-4BA0-998C-50B8433FF6BC}" name="Table3 filter view"/>
  </customWorkbookViews>
  <pivotCaches>
    <pivotCache cacheId="0" r:id="rId8"/>
  </pivotCaches>
  <extLst>
    <ext uri="GoogleSheetsCustomDataVersion2">
      <go:sheetsCustomData xmlns:go="http://customooxmlschemas.google.com/" r:id="rId9" roundtripDataChecksum="WWVhu7Flnu2wLvmnE/NSvPHamZ9DqfoPHbACITVSfI4="/>
    </ext>
  </extLst>
</workbook>
</file>

<file path=xl/sharedStrings.xml><?xml version="1.0" encoding="utf-8"?>
<sst xmlns="http://schemas.openxmlformats.org/spreadsheetml/2006/main" count="104" uniqueCount="42">
  <si>
    <t>Product</t>
  </si>
  <si>
    <t>Values</t>
  </si>
  <si>
    <t>Laptop</t>
  </si>
  <si>
    <t>Monitor</t>
  </si>
  <si>
    <t>Phone</t>
  </si>
  <si>
    <t>Tablet</t>
  </si>
  <si>
    <t>Grand Total</t>
  </si>
  <si>
    <t>Date</t>
  </si>
  <si>
    <t>Region</t>
  </si>
  <si>
    <t>Sum of Revenue</t>
  </si>
  <si>
    <t>Sum of Units_Sold</t>
  </si>
  <si>
    <t>East</t>
  </si>
  <si>
    <t>North</t>
  </si>
  <si>
    <t>Revenue</t>
  </si>
  <si>
    <t>Salesperson</t>
  </si>
  <si>
    <t>South</t>
  </si>
  <si>
    <t>Target_Revenue</t>
  </si>
  <si>
    <t>West</t>
  </si>
  <si>
    <t>Units_Sold</t>
  </si>
  <si>
    <t>Performance</t>
  </si>
  <si>
    <t>Difference_From_Target</t>
  </si>
  <si>
    <t>John</t>
  </si>
  <si>
    <t>Emma</t>
  </si>
  <si>
    <t>Liam</t>
  </si>
  <si>
    <t>Sophia</t>
  </si>
  <si>
    <t>Noah</t>
  </si>
  <si>
    <t>Olivia</t>
  </si>
  <si>
    <t>Ava</t>
  </si>
  <si>
    <t>Mason</t>
  </si>
  <si>
    <t>Isabella</t>
  </si>
  <si>
    <t>Ethan</t>
  </si>
  <si>
    <t>Mia</t>
  </si>
  <si>
    <t>Logan</t>
  </si>
  <si>
    <t>Charlotte</t>
  </si>
  <si>
    <t>Lucas</t>
  </si>
  <si>
    <t>Amelia</t>
  </si>
  <si>
    <t>James</t>
  </si>
  <si>
    <t>Harper</t>
  </si>
  <si>
    <t>Benjamin</t>
  </si>
  <si>
    <t>Evelyn</t>
  </si>
  <si>
    <t>Henry</t>
  </si>
  <si>
    <t>COUNTIFS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</si>
</sst>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center" readingOrder="0" shrinkToFit="0" vertical="top" wrapText="0"/>
    </xf>
    <xf borderId="2" fillId="0" fontId="4" numFmtId="14" xfId="0" applyAlignment="1" applyBorder="1" applyFont="1" applyNumberFormat="1">
      <alignment horizontal="center" readingOrder="0" shrinkToFit="0" vertical="top" wrapText="0"/>
    </xf>
    <xf borderId="3" fillId="2" fontId="3" numFmtId="0" xfId="0" applyAlignment="1" applyBorder="1" applyFill="1" applyFont="1">
      <alignment horizontal="center" readingOrder="0" shrinkToFit="0" vertical="top" wrapText="0"/>
    </xf>
    <xf borderId="2" fillId="0" fontId="4" numFmtId="0" xfId="0" applyAlignment="1" applyBorder="1" applyFont="1">
      <alignment horizontal="center" readingOrder="0" shrinkToFit="0" vertical="top" wrapText="0"/>
    </xf>
    <xf borderId="4" fillId="3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4" fillId="4" fontId="2" numFmtId="0" xfId="0" applyAlignment="1" applyBorder="1" applyFill="1" applyFont="1">
      <alignment shrinkToFit="0" vertical="center" wrapText="0"/>
    </xf>
    <xf borderId="5" fillId="4" fontId="2" numFmtId="0" xfId="0" applyAlignment="1" applyBorder="1" applyFill="1" applyFont="1">
      <alignment shrinkToFit="0" vertical="center" wrapText="0"/>
    </xf>
    <xf borderId="0" fillId="0" fontId="2" numFmtId="14" xfId="0" applyFont="1" applyNumberFormat="1"/>
    <xf borderId="6" fillId="5" fontId="2" numFmtId="14" xfId="0" applyBorder="1" applyFill="1" applyFont="1" applyNumberFormat="1"/>
    <xf borderId="6" fillId="5" fontId="2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Region_Targ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IF and Region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" sheet="Sales_Data"/>
  </cacheSource>
  <cacheFields>
    <cacheField name="Date" numFmtId="14">
      <sharedItems containsSemiMixedTypes="0" containsDate="1" containsString="0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</sharedItems>
    </cacheField>
    <cacheField name="Salesperson" numFmtId="0">
      <sharedItems>
        <s v="John"/>
        <s v="Emma"/>
        <s v="Liam"/>
        <s v="Sophia"/>
        <s v="Noah"/>
        <s v="Olivia"/>
        <s v="Ava"/>
        <s v="Mason"/>
        <s v="Isabella"/>
        <s v="Ethan"/>
        <s v="Mia"/>
        <s v="Logan"/>
        <s v="Charlotte"/>
        <s v="Lucas"/>
        <s v="Amelia"/>
        <s v="James"/>
        <s v="Harper"/>
        <s v="Benjamin"/>
        <s v="Evelyn"/>
        <s v="Henry"/>
      </sharedItems>
    </cacheField>
    <cacheField name="Region" numFmtId="0">
      <sharedItems>
        <s v="North"/>
        <s v="South"/>
        <s v="East"/>
        <s v="West"/>
      </sharedItems>
    </cacheField>
    <cacheField name="Product" numFmtId="0">
      <sharedItems>
        <s v="Laptop"/>
        <s v="Tablet"/>
        <s v="Phone"/>
        <s v="Monitor"/>
      </sharedItems>
    </cacheField>
    <cacheField name="Units_Sold" numFmtId="0">
      <sharedItems containsSemiMixedTypes="0" containsString="0" containsNumber="1" containsInteger="1">
        <n v="25.0"/>
        <n v="40.0"/>
        <n v="55.0"/>
        <n v="20.0"/>
        <n v="35.0"/>
        <n v="50.0"/>
        <n v="45.0"/>
        <n v="30.0"/>
        <n v="60.0"/>
      </sharedItems>
    </cacheField>
    <cacheField name="Revenue" numFmtId="0">
      <sharedItems containsSemiMixedTypes="0" containsString="0" containsNumber="1" containsInteger="1">
        <n v="2500.0"/>
        <n v="4000.0"/>
        <n v="5500.0"/>
        <n v="2000.0"/>
        <n v="3500.0"/>
        <n v="5000.0"/>
        <n v="4500.0"/>
        <n v="3000.0"/>
        <n v="6000.0"/>
      </sharedItems>
    </cacheField>
    <cacheField name="Performance" numFmtId="0">
      <sharedItems>
        <s v="Average"/>
        <s v="Excellent"/>
        <s v="Good"/>
      </sharedItems>
    </cacheField>
    <cacheField name="Difference_From_Target" numFmtId="0">
      <sharedItems containsSemiMixedTypes="0" containsString="0" containsNumber="1" containsInteger="1">
        <n v="-2500.0"/>
        <n v="-500.0"/>
        <n v="1500.0"/>
        <n v="-1500.0"/>
        <n v="500.0"/>
        <n v="1000.0"/>
        <n v="-2000.0"/>
        <n v="0.0"/>
        <n v="-1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3:K10" firstHeaderRow="0" firstDataRow="2" firstDataCol="1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Product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" compact="0" outline="0" multipleItemSelectionAllowed="1" showAll="0">
      <items>
        <item x="0"/>
        <item x="1"/>
        <item x="2"/>
        <item t="default"/>
      </items>
    </pivotField>
    <pivotField name="Difference_From_Tar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colFields>
    <field x="3"/>
    <field x="-2"/>
  </colFields>
  <dataFields>
    <dataField name="Sum of Revenue" fld="5" baseField="0"/>
    <dataField name="Sum of Units_Sold" fld="4" baseField="0"/>
  </dataFields>
</pivotTableDefinition>
</file>

<file path=xl/tables/table1.xml><?xml version="1.0" encoding="utf-8"?>
<table xmlns="http://schemas.openxmlformats.org/spreadsheetml/2006/main" ref="A1:H21" displayName="Table1" name="Table1" id="1">
  <tableColumns count="8">
    <tableColumn name="Date" id="1"/>
    <tableColumn name="Salesperson" id="2"/>
    <tableColumn name="Region" id="3"/>
    <tableColumn name="Product" id="4"/>
    <tableColumn name="Units_Sold" id="5"/>
    <tableColumn name="Revenue" id="6"/>
    <tableColumn name="Performance" id="7"/>
    <tableColumn name="Difference_From_Target" id="8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B5" displayName="Table2" name="Table2" id="3">
  <tableColumns count="2">
    <tableColumn name="Region" id="1"/>
    <tableColumn name="Target_Revenue" id="2"/>
  </tableColumns>
  <tableStyleInfo name="Region_Targets-style" showColumnStripes="0" showFirstColumn="1" showLastColumn="1" showRowStripes="1"/>
</table>
</file>

<file path=xl/tables/table3.xml><?xml version="1.0" encoding="utf-8"?>
<table xmlns="http://schemas.openxmlformats.org/spreadsheetml/2006/main" ref="A1:B5" displayName="Table3" name="Table3" id="2">
  <tableColumns count="2">
    <tableColumn name="Region" id="1"/>
    <tableColumn name="Revenue" id="2"/>
  </tableColumns>
  <tableStyleInfo name="SUMIF and Region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6.29"/>
    <col customWidth="1" min="3" max="3" width="11.71"/>
    <col customWidth="1" min="4" max="4" width="12.43"/>
    <col customWidth="1" min="5" max="5" width="15.14"/>
    <col customWidth="1" min="6" max="6" width="13.43"/>
    <col customWidth="1" min="7" max="7" width="17.0"/>
    <col customWidth="1" min="8" max="8" width="27.57"/>
    <col customWidth="1" min="9" max="26" width="8.71"/>
  </cols>
  <sheetData>
    <row r="1">
      <c r="A1" s="5" t="s">
        <v>7</v>
      </c>
      <c r="B1" s="7" t="s">
        <v>14</v>
      </c>
      <c r="C1" s="7" t="s">
        <v>8</v>
      </c>
      <c r="D1" s="7" t="s">
        <v>0</v>
      </c>
      <c r="E1" s="7" t="s">
        <v>18</v>
      </c>
      <c r="F1" s="7" t="s">
        <v>13</v>
      </c>
      <c r="G1" s="7" t="s">
        <v>19</v>
      </c>
      <c r="H1" s="7" t="s">
        <v>20</v>
      </c>
    </row>
    <row r="2">
      <c r="A2" s="10">
        <v>45292.0</v>
      </c>
      <c r="B2" s="9" t="s">
        <v>21</v>
      </c>
      <c r="C2" s="9" t="s">
        <v>12</v>
      </c>
      <c r="D2" s="9" t="s">
        <v>2</v>
      </c>
      <c r="E2" s="9">
        <v>25.0</v>
      </c>
      <c r="F2" s="9">
        <v>2500.0</v>
      </c>
      <c r="G2" s="9" t="str">
        <f>IF(Sales_Data!$F2&gt;5000,"Excellent",IF(Sales_Data!$F2&gt;4000,"Good","Average"))</f>
        <v>Average</v>
      </c>
      <c r="H2" s="9">
        <f>F2-VLOOKUP(C2,Region_Targets!A2:B5,2,FALSE)</f>
        <v>-2500</v>
      </c>
    </row>
    <row r="3">
      <c r="A3" s="10">
        <v>45293.0</v>
      </c>
      <c r="B3" s="9" t="s">
        <v>22</v>
      </c>
      <c r="C3" s="9" t="s">
        <v>15</v>
      </c>
      <c r="D3" s="9" t="s">
        <v>5</v>
      </c>
      <c r="E3" s="9">
        <v>40.0</v>
      </c>
      <c r="F3" s="9">
        <v>4000.0</v>
      </c>
      <c r="G3" s="9" t="str">
        <f>IF(Sales_Data!$F3&gt;5000,"Excellent",IF(Sales_Data!$F3&gt;4000,"Good","Average"))</f>
        <v>Average</v>
      </c>
      <c r="H3" s="9">
        <f>F3-VLOOKUP(C3,Region_Targets!A:B,2,FALSE)</f>
        <v>-500</v>
      </c>
    </row>
    <row r="4">
      <c r="A4" s="10">
        <v>45294.0</v>
      </c>
      <c r="B4" s="9" t="s">
        <v>23</v>
      </c>
      <c r="C4" s="9" t="s">
        <v>11</v>
      </c>
      <c r="D4" s="9" t="s">
        <v>4</v>
      </c>
      <c r="E4" s="9">
        <v>55.0</v>
      </c>
      <c r="F4" s="9">
        <v>5500.0</v>
      </c>
      <c r="G4" s="9" t="str">
        <f>IF(Sales_Data!$F4&gt;5000,"Excellent",IF(Sales_Data!$F4&gt;4000,"Good","Average"))</f>
        <v>Excellent</v>
      </c>
      <c r="H4" s="9">
        <f>F4-VLOOKUP(C4,Region_Targets!A:B,2,FALSE)</f>
        <v>1500</v>
      </c>
    </row>
    <row r="5">
      <c r="A5" s="10">
        <v>45295.0</v>
      </c>
      <c r="B5" s="9" t="s">
        <v>24</v>
      </c>
      <c r="C5" s="9" t="s">
        <v>17</v>
      </c>
      <c r="D5" s="9" t="s">
        <v>3</v>
      </c>
      <c r="E5" s="9">
        <v>20.0</v>
      </c>
      <c r="F5" s="9">
        <v>2000.0</v>
      </c>
      <c r="G5" s="9" t="str">
        <f>IF(Sales_Data!$F5&gt;5000,"Excellent",IF(Sales_Data!$F5&gt;4000,"Good","Average"))</f>
        <v>Average</v>
      </c>
      <c r="H5" s="9">
        <f>F5-VLOOKUP(C5,Region_Targets!A:B,2,FALSE)</f>
        <v>-1500</v>
      </c>
    </row>
    <row r="6">
      <c r="A6" s="10">
        <v>45296.0</v>
      </c>
      <c r="B6" s="9" t="s">
        <v>25</v>
      </c>
      <c r="C6" s="9" t="s">
        <v>12</v>
      </c>
      <c r="D6" s="9" t="s">
        <v>2</v>
      </c>
      <c r="E6" s="9">
        <v>35.0</v>
      </c>
      <c r="F6" s="9">
        <v>3500.0</v>
      </c>
      <c r="G6" s="9" t="str">
        <f>IF(Sales_Data!$F6&gt;5000,"Excellent",IF(Sales_Data!$F6&gt;4000,"Good","Average"))</f>
        <v>Average</v>
      </c>
      <c r="H6" s="9">
        <f>F6-VLOOKUP(C6,Region_Targets!A:B,2,FALSE)</f>
        <v>-1500</v>
      </c>
    </row>
    <row r="7">
      <c r="A7" s="10">
        <v>45297.0</v>
      </c>
      <c r="B7" s="9" t="s">
        <v>26</v>
      </c>
      <c r="C7" s="9" t="s">
        <v>15</v>
      </c>
      <c r="D7" s="9" t="s">
        <v>5</v>
      </c>
      <c r="E7" s="9">
        <v>50.0</v>
      </c>
      <c r="F7" s="9">
        <v>5000.0</v>
      </c>
      <c r="G7" s="9" t="str">
        <f>IF(Sales_Data!$F7&gt;5000,"Excellent",IF(Sales_Data!$F7&gt;4000,"Good","Average"))</f>
        <v>Good</v>
      </c>
      <c r="H7" s="9">
        <f>F7-VLOOKUP(C7,Region_Targets!A:B,2,FALSE)</f>
        <v>500</v>
      </c>
    </row>
    <row r="8">
      <c r="A8" s="10">
        <v>45298.0</v>
      </c>
      <c r="B8" s="9" t="s">
        <v>27</v>
      </c>
      <c r="C8" s="9" t="s">
        <v>11</v>
      </c>
      <c r="D8" s="9" t="s">
        <v>4</v>
      </c>
      <c r="E8" s="9">
        <v>45.0</v>
      </c>
      <c r="F8" s="9">
        <v>4500.0</v>
      </c>
      <c r="G8" s="9" t="str">
        <f>IF(Sales_Data!$F8&gt;5000,"Excellent",IF(Sales_Data!$F8&gt;4000,"Good","Average"))</f>
        <v>Good</v>
      </c>
      <c r="H8" s="9">
        <f>F8-VLOOKUP(C8,Region_Targets!A:B,2,FALSE)</f>
        <v>500</v>
      </c>
    </row>
    <row r="9">
      <c r="A9" s="10">
        <v>45299.0</v>
      </c>
      <c r="B9" s="9" t="s">
        <v>28</v>
      </c>
      <c r="C9" s="9" t="s">
        <v>17</v>
      </c>
      <c r="D9" s="9" t="s">
        <v>3</v>
      </c>
      <c r="E9" s="9">
        <v>30.0</v>
      </c>
      <c r="F9" s="9">
        <v>3000.0</v>
      </c>
      <c r="G9" s="9" t="str">
        <f>IF(Sales_Data!$F9&gt;5000,"Excellent",IF(Sales_Data!$F9&gt;4000,"Good","Average"))</f>
        <v>Average</v>
      </c>
      <c r="H9" s="9">
        <f>F9-VLOOKUP(C9,Region_Targets!A:B,2,FALSE)</f>
        <v>-500</v>
      </c>
    </row>
    <row r="10">
      <c r="A10" s="10">
        <v>45300.0</v>
      </c>
      <c r="B10" s="9" t="s">
        <v>29</v>
      </c>
      <c r="C10" s="9" t="s">
        <v>12</v>
      </c>
      <c r="D10" s="9" t="s">
        <v>2</v>
      </c>
      <c r="E10" s="9">
        <v>60.0</v>
      </c>
      <c r="F10" s="9">
        <v>6000.0</v>
      </c>
      <c r="G10" s="9" t="str">
        <f>IF(Sales_Data!$F10&gt;5000,"Excellent",IF(Sales_Data!$F10&gt;4000,"Good","Average"))</f>
        <v>Excellent</v>
      </c>
      <c r="H10" s="9">
        <f>F10-VLOOKUP(C10,Region_Targets!A:B,2,FALSE)</f>
        <v>1000</v>
      </c>
    </row>
    <row r="11">
      <c r="A11" s="10">
        <v>45301.0</v>
      </c>
      <c r="B11" s="9" t="s">
        <v>30</v>
      </c>
      <c r="C11" s="9" t="s">
        <v>15</v>
      </c>
      <c r="D11" s="9" t="s">
        <v>5</v>
      </c>
      <c r="E11" s="9">
        <v>25.0</v>
      </c>
      <c r="F11" s="9">
        <v>2500.0</v>
      </c>
      <c r="G11" s="9" t="str">
        <f>IF(Sales_Data!$F11&gt;5000,"Excellent",IF(Sales_Data!$F11&gt;4000,"Good","Average"))</f>
        <v>Average</v>
      </c>
      <c r="H11" s="9">
        <f>F11-VLOOKUP(C11,Region_Targets!A:B,2,FALSE)</f>
        <v>-2000</v>
      </c>
    </row>
    <row r="12">
      <c r="A12" s="10">
        <v>45302.0</v>
      </c>
      <c r="B12" s="9" t="s">
        <v>31</v>
      </c>
      <c r="C12" s="9" t="s">
        <v>11</v>
      </c>
      <c r="D12" s="9" t="s">
        <v>4</v>
      </c>
      <c r="E12" s="9">
        <v>40.0</v>
      </c>
      <c r="F12" s="9">
        <v>4000.0</v>
      </c>
      <c r="G12" s="9" t="str">
        <f>IF(Sales_Data!$F12&gt;5000,"Excellent",IF(Sales_Data!$F12&gt;4000,"Good","Average"))</f>
        <v>Average</v>
      </c>
      <c r="H12" s="9">
        <f>F12-VLOOKUP(C12,Region_Targets!A:B,2,FALSE)</f>
        <v>0</v>
      </c>
    </row>
    <row r="13">
      <c r="A13" s="10">
        <v>45303.0</v>
      </c>
      <c r="B13" s="9" t="s">
        <v>32</v>
      </c>
      <c r="C13" s="9" t="s">
        <v>17</v>
      </c>
      <c r="D13" s="9" t="s">
        <v>3</v>
      </c>
      <c r="E13" s="9">
        <v>50.0</v>
      </c>
      <c r="F13" s="9">
        <v>5000.0</v>
      </c>
      <c r="G13" s="9" t="str">
        <f>IF(Sales_Data!$F13&gt;5000,"Excellent",IF(Sales_Data!$F13&gt;4000,"Good","Average"))</f>
        <v>Good</v>
      </c>
      <c r="H13" s="9">
        <f>F13-VLOOKUP(C13,Region_Targets!A:B,2,FALSE)</f>
        <v>1500</v>
      </c>
    </row>
    <row r="14">
      <c r="A14" s="10">
        <v>45304.0</v>
      </c>
      <c r="B14" s="9" t="s">
        <v>33</v>
      </c>
      <c r="C14" s="9" t="s">
        <v>12</v>
      </c>
      <c r="D14" s="9" t="s">
        <v>2</v>
      </c>
      <c r="E14" s="9">
        <v>45.0</v>
      </c>
      <c r="F14" s="9">
        <v>4500.0</v>
      </c>
      <c r="G14" s="9" t="str">
        <f>IF(Sales_Data!$F14&gt;5000,"Excellent",IF(Sales_Data!$F14&gt;4000,"Good","Average"))</f>
        <v>Good</v>
      </c>
      <c r="H14" s="9">
        <f>F14-VLOOKUP(C14,Region_Targets!A:B,2,FALSE)</f>
        <v>-500</v>
      </c>
    </row>
    <row r="15">
      <c r="A15" s="10">
        <v>45305.0</v>
      </c>
      <c r="B15" s="9" t="s">
        <v>34</v>
      </c>
      <c r="C15" s="9" t="s">
        <v>15</v>
      </c>
      <c r="D15" s="9" t="s">
        <v>5</v>
      </c>
      <c r="E15" s="9">
        <v>35.0</v>
      </c>
      <c r="F15" s="9">
        <v>3500.0</v>
      </c>
      <c r="G15" s="9" t="str">
        <f>IF(Sales_Data!$F15&gt;5000,"Excellent",IF(Sales_Data!$F15&gt;4000,"Good","Average"))</f>
        <v>Average</v>
      </c>
      <c r="H15" s="9">
        <f>F15-VLOOKUP(C15,Region_Targets!A:B,2,FALSE)</f>
        <v>-1000</v>
      </c>
    </row>
    <row r="16">
      <c r="A16" s="10">
        <v>45306.0</v>
      </c>
      <c r="B16" s="9" t="s">
        <v>35</v>
      </c>
      <c r="C16" s="9" t="s">
        <v>11</v>
      </c>
      <c r="D16" s="9" t="s">
        <v>4</v>
      </c>
      <c r="E16" s="9">
        <v>55.0</v>
      </c>
      <c r="F16" s="9">
        <v>5500.0</v>
      </c>
      <c r="G16" s="9" t="str">
        <f>IF(Sales_Data!$F16&gt;5000,"Excellent",IF(Sales_Data!$F16&gt;4000,"Good","Average"))</f>
        <v>Excellent</v>
      </c>
      <c r="H16" s="9">
        <f>F16-VLOOKUP(C16,Region_Targets!A:B,2,FALSE)</f>
        <v>1500</v>
      </c>
    </row>
    <row r="17">
      <c r="A17" s="10">
        <v>45307.0</v>
      </c>
      <c r="B17" s="9" t="s">
        <v>36</v>
      </c>
      <c r="C17" s="9" t="s">
        <v>17</v>
      </c>
      <c r="D17" s="9" t="s">
        <v>3</v>
      </c>
      <c r="E17" s="9">
        <v>30.0</v>
      </c>
      <c r="F17" s="9">
        <v>3000.0</v>
      </c>
      <c r="G17" s="9" t="str">
        <f>IF(Sales_Data!$F17&gt;5000,"Excellent",IF(Sales_Data!$F17&gt;4000,"Good","Average"))</f>
        <v>Average</v>
      </c>
      <c r="H17" s="9">
        <f>F17-VLOOKUP(C17,Region_Targets!A:B,2,FALSE)</f>
        <v>-500</v>
      </c>
    </row>
    <row r="18">
      <c r="A18" s="10">
        <v>45308.0</v>
      </c>
      <c r="B18" s="9" t="s">
        <v>37</v>
      </c>
      <c r="C18" s="9" t="s">
        <v>12</v>
      </c>
      <c r="D18" s="9" t="s">
        <v>2</v>
      </c>
      <c r="E18" s="9">
        <v>60.0</v>
      </c>
      <c r="F18" s="9">
        <v>6000.0</v>
      </c>
      <c r="G18" s="9" t="str">
        <f>IF(Sales_Data!$F18&gt;5000,"Excellent",IF(Sales_Data!$F18&gt;4000,"Good","Average"))</f>
        <v>Excellent</v>
      </c>
      <c r="H18" s="9">
        <f>F18-VLOOKUP(C18,Region_Targets!A:B,2,FALSE)</f>
        <v>1000</v>
      </c>
    </row>
    <row r="19">
      <c r="A19" s="10">
        <v>45309.0</v>
      </c>
      <c r="B19" s="9" t="s">
        <v>38</v>
      </c>
      <c r="C19" s="9" t="s">
        <v>15</v>
      </c>
      <c r="D19" s="9" t="s">
        <v>5</v>
      </c>
      <c r="E19" s="9">
        <v>20.0</v>
      </c>
      <c r="F19" s="9">
        <v>2000.0</v>
      </c>
      <c r="G19" s="9" t="str">
        <f>IF(Sales_Data!$F19&gt;5000,"Excellent",IF(Sales_Data!$F19&gt;4000,"Good","Average"))</f>
        <v>Average</v>
      </c>
      <c r="H19" s="9">
        <f>F19-VLOOKUP(C19,Region_Targets!A:B,2,FALSE)</f>
        <v>-2500</v>
      </c>
    </row>
    <row r="20">
      <c r="A20" s="10">
        <v>45310.0</v>
      </c>
      <c r="B20" s="9" t="s">
        <v>39</v>
      </c>
      <c r="C20" s="9" t="s">
        <v>11</v>
      </c>
      <c r="D20" s="9" t="s">
        <v>4</v>
      </c>
      <c r="E20" s="9">
        <v>45.0</v>
      </c>
      <c r="F20" s="9">
        <v>4500.0</v>
      </c>
      <c r="G20" s="9" t="str">
        <f>IF(Sales_Data!$F20&gt;5000,"Excellent",IF(Sales_Data!$F20&gt;4000,"Good","Average"))</f>
        <v>Good</v>
      </c>
      <c r="H20" s="9">
        <f>F20-VLOOKUP(C20,Region_Targets!A:B,2,FALSE)</f>
        <v>500</v>
      </c>
    </row>
    <row r="21" ht="15.75" customHeight="1">
      <c r="A21" s="10">
        <v>45311.0</v>
      </c>
      <c r="B21" s="9" t="s">
        <v>40</v>
      </c>
      <c r="C21" s="9" t="s">
        <v>17</v>
      </c>
      <c r="D21" s="9" t="s">
        <v>3</v>
      </c>
      <c r="E21" s="9">
        <v>40.0</v>
      </c>
      <c r="F21" s="9">
        <v>4000.0</v>
      </c>
      <c r="G21" s="9" t="str">
        <f>IF(Sales_Data!$F21&gt;5000,"Excellent",IF(Sales_Data!$F21&gt;4000,"Good","Average"))</f>
        <v>Average</v>
      </c>
      <c r="H21" s="9">
        <f>F21-VLOOKUP(C21,Region_Targets!A:B,2,FALSE)</f>
        <v>500</v>
      </c>
    </row>
    <row r="22" ht="15.75" customHeight="1">
      <c r="A22" s="13"/>
    </row>
    <row r="23" ht="15.75" customHeight="1">
      <c r="A23" s="13"/>
    </row>
    <row r="24" ht="15.75" customHeight="1">
      <c r="A24" s="13"/>
    </row>
    <row r="25" ht="15.75" customHeight="1">
      <c r="A25" s="13"/>
    </row>
    <row r="26" ht="15.75" customHeight="1">
      <c r="A26" s="13"/>
    </row>
    <row r="27" ht="15.75" customHeight="1">
      <c r="A27" s="14" t="s">
        <v>41</v>
      </c>
      <c r="B27" s="15">
        <f>COUNTIFS(Table1[Region],"North",Table1[Units_Sold],"&gt;40")</f>
        <v>3</v>
      </c>
    </row>
    <row r="28" ht="15.75" customHeight="1">
      <c r="A28" s="13"/>
    </row>
    <row r="29" ht="15.75" customHeight="1">
      <c r="A29" s="13"/>
    </row>
    <row r="30" ht="15.75" customHeight="1">
      <c r="A30" s="13"/>
    </row>
    <row r="31" ht="15.75" customHeight="1">
      <c r="A31" s="13"/>
    </row>
    <row r="32" ht="15.75" customHeight="1">
      <c r="A32" s="13"/>
    </row>
    <row r="33" ht="15.75" customHeight="1">
      <c r="A33" s="13"/>
    </row>
    <row r="34" ht="15.75" customHeight="1">
      <c r="A34" s="13"/>
    </row>
    <row r="35" ht="15.75" customHeight="1">
      <c r="A35" s="13"/>
    </row>
    <row r="36" ht="15.75" customHeight="1">
      <c r="A36" s="13"/>
    </row>
    <row r="37" ht="15.75" customHeight="1">
      <c r="A37" s="13"/>
    </row>
    <row r="38" ht="15.75" customHeight="1">
      <c r="A38" s="13"/>
    </row>
    <row r="39" ht="15.75" customHeight="1">
      <c r="A39" s="13"/>
    </row>
    <row r="40" ht="15.75" customHeight="1">
      <c r="A40" s="13"/>
    </row>
    <row r="41" ht="15.75" customHeight="1">
      <c r="A41" s="13"/>
    </row>
    <row r="42" ht="15.75" customHeight="1">
      <c r="A42" s="13"/>
    </row>
    <row r="43" ht="15.75" customHeight="1">
      <c r="A43" s="13"/>
    </row>
    <row r="44" ht="15.75" customHeight="1">
      <c r="A44" s="13"/>
    </row>
    <row r="45" ht="15.75" customHeight="1">
      <c r="A45" s="13"/>
    </row>
    <row r="46" ht="15.75" customHeight="1">
      <c r="A46" s="13"/>
    </row>
    <row r="47" ht="15.75" customHeight="1">
      <c r="A47" s="13"/>
    </row>
    <row r="48" ht="15.75" customHeight="1">
      <c r="A48" s="13"/>
    </row>
    <row r="49" ht="15.75" customHeight="1">
      <c r="A49" s="13"/>
    </row>
    <row r="50" ht="15.75" customHeight="1">
      <c r="A50" s="13"/>
    </row>
    <row r="51" ht="15.75" customHeight="1">
      <c r="A51" s="13"/>
    </row>
    <row r="52" ht="15.75" customHeight="1">
      <c r="A52" s="13"/>
    </row>
    <row r="53" ht="15.75" customHeight="1">
      <c r="A53" s="13"/>
    </row>
    <row r="54" ht="15.75" customHeight="1">
      <c r="A54" s="13"/>
    </row>
    <row r="55" ht="15.75" customHeight="1">
      <c r="A55" s="13"/>
    </row>
    <row r="56" ht="15.75" customHeight="1">
      <c r="A56" s="13"/>
    </row>
    <row r="57" ht="15.75" customHeight="1">
      <c r="A57" s="13"/>
    </row>
    <row r="58" ht="15.75" customHeight="1">
      <c r="A58" s="13"/>
    </row>
    <row r="59" ht="15.75" customHeight="1">
      <c r="A59" s="13"/>
    </row>
    <row r="60" ht="15.75" customHeight="1">
      <c r="A60" s="13"/>
    </row>
    <row r="61" ht="15.75" customHeight="1">
      <c r="A61" s="13"/>
    </row>
    <row r="62" ht="15.75" customHeight="1">
      <c r="A62" s="13"/>
    </row>
    <row r="63" ht="15.75" customHeight="1">
      <c r="A63" s="13"/>
    </row>
    <row r="64" ht="15.75" customHeight="1">
      <c r="A64" s="13"/>
    </row>
    <row r="65" ht="15.75" customHeight="1">
      <c r="A65" s="13"/>
    </row>
    <row r="66" ht="15.75" customHeight="1">
      <c r="A66" s="13"/>
    </row>
    <row r="67" ht="15.75" customHeight="1">
      <c r="A67" s="13"/>
    </row>
    <row r="68" ht="15.75" customHeight="1">
      <c r="A68" s="13"/>
    </row>
    <row r="69" ht="15.75" customHeight="1">
      <c r="A69" s="13"/>
    </row>
    <row r="70" ht="15.75" customHeight="1">
      <c r="A70" s="13"/>
    </row>
    <row r="71" ht="15.75" customHeight="1">
      <c r="A71" s="13"/>
    </row>
    <row r="72" ht="15.75" customHeight="1">
      <c r="A72" s="13"/>
    </row>
    <row r="73" ht="15.75" customHeight="1">
      <c r="A73" s="13"/>
    </row>
    <row r="74" ht="15.75" customHeight="1">
      <c r="A74" s="13"/>
    </row>
    <row r="75" ht="15.75" customHeight="1">
      <c r="A75" s="13"/>
    </row>
    <row r="76" ht="15.75" customHeight="1">
      <c r="A76" s="13"/>
    </row>
    <row r="77" ht="15.75" customHeight="1">
      <c r="A77" s="13"/>
    </row>
    <row r="78" ht="15.75" customHeight="1">
      <c r="A78" s="13"/>
    </row>
    <row r="79" ht="15.75" customHeight="1">
      <c r="A79" s="13"/>
    </row>
    <row r="80" ht="15.75" customHeight="1">
      <c r="A80" s="13"/>
    </row>
    <row r="81" ht="15.75" customHeight="1">
      <c r="A81" s="13"/>
    </row>
    <row r="82" ht="15.75" customHeight="1">
      <c r="A82" s="13"/>
    </row>
    <row r="83" ht="15.75" customHeight="1">
      <c r="A83" s="13"/>
    </row>
    <row r="84" ht="15.75" customHeight="1">
      <c r="A84" s="13"/>
    </row>
    <row r="85" ht="15.75" customHeight="1">
      <c r="A85" s="13"/>
    </row>
    <row r="86" ht="15.75" customHeight="1">
      <c r="A86" s="13"/>
    </row>
    <row r="87" ht="15.75" customHeight="1">
      <c r="A87" s="13"/>
    </row>
    <row r="88" ht="15.75" customHeight="1">
      <c r="A88" s="13"/>
    </row>
    <row r="89" ht="15.75" customHeight="1">
      <c r="A89" s="13"/>
    </row>
    <row r="90" ht="15.75" customHeight="1">
      <c r="A90" s="13"/>
    </row>
    <row r="91" ht="15.75" customHeight="1">
      <c r="A91" s="13"/>
    </row>
    <row r="92" ht="15.75" customHeight="1">
      <c r="A92" s="13"/>
    </row>
    <row r="93" ht="15.75" customHeight="1">
      <c r="A93" s="13"/>
    </row>
    <row r="94" ht="15.75" customHeight="1">
      <c r="A94" s="13"/>
    </row>
    <row r="95" ht="15.75" customHeight="1">
      <c r="A95" s="13"/>
    </row>
    <row r="96" ht="15.75" customHeight="1">
      <c r="A96" s="13"/>
    </row>
    <row r="97" ht="15.75" customHeight="1">
      <c r="A97" s="13"/>
    </row>
    <row r="98" ht="15.75" customHeight="1">
      <c r="A98" s="13"/>
    </row>
    <row r="99" ht="15.75" customHeight="1">
      <c r="A99" s="13"/>
    </row>
    <row r="100" ht="15.75" customHeight="1">
      <c r="A100" s="13"/>
    </row>
    <row r="101" ht="15.75" customHeight="1">
      <c r="A101" s="13"/>
    </row>
    <row r="102" ht="15.75" customHeight="1">
      <c r="A102" s="13"/>
    </row>
    <row r="103" ht="15.75" customHeight="1">
      <c r="A103" s="13"/>
    </row>
    <row r="104" ht="15.75" customHeight="1">
      <c r="A104" s="13"/>
    </row>
    <row r="105" ht="15.75" customHeight="1">
      <c r="A105" s="13"/>
    </row>
    <row r="106" ht="15.75" customHeight="1">
      <c r="A106" s="13"/>
    </row>
    <row r="107" ht="15.75" customHeight="1">
      <c r="A107" s="13"/>
    </row>
    <row r="108" ht="15.75" customHeight="1">
      <c r="A108" s="13"/>
    </row>
    <row r="109" ht="15.75" customHeight="1">
      <c r="A109" s="13"/>
    </row>
    <row r="110" ht="15.75" customHeight="1">
      <c r="A110" s="13"/>
    </row>
    <row r="111" ht="15.75" customHeight="1">
      <c r="A111" s="13"/>
    </row>
    <row r="112" ht="15.75" customHeight="1">
      <c r="A112" s="13"/>
    </row>
    <row r="113" ht="15.75" customHeight="1">
      <c r="A113" s="13"/>
    </row>
    <row r="114" ht="15.75" customHeight="1">
      <c r="A114" s="13"/>
    </row>
    <row r="115" ht="15.75" customHeight="1">
      <c r="A115" s="13"/>
    </row>
    <row r="116" ht="15.75" customHeight="1">
      <c r="A116" s="13"/>
    </row>
    <row r="117" ht="15.75" customHeight="1">
      <c r="A117" s="13"/>
    </row>
    <row r="118" ht="15.75" customHeight="1">
      <c r="A118" s="13"/>
    </row>
    <row r="119" ht="15.75" customHeight="1">
      <c r="A119" s="13"/>
    </row>
    <row r="120" ht="15.75" customHeight="1">
      <c r="A120" s="13"/>
    </row>
    <row r="121" ht="15.75" customHeight="1">
      <c r="A121" s="13"/>
    </row>
    <row r="122" ht="15.75" customHeight="1">
      <c r="A122" s="13"/>
    </row>
    <row r="123" ht="15.75" customHeight="1">
      <c r="A123" s="13"/>
    </row>
    <row r="124" ht="15.75" customHeight="1">
      <c r="A124" s="13"/>
    </row>
    <row r="125" ht="15.75" customHeight="1">
      <c r="A125" s="13"/>
    </row>
    <row r="126" ht="15.75" customHeight="1">
      <c r="A126" s="13"/>
    </row>
    <row r="127" ht="15.75" customHeight="1">
      <c r="A127" s="13"/>
    </row>
    <row r="128" ht="15.75" customHeight="1">
      <c r="A128" s="13"/>
    </row>
    <row r="129" ht="15.75" customHeight="1">
      <c r="A129" s="13"/>
    </row>
    <row r="130" ht="15.75" customHeight="1">
      <c r="A130" s="13"/>
    </row>
    <row r="131" ht="15.75" customHeight="1">
      <c r="A131" s="13"/>
    </row>
    <row r="132" ht="15.75" customHeight="1">
      <c r="A132" s="13"/>
    </row>
    <row r="133" ht="15.75" customHeight="1">
      <c r="A133" s="13"/>
    </row>
    <row r="134" ht="15.75" customHeight="1">
      <c r="A134" s="13"/>
    </row>
    <row r="135" ht="15.75" customHeight="1">
      <c r="A135" s="13"/>
    </row>
    <row r="136" ht="15.75" customHeight="1">
      <c r="A136" s="13"/>
    </row>
    <row r="137" ht="15.75" customHeight="1">
      <c r="A137" s="13"/>
    </row>
    <row r="138" ht="15.75" customHeight="1">
      <c r="A138" s="13"/>
    </row>
    <row r="139" ht="15.75" customHeight="1">
      <c r="A139" s="13"/>
    </row>
    <row r="140" ht="15.75" customHeight="1">
      <c r="A140" s="13"/>
    </row>
    <row r="141" ht="15.75" customHeight="1">
      <c r="A141" s="13"/>
    </row>
    <row r="142" ht="15.75" customHeight="1">
      <c r="A142" s="13"/>
    </row>
    <row r="143" ht="15.75" customHeight="1">
      <c r="A143" s="13"/>
    </row>
    <row r="144" ht="15.75" customHeight="1">
      <c r="A144" s="13"/>
    </row>
    <row r="145" ht="15.75" customHeight="1">
      <c r="A145" s="13"/>
    </row>
    <row r="146" ht="15.75" customHeight="1">
      <c r="A146" s="13"/>
    </row>
    <row r="147" ht="15.75" customHeight="1">
      <c r="A147" s="13"/>
    </row>
    <row r="148" ht="15.75" customHeight="1">
      <c r="A148" s="13"/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3"/>
    </row>
    <row r="154" ht="15.75" customHeight="1">
      <c r="A154" s="13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>
      <c r="A197" s="13"/>
    </row>
    <row r="198" ht="15.75" customHeight="1">
      <c r="A198" s="13"/>
    </row>
    <row r="199" ht="15.75" customHeight="1">
      <c r="A199" s="13"/>
    </row>
    <row r="200" ht="15.75" customHeight="1">
      <c r="A200" s="13"/>
    </row>
    <row r="201" ht="15.75" customHeight="1">
      <c r="A201" s="13"/>
    </row>
    <row r="202" ht="15.75" customHeight="1">
      <c r="A202" s="13"/>
    </row>
    <row r="203" ht="15.75" customHeight="1">
      <c r="A203" s="13"/>
    </row>
    <row r="204" ht="15.75" customHeight="1">
      <c r="A204" s="13"/>
    </row>
    <row r="205" ht="15.75" customHeight="1">
      <c r="A205" s="13"/>
    </row>
    <row r="206" ht="15.75" customHeight="1">
      <c r="A206" s="13"/>
    </row>
    <row r="207" ht="15.75" customHeight="1">
      <c r="A207" s="13"/>
    </row>
    <row r="208" ht="15.75" customHeight="1">
      <c r="A208" s="13"/>
    </row>
    <row r="209" ht="15.75" customHeight="1">
      <c r="A209" s="13"/>
    </row>
    <row r="210" ht="15.75" customHeight="1">
      <c r="A210" s="13"/>
    </row>
    <row r="211" ht="15.75" customHeight="1">
      <c r="A211" s="13"/>
    </row>
    <row r="212" ht="15.75" customHeight="1">
      <c r="A212" s="13"/>
    </row>
    <row r="213" ht="15.75" customHeight="1">
      <c r="A213" s="13"/>
    </row>
    <row r="214" ht="15.75" customHeight="1">
      <c r="A214" s="13"/>
    </row>
    <row r="215" ht="15.75" customHeight="1">
      <c r="A215" s="13"/>
    </row>
    <row r="216" ht="15.75" customHeight="1">
      <c r="A216" s="13"/>
    </row>
    <row r="217" ht="15.75" customHeight="1">
      <c r="A217" s="13"/>
    </row>
    <row r="218" ht="15.75" customHeight="1">
      <c r="A218" s="13"/>
    </row>
    <row r="219" ht="15.75" customHeight="1">
      <c r="A219" s="13"/>
    </row>
    <row r="220" ht="15.75" customHeight="1">
      <c r="A220" s="13"/>
    </row>
    <row r="221" ht="15.75" customHeight="1">
      <c r="A221" s="13"/>
    </row>
    <row r="222" ht="15.75" customHeight="1">
      <c r="A222" s="13"/>
    </row>
    <row r="223" ht="15.75" customHeight="1">
      <c r="A223" s="13"/>
    </row>
    <row r="224" ht="15.75" customHeight="1">
      <c r="A224" s="13"/>
    </row>
    <row r="225" ht="15.75" customHeight="1">
      <c r="A225" s="13"/>
    </row>
    <row r="226" ht="15.75" customHeight="1">
      <c r="A226" s="13"/>
    </row>
    <row r="227" ht="15.75" customHeight="1">
      <c r="A227" s="13"/>
    </row>
    <row r="228" ht="15.75" customHeight="1">
      <c r="A228" s="13"/>
    </row>
    <row r="229" ht="15.75" customHeight="1">
      <c r="A229" s="13"/>
    </row>
    <row r="230" ht="15.75" customHeight="1">
      <c r="A230" s="13"/>
    </row>
    <row r="231" ht="15.75" customHeight="1">
      <c r="A231" s="13"/>
    </row>
    <row r="232" ht="15.75" customHeight="1">
      <c r="A232" s="13"/>
    </row>
    <row r="233" ht="15.75" customHeight="1">
      <c r="A233" s="13"/>
    </row>
    <row r="234" ht="15.75" customHeight="1">
      <c r="A234" s="13"/>
    </row>
    <row r="235" ht="15.75" customHeight="1">
      <c r="A235" s="13"/>
    </row>
    <row r="236" ht="15.75" customHeight="1">
      <c r="A236" s="13"/>
    </row>
    <row r="237" ht="15.75" customHeight="1">
      <c r="A237" s="13"/>
    </row>
    <row r="238" ht="15.75" customHeight="1">
      <c r="A238" s="13"/>
    </row>
    <row r="239" ht="15.75" customHeight="1">
      <c r="A239" s="13"/>
    </row>
    <row r="240" ht="15.75" customHeight="1">
      <c r="A240" s="13"/>
    </row>
    <row r="241" ht="15.75" customHeight="1">
      <c r="A241" s="13"/>
    </row>
    <row r="242" ht="15.75" customHeight="1">
      <c r="A242" s="13"/>
    </row>
    <row r="243" ht="15.75" customHeight="1">
      <c r="A243" s="13"/>
    </row>
    <row r="244" ht="15.75" customHeight="1">
      <c r="A244" s="13"/>
    </row>
    <row r="245" ht="15.75" customHeight="1">
      <c r="A245" s="13"/>
    </row>
    <row r="246" ht="15.75" customHeight="1">
      <c r="A246" s="13"/>
    </row>
    <row r="247" ht="15.75" customHeight="1">
      <c r="A247" s="13"/>
    </row>
    <row r="248" ht="15.75" customHeight="1">
      <c r="A248" s="13"/>
    </row>
    <row r="249" ht="15.75" customHeight="1">
      <c r="A249" s="13"/>
    </row>
    <row r="250" ht="15.75" customHeight="1">
      <c r="A250" s="13"/>
    </row>
    <row r="251" ht="15.75" customHeight="1">
      <c r="A251" s="13"/>
    </row>
    <row r="252" ht="15.75" customHeight="1">
      <c r="A252" s="13"/>
    </row>
    <row r="253" ht="15.75" customHeight="1">
      <c r="A253" s="13"/>
    </row>
    <row r="254" ht="15.75" customHeight="1">
      <c r="A254" s="13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</sheetData>
  <customSheetViews>
    <customSheetView guid="{58901802-CF09-45AA-9311-71F3BCCC4804}" filter="1" showAutoFilter="1">
      <autoFilter ref="$A$1:$H$21"/>
      <extLst>
        <ext uri="GoogleSheetsCustomDataVersion1">
          <go:sheetsCustomData xmlns:go="http://customooxmlschemas.google.com/" filterViewId="1998725259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20.14"/>
    <col customWidth="1" min="3" max="26" width="8.71"/>
  </cols>
  <sheetData>
    <row r="1">
      <c r="A1" s="7" t="s">
        <v>8</v>
      </c>
      <c r="B1" s="7" t="s">
        <v>16</v>
      </c>
    </row>
    <row r="2">
      <c r="A2" s="9" t="s">
        <v>12</v>
      </c>
      <c r="B2" s="9">
        <v>5000.0</v>
      </c>
    </row>
    <row r="3">
      <c r="A3" s="9" t="s">
        <v>15</v>
      </c>
      <c r="B3" s="9">
        <v>4500.0</v>
      </c>
    </row>
    <row r="4">
      <c r="A4" s="9" t="s">
        <v>11</v>
      </c>
      <c r="B4" s="9">
        <v>4000.0</v>
      </c>
    </row>
    <row r="5">
      <c r="A5" s="9" t="s">
        <v>17</v>
      </c>
      <c r="B5" s="9">
        <v>3500.0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434AAB3-883D-46B1-B8C1-A3CB6641977D}" filter="1" showAutoFilter="1">
      <autoFilter ref="$A$1:$B$5"/>
      <extLst>
        <ext uri="GoogleSheetsCustomDataVersion1">
          <go:sheetsCustomData xmlns:go="http://customooxmlschemas.google.com/" filterViewId="2076675526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13.43"/>
    <col customWidth="1" min="3" max="26" width="11.86"/>
  </cols>
  <sheetData>
    <row r="1">
      <c r="A1" s="4" t="s">
        <v>8</v>
      </c>
      <c r="B1" s="6" t="s">
        <v>13</v>
      </c>
    </row>
    <row r="2">
      <c r="A2" s="8" t="s">
        <v>12</v>
      </c>
      <c r="B2" s="9">
        <f>SUMIF(Table1[Region],A2,Table1[Revenue])</f>
        <v>22500</v>
      </c>
    </row>
    <row r="3">
      <c r="A3" s="11" t="s">
        <v>15</v>
      </c>
      <c r="B3" s="9">
        <f>SUMIF(Table1[Region],A3,Table1[Revenue])</f>
        <v>17000</v>
      </c>
    </row>
    <row r="4">
      <c r="A4" s="8" t="s">
        <v>11</v>
      </c>
      <c r="B4" s="9">
        <f>SUMIF(Table1[Region],A4,Table1[Revenue])</f>
        <v>24000</v>
      </c>
    </row>
    <row r="5">
      <c r="A5" s="12" t="s">
        <v>17</v>
      </c>
      <c r="B5" s="9">
        <f>SUMIF(Table1[Region],A5,Table1[Revenue])</f>
        <v>17000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F2A99BB-0AA7-4BA0-998C-50B8433FF6BC}" filter="1" showAutoFilter="1">
      <autoFilter ref="$A$1:$B$5"/>
      <extLst>
        <ext uri="GoogleSheetsCustomDataVersion1">
          <go:sheetsCustomData xmlns:go="http://customooxmlschemas.google.com/" filterViewId="1842707466"/>
        </ext>
      </extLst>
    </customSheetView>
  </customSheetViews>
  <conditionalFormatting sqref="B2:B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29"/>
    <col customWidth="1" min="3" max="3" width="17.43"/>
    <col customWidth="1" min="4" max="4" width="15.57"/>
    <col customWidth="1" min="5" max="5" width="17.43"/>
    <col customWidth="1" min="6" max="6" width="15.57"/>
    <col customWidth="1" min="7" max="7" width="17.43"/>
    <col customWidth="1" min="8" max="8" width="15.57"/>
    <col customWidth="1" min="9" max="9" width="17.43"/>
    <col customWidth="1" min="10" max="10" width="20.57"/>
    <col customWidth="1" min="11" max="11" width="22.43"/>
    <col customWidth="1" min="12" max="26" width="8.71"/>
  </cols>
  <sheetData>
    <row r="3"/>
    <row r="4"/>
    <row r="5"/>
    <row r="6"/>
    <row r="7"/>
    <row r="8"/>
    <row r="9"/>
    <row r="1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2024-12-21T08:12:14Z</dcterms:created>
</cp:coreProperties>
</file>